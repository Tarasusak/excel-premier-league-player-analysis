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Education\Excel\Premier-Player-23-24\"/>
    </mc:Choice>
  </mc:AlternateContent>
  <xr:revisionPtr revIDLastSave="0" documentId="13_ncr:1_{92C95D00-795F-4141-8D50-E36334B7EB04}" xr6:coauthVersionLast="47" xr6:coauthVersionMax="47" xr10:uidLastSave="{00000000-0000-0000-0000-000000000000}"/>
  <bookViews>
    <workbookView xWindow="-120" yWindow="-120" windowWidth="29040" windowHeight="15720" activeTab="4" xr2:uid="{56337FA0-5452-4F08-B07E-38EBE11F78F5}"/>
  </bookViews>
  <sheets>
    <sheet name="data" sheetId="1" r:id="rId1"/>
    <sheet name="data_cleaned" sheetId="2" r:id="rId2"/>
    <sheet name="kpi" sheetId="4" r:id="rId3"/>
    <sheet name="pivot tables" sheetId="5" r:id="rId4"/>
    <sheet name="dashboards" sheetId="6" r:id="rId5"/>
  </sheets>
  <definedNames>
    <definedName name="ExternalData_1" localSheetId="0" hidden="1">data!$A$1:$AH$581</definedName>
    <definedName name="ExternalData_1" localSheetId="1" hidden="1">data_cleaned!$A$1:$AN$581</definedName>
    <definedName name="Роздільник_Age_Category">#N/A</definedName>
    <definedName name="Роздільник_Main_Position">#N/A</definedName>
    <definedName name="Роздільник_More_Than_1000_Minutes">#N/A</definedName>
    <definedName name="Роздільник_Team">#N/A</definedName>
  </definedNames>
  <calcPr calcId="191029"/>
  <pivotCaches>
    <pivotCache cacheId="3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F347" i="2"/>
  <c r="F351" i="2"/>
  <c r="F362" i="2"/>
  <c r="F348" i="2"/>
  <c r="F358" i="2"/>
  <c r="F352" i="2"/>
  <c r="F345" i="2"/>
  <c r="F363" i="2"/>
  <c r="F360" i="2"/>
  <c r="F356" i="2"/>
  <c r="F357" i="2"/>
  <c r="F349" i="2"/>
  <c r="F361" i="2"/>
  <c r="F346" i="2"/>
  <c r="F359" i="2"/>
  <c r="F353" i="2"/>
  <c r="F355" i="2"/>
  <c r="F354" i="2"/>
  <c r="F364" i="2"/>
  <c r="F350" i="2"/>
  <c r="F365" i="2"/>
  <c r="F344" i="2"/>
  <c r="F366" i="2"/>
  <c r="F367" i="2"/>
  <c r="F368" i="2"/>
  <c r="F300" i="2"/>
  <c r="F292" i="2"/>
  <c r="F294" i="2"/>
  <c r="F287" i="2"/>
  <c r="F304" i="2"/>
  <c r="F295" i="2"/>
  <c r="F297" i="2"/>
  <c r="F288" i="2"/>
  <c r="F302" i="2"/>
  <c r="F296" i="2"/>
  <c r="F303" i="2"/>
  <c r="F289" i="2"/>
  <c r="F305" i="2"/>
  <c r="F298" i="2"/>
  <c r="F286" i="2"/>
  <c r="F299" i="2"/>
  <c r="F301" i="2"/>
  <c r="F290" i="2"/>
  <c r="F306" i="2"/>
  <c r="F291" i="2"/>
  <c r="F307" i="2"/>
  <c r="F293" i="2"/>
  <c r="F308" i="2"/>
  <c r="F309" i="2"/>
  <c r="F310" i="2"/>
  <c r="F311" i="2"/>
  <c r="F312" i="2"/>
  <c r="F313" i="2"/>
  <c r="F314" i="2"/>
  <c r="F315" i="2"/>
  <c r="F18" i="2"/>
  <c r="F10" i="2"/>
  <c r="F8" i="2"/>
  <c r="F13" i="2"/>
  <c r="F3" i="2"/>
  <c r="F17" i="2"/>
  <c r="F19" i="2"/>
  <c r="F5" i="2"/>
  <c r="F9" i="2"/>
  <c r="F16" i="2"/>
  <c r="F4" i="2"/>
  <c r="F7" i="2"/>
  <c r="F11" i="2"/>
  <c r="F14" i="2"/>
  <c r="F6" i="2"/>
  <c r="F15" i="2"/>
  <c r="F20" i="2"/>
  <c r="F21" i="2"/>
  <c r="F12" i="2"/>
  <c r="F2" i="2"/>
  <c r="F22" i="2"/>
  <c r="F23" i="2"/>
  <c r="F24" i="2"/>
  <c r="F25" i="2"/>
  <c r="F26" i="2"/>
  <c r="F186" i="2"/>
  <c r="F191" i="2"/>
  <c r="F179" i="2"/>
  <c r="F177" i="2"/>
  <c r="F196" i="2"/>
  <c r="F190" i="2"/>
  <c r="F188" i="2"/>
  <c r="F198" i="2"/>
  <c r="F182" i="2"/>
  <c r="F193" i="2"/>
  <c r="F194" i="2"/>
  <c r="F187" i="2"/>
  <c r="F185" i="2"/>
  <c r="F199" i="2"/>
  <c r="F197" i="2"/>
  <c r="F181" i="2"/>
  <c r="F195" i="2"/>
  <c r="F192" i="2"/>
  <c r="F189" i="2"/>
  <c r="F183" i="2"/>
  <c r="F200" i="2"/>
  <c r="F180" i="2"/>
  <c r="F178" i="2"/>
  <c r="F184" i="2"/>
  <c r="F201" i="2"/>
  <c r="F202" i="2"/>
  <c r="F203" i="2"/>
  <c r="F204" i="2"/>
  <c r="F205" i="2"/>
  <c r="F206" i="2"/>
  <c r="F207" i="2"/>
  <c r="F208" i="2"/>
  <c r="F407" i="2"/>
  <c r="F416" i="2"/>
  <c r="F405" i="2"/>
  <c r="F417" i="2"/>
  <c r="F409" i="2"/>
  <c r="F400" i="2"/>
  <c r="F406" i="2"/>
  <c r="F414" i="2"/>
  <c r="F421" i="2"/>
  <c r="F410" i="2"/>
  <c r="F422" i="2"/>
  <c r="F411" i="2"/>
  <c r="F408" i="2"/>
  <c r="F403" i="2"/>
  <c r="F419" i="2"/>
  <c r="F420" i="2"/>
  <c r="F415" i="2"/>
  <c r="F401" i="2"/>
  <c r="F423" i="2"/>
  <c r="F418" i="2"/>
  <c r="F402" i="2"/>
  <c r="F412" i="2"/>
  <c r="F413" i="2"/>
  <c r="F424" i="2"/>
  <c r="F425" i="2"/>
  <c r="F404" i="2"/>
  <c r="F426" i="2"/>
  <c r="F427" i="2"/>
  <c r="F428" i="2"/>
  <c r="F429" i="2"/>
  <c r="F430" i="2"/>
  <c r="F431" i="2"/>
  <c r="F518" i="2"/>
  <c r="F510" i="2"/>
  <c r="F504" i="2"/>
  <c r="F514" i="2"/>
  <c r="F509" i="2"/>
  <c r="F512" i="2"/>
  <c r="F515" i="2"/>
  <c r="F511" i="2"/>
  <c r="F508" i="2"/>
  <c r="F519" i="2"/>
  <c r="F506" i="2"/>
  <c r="F501" i="2"/>
  <c r="F513" i="2"/>
  <c r="F516" i="2"/>
  <c r="F517" i="2"/>
  <c r="F507" i="2"/>
  <c r="F520" i="2"/>
  <c r="F521" i="2"/>
  <c r="F505" i="2"/>
  <c r="F522" i="2"/>
  <c r="F523" i="2"/>
  <c r="F502" i="2"/>
  <c r="F524" i="2"/>
  <c r="F503" i="2"/>
  <c r="F525" i="2"/>
  <c r="F500" i="2"/>
  <c r="F526" i="2"/>
  <c r="F527" i="2"/>
  <c r="F528" i="2"/>
  <c r="F391" i="2"/>
  <c r="F383" i="2"/>
  <c r="F371" i="2"/>
  <c r="F375" i="2"/>
  <c r="F377" i="2"/>
  <c r="F373" i="2"/>
  <c r="F384" i="2"/>
  <c r="F381" i="2"/>
  <c r="F388" i="2"/>
  <c r="F376" i="2"/>
  <c r="F379" i="2"/>
  <c r="F389" i="2"/>
  <c r="F390" i="2"/>
  <c r="F385" i="2"/>
  <c r="F386" i="2"/>
  <c r="F378" i="2"/>
  <c r="F392" i="2"/>
  <c r="F393" i="2"/>
  <c r="F387" i="2"/>
  <c r="F382" i="2"/>
  <c r="F380" i="2"/>
  <c r="F394" i="2"/>
  <c r="F374" i="2"/>
  <c r="F395" i="2"/>
  <c r="F372" i="2"/>
  <c r="F370" i="2"/>
  <c r="F369" i="2"/>
  <c r="F396" i="2"/>
  <c r="F397" i="2"/>
  <c r="F398" i="2"/>
  <c r="F399" i="2"/>
  <c r="F28" i="2"/>
  <c r="F45" i="2"/>
  <c r="F36" i="2"/>
  <c r="F35" i="2"/>
  <c r="F46" i="2"/>
  <c r="F43" i="2"/>
  <c r="F41" i="2"/>
  <c r="F32" i="2"/>
  <c r="F39" i="2"/>
  <c r="F29" i="2"/>
  <c r="F47" i="2"/>
  <c r="F44" i="2"/>
  <c r="F34" i="2"/>
  <c r="F42" i="2"/>
  <c r="F40" i="2"/>
  <c r="F37" i="2"/>
  <c r="F38" i="2"/>
  <c r="F33" i="2"/>
  <c r="F48" i="2"/>
  <c r="F27" i="2"/>
  <c r="F49" i="2"/>
  <c r="F31" i="2"/>
  <c r="F30" i="2"/>
  <c r="F50" i="2"/>
  <c r="F51" i="2"/>
  <c r="F52" i="2"/>
  <c r="F53" i="2"/>
  <c r="F54" i="2"/>
  <c r="F55" i="2"/>
  <c r="F56" i="2"/>
  <c r="F57" i="2"/>
  <c r="F538" i="2"/>
  <c r="F541" i="2"/>
  <c r="F531" i="2"/>
  <c r="F533" i="2"/>
  <c r="F536" i="2"/>
  <c r="F540" i="2"/>
  <c r="F545" i="2"/>
  <c r="F535" i="2"/>
  <c r="F542" i="2"/>
  <c r="F532" i="2"/>
  <c r="F544" i="2"/>
  <c r="F534" i="2"/>
  <c r="F543" i="2"/>
  <c r="F546" i="2"/>
  <c r="F547" i="2"/>
  <c r="F539" i="2"/>
  <c r="F548" i="2"/>
  <c r="F549" i="2"/>
  <c r="F550" i="2"/>
  <c r="F537" i="2"/>
  <c r="F551" i="2"/>
  <c r="F530" i="2"/>
  <c r="F552" i="2"/>
  <c r="F529" i="2"/>
  <c r="F553" i="2"/>
  <c r="F554" i="2"/>
  <c r="F219" i="2"/>
  <c r="F218" i="2"/>
  <c r="F213" i="2"/>
  <c r="F221" i="2"/>
  <c r="F210" i="2"/>
  <c r="F211" i="2"/>
  <c r="F220" i="2"/>
  <c r="F224" i="2"/>
  <c r="F222" i="2"/>
  <c r="F223" i="2"/>
  <c r="F225" i="2"/>
  <c r="F226" i="2"/>
  <c r="F212" i="2"/>
  <c r="F215" i="2"/>
  <c r="F216" i="2"/>
  <c r="F217" i="2"/>
  <c r="F227" i="2"/>
  <c r="F209" i="2"/>
  <c r="F228" i="2"/>
  <c r="F229" i="2"/>
  <c r="F214" i="2"/>
  <c r="F230" i="2"/>
  <c r="F231" i="2"/>
  <c r="F232" i="2"/>
  <c r="F233" i="2"/>
  <c r="F234" i="2"/>
  <c r="F281" i="2"/>
  <c r="F272" i="2"/>
  <c r="F268" i="2"/>
  <c r="F273" i="2"/>
  <c r="F274" i="2"/>
  <c r="F280" i="2"/>
  <c r="F270" i="2"/>
  <c r="F271" i="2"/>
  <c r="F276" i="2"/>
  <c r="F264" i="2"/>
  <c r="F267" i="2"/>
  <c r="F279" i="2"/>
  <c r="F266" i="2"/>
  <c r="F265" i="2"/>
  <c r="F282" i="2"/>
  <c r="F275" i="2"/>
  <c r="F269" i="2"/>
  <c r="F278" i="2"/>
  <c r="F277" i="2"/>
  <c r="F263" i="2"/>
  <c r="F261" i="2"/>
  <c r="F262" i="2"/>
  <c r="F283" i="2"/>
  <c r="F284" i="2"/>
  <c r="F285" i="2"/>
  <c r="F251" i="2"/>
  <c r="F250" i="2"/>
  <c r="F246" i="2"/>
  <c r="F247" i="2"/>
  <c r="F237" i="2"/>
  <c r="F239" i="2"/>
  <c r="F249" i="2"/>
  <c r="F252" i="2"/>
  <c r="F236" i="2"/>
  <c r="F240" i="2"/>
  <c r="F242" i="2"/>
  <c r="F248" i="2"/>
  <c r="F253" i="2"/>
  <c r="F243" i="2"/>
  <c r="F238" i="2"/>
  <c r="F254" i="2"/>
  <c r="F245" i="2"/>
  <c r="F241" i="2"/>
  <c r="F244" i="2"/>
  <c r="F255" i="2"/>
  <c r="F235" i="2"/>
  <c r="F256" i="2"/>
  <c r="F257" i="2"/>
  <c r="F258" i="2"/>
  <c r="F259" i="2"/>
  <c r="F260" i="2"/>
  <c r="F119" i="2"/>
  <c r="F131" i="2"/>
  <c r="F135" i="2"/>
  <c r="F127" i="2"/>
  <c r="F134" i="2"/>
  <c r="F136" i="2"/>
  <c r="F124" i="2"/>
  <c r="F117" i="2"/>
  <c r="F137" i="2"/>
  <c r="F132" i="2"/>
  <c r="F138" i="2"/>
  <c r="F128" i="2"/>
  <c r="F118" i="2"/>
  <c r="F120" i="2"/>
  <c r="F139" i="2"/>
  <c r="F122" i="2"/>
  <c r="F140" i="2"/>
  <c r="F133" i="2"/>
  <c r="F129" i="2"/>
  <c r="F126" i="2"/>
  <c r="F125" i="2"/>
  <c r="F116" i="2"/>
  <c r="F141" i="2"/>
  <c r="F130" i="2"/>
  <c r="F121" i="2"/>
  <c r="F123" i="2"/>
  <c r="F142" i="2"/>
  <c r="F143" i="2"/>
  <c r="F144" i="2"/>
  <c r="F145" i="2"/>
  <c r="F77" i="2"/>
  <c r="F61" i="2"/>
  <c r="F70" i="2"/>
  <c r="F78" i="2"/>
  <c r="F72" i="2"/>
  <c r="F65" i="2"/>
  <c r="F64" i="2"/>
  <c r="F73" i="2"/>
  <c r="F66" i="2"/>
  <c r="F63" i="2"/>
  <c r="F76" i="2"/>
  <c r="F75" i="2"/>
  <c r="F67" i="2"/>
  <c r="F74" i="2"/>
  <c r="F68" i="2"/>
  <c r="F69" i="2"/>
  <c r="F62" i="2"/>
  <c r="F71" i="2"/>
  <c r="F79" i="2"/>
  <c r="F80" i="2"/>
  <c r="F58" i="2"/>
  <c r="F60" i="2"/>
  <c r="F81" i="2"/>
  <c r="F82" i="2"/>
  <c r="F83" i="2"/>
  <c r="F84" i="2"/>
  <c r="F59" i="2"/>
  <c r="F85" i="2"/>
  <c r="F86" i="2"/>
  <c r="F87" i="2"/>
  <c r="F567" i="2"/>
  <c r="F568" i="2"/>
  <c r="F569" i="2"/>
  <c r="F561" i="2"/>
  <c r="F564" i="2"/>
  <c r="F562" i="2"/>
  <c r="F556" i="2"/>
  <c r="F563" i="2"/>
  <c r="F565" i="2"/>
  <c r="F558" i="2"/>
  <c r="F559" i="2"/>
  <c r="F557" i="2"/>
  <c r="F570" i="2"/>
  <c r="F560" i="2"/>
  <c r="F566" i="2"/>
  <c r="F571" i="2"/>
  <c r="F572" i="2"/>
  <c r="F573" i="2"/>
  <c r="F574" i="2"/>
  <c r="F575" i="2"/>
  <c r="F576" i="2"/>
  <c r="F577" i="2"/>
  <c r="F578" i="2"/>
  <c r="F555" i="2"/>
  <c r="F579" i="2"/>
  <c r="F580" i="2"/>
  <c r="F581" i="2"/>
  <c r="F109" i="2"/>
  <c r="F103" i="2"/>
  <c r="F105" i="2"/>
  <c r="F107" i="2"/>
  <c r="F92" i="2"/>
  <c r="F108" i="2"/>
  <c r="F95" i="2"/>
  <c r="F101" i="2"/>
  <c r="F90" i="2"/>
  <c r="F100" i="2"/>
  <c r="F93" i="2"/>
  <c r="F96" i="2"/>
  <c r="F102" i="2"/>
  <c r="F94" i="2"/>
  <c r="F91" i="2"/>
  <c r="F106" i="2"/>
  <c r="F97" i="2"/>
  <c r="F110" i="2"/>
  <c r="F99" i="2"/>
  <c r="F104" i="2"/>
  <c r="F111" i="2"/>
  <c r="F98" i="2"/>
  <c r="F88" i="2"/>
  <c r="F89" i="2"/>
  <c r="F112" i="2"/>
  <c r="F113" i="2"/>
  <c r="F114" i="2"/>
  <c r="F115" i="2"/>
  <c r="F436" i="2"/>
  <c r="F447" i="2"/>
  <c r="F434" i="2"/>
  <c r="F446" i="2"/>
  <c r="F435" i="2"/>
  <c r="F433" i="2"/>
  <c r="F442" i="2"/>
  <c r="F445" i="2"/>
  <c r="F448" i="2"/>
  <c r="F439" i="2"/>
  <c r="F450" i="2"/>
  <c r="F443" i="2"/>
  <c r="F451" i="2"/>
  <c r="F452" i="2"/>
  <c r="F449" i="2"/>
  <c r="F438" i="2"/>
  <c r="F453" i="2"/>
  <c r="F432" i="2"/>
  <c r="F440" i="2"/>
  <c r="F441" i="2"/>
  <c r="F454" i="2"/>
  <c r="F444" i="2"/>
  <c r="F455" i="2"/>
  <c r="F456" i="2"/>
  <c r="F457" i="2"/>
  <c r="F458" i="2"/>
  <c r="F459" i="2"/>
  <c r="F460" i="2"/>
  <c r="F437" i="2"/>
  <c r="F461" i="2"/>
  <c r="F462" i="2"/>
  <c r="F463" i="2"/>
  <c r="F464" i="2"/>
  <c r="F334" i="2"/>
  <c r="F320" i="2"/>
  <c r="F318" i="2"/>
  <c r="F321" i="2"/>
  <c r="F333" i="2"/>
  <c r="F331" i="2"/>
  <c r="F332" i="2"/>
  <c r="F335" i="2"/>
  <c r="F324" i="2"/>
  <c r="F327" i="2"/>
  <c r="F326" i="2"/>
  <c r="F317" i="2"/>
  <c r="F323" i="2"/>
  <c r="F330" i="2"/>
  <c r="F322" i="2"/>
  <c r="F329" i="2"/>
  <c r="F336" i="2"/>
  <c r="F328" i="2"/>
  <c r="F337" i="2"/>
  <c r="F338" i="2"/>
  <c r="F339" i="2"/>
  <c r="F340" i="2"/>
  <c r="F325" i="2"/>
  <c r="F319" i="2"/>
  <c r="F316" i="2"/>
  <c r="F341" i="2"/>
  <c r="F342" i="2"/>
  <c r="F343" i="2"/>
  <c r="F159" i="2"/>
  <c r="F153" i="2"/>
  <c r="F164" i="2"/>
  <c r="F151" i="2"/>
  <c r="F161" i="2"/>
  <c r="F162" i="2"/>
  <c r="F156" i="2"/>
  <c r="F152" i="2"/>
  <c r="F154" i="2"/>
  <c r="F148" i="2"/>
  <c r="F147" i="2"/>
  <c r="F165" i="2"/>
  <c r="F155" i="2"/>
  <c r="F163" i="2"/>
  <c r="F157" i="2"/>
  <c r="F150" i="2"/>
  <c r="F160" i="2"/>
  <c r="F166" i="2"/>
  <c r="F146" i="2"/>
  <c r="F158" i="2"/>
  <c r="F149" i="2"/>
  <c r="F167" i="2"/>
  <c r="F168" i="2"/>
  <c r="F169" i="2"/>
  <c r="F170" i="2"/>
  <c r="F171" i="2"/>
  <c r="F172" i="2"/>
  <c r="F173" i="2"/>
  <c r="F174" i="2"/>
  <c r="F175" i="2"/>
  <c r="F176" i="2"/>
  <c r="F467" i="2"/>
  <c r="F471" i="2"/>
  <c r="F474" i="2"/>
  <c r="F476" i="2"/>
  <c r="F473" i="2"/>
  <c r="F477" i="2"/>
  <c r="F478" i="2"/>
  <c r="F469" i="2"/>
  <c r="F468" i="2"/>
  <c r="F475" i="2"/>
  <c r="F465" i="2"/>
  <c r="F470" i="2"/>
  <c r="F466" i="2"/>
  <c r="F479" i="2"/>
  <c r="F472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A6" i="6"/>
  <c r="A8" i="6"/>
  <c r="A7" i="6"/>
  <c r="A11" i="6"/>
  <c r="A10" i="6"/>
  <c r="A9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CAB3D81-3F7B-4BA4-A585-74D5C5E81EC5}" keepAlive="1" name="Запит – premier-player-23-24" description="Підключення до запита &quot;premier-player-23-24&quot; у книзі." type="5" refreshedVersion="8" background="1" saveData="1">
    <dbPr connection="Provider=Microsoft.Mashup.OleDb.1;Data Source=$Workbook$;Location=premier-player-23-24;Extended Properties=&quot;&quot;" command="SELECT * FROM [premier-player-23-24]"/>
  </connection>
  <connection id="2" xr16:uid="{FDE4EB72-5BAF-420D-87A9-875B77096F24}" keepAlive="1" name="Запит – premier-player-23-24 (2)" description="Підключення до запита &quot;premier-player-23-24 (2)&quot; у книзі." type="5" refreshedVersion="8" background="1" saveData="1">
    <dbPr connection="Provider=Microsoft.Mashup.OleDb.1;Data Source=$Workbook$;Location=&quot;premier-player-23-24 (2)&quot;;Extended Properties=&quot;&quot;" command="SELECT * FROM [premier-player-23-24 (2)]"/>
  </connection>
</connections>
</file>

<file path=xl/sharedStrings.xml><?xml version="1.0" encoding="utf-8"?>
<sst xmlns="http://schemas.openxmlformats.org/spreadsheetml/2006/main" count="22199" uniqueCount="1895">
  <si>
    <t>Player</t>
  </si>
  <si>
    <t>Nation</t>
  </si>
  <si>
    <t>Pos</t>
  </si>
  <si>
    <t>Age</t>
  </si>
  <si>
    <t>MP</t>
  </si>
  <si>
    <t>Starts</t>
  </si>
  <si>
    <t>Min</t>
  </si>
  <si>
    <t>90s</t>
  </si>
  <si>
    <t>Gls</t>
  </si>
  <si>
    <t>Ast</t>
  </si>
  <si>
    <t>G+A</t>
  </si>
  <si>
    <t>G-PK</t>
  </si>
  <si>
    <t>PK</t>
  </si>
  <si>
    <t>PKatt</t>
  </si>
  <si>
    <t>CrdY</t>
  </si>
  <si>
    <t>CrdR</t>
  </si>
  <si>
    <t>xG</t>
  </si>
  <si>
    <t>npxG</t>
  </si>
  <si>
    <t>xAG</t>
  </si>
  <si>
    <t>npxG+xAG</t>
  </si>
  <si>
    <t>PrgC</t>
  </si>
  <si>
    <t>PrgP</t>
  </si>
  <si>
    <t>PrgR</t>
  </si>
  <si>
    <t>Gls_90</t>
  </si>
  <si>
    <t>Ast_90</t>
  </si>
  <si>
    <t>G+A_90</t>
  </si>
  <si>
    <t>G-PK_90</t>
  </si>
  <si>
    <t>G+A-PK_90</t>
  </si>
  <si>
    <t>xG_90</t>
  </si>
  <si>
    <t>xAG_90</t>
  </si>
  <si>
    <t>xG+xAG_90</t>
  </si>
  <si>
    <t>npxG_90</t>
  </si>
  <si>
    <t>npxG+xAG_90</t>
  </si>
  <si>
    <t>Team</t>
  </si>
  <si>
    <t>Rodri</t>
  </si>
  <si>
    <t>es ESP</t>
  </si>
  <si>
    <t>MF</t>
  </si>
  <si>
    <t>27.0</t>
  </si>
  <si>
    <t>2931.0</t>
  </si>
  <si>
    <t>32.6</t>
  </si>
  <si>
    <t>8.0</t>
  </si>
  <si>
    <t>9.0</t>
  </si>
  <si>
    <t>17.0</t>
  </si>
  <si>
    <t>0.0</t>
  </si>
  <si>
    <t>1.0</t>
  </si>
  <si>
    <t>4.1</t>
  </si>
  <si>
    <t>3.9</t>
  </si>
  <si>
    <t>76.0</t>
  </si>
  <si>
    <t>376.0</t>
  </si>
  <si>
    <t>55.0</t>
  </si>
  <si>
    <t>0.25</t>
  </si>
  <si>
    <t>0.28</t>
  </si>
  <si>
    <t>0.52</t>
  </si>
  <si>
    <t>0.12</t>
  </si>
  <si>
    <t>0.24</t>
  </si>
  <si>
    <t>Manchester City</t>
  </si>
  <si>
    <t>Phil Foden</t>
  </si>
  <si>
    <t>eng ENG</t>
  </si>
  <si>
    <t>FW,MF</t>
  </si>
  <si>
    <t>23.0</t>
  </si>
  <si>
    <t>2857.0</t>
  </si>
  <si>
    <t>31.7</t>
  </si>
  <si>
    <t>19.0</t>
  </si>
  <si>
    <t>2.0</t>
  </si>
  <si>
    <t>10.3</t>
  </si>
  <si>
    <t>8.4</t>
  </si>
  <si>
    <t>18.7</t>
  </si>
  <si>
    <t>93.0</t>
  </si>
  <si>
    <t>168.0</t>
  </si>
  <si>
    <t>269.0</t>
  </si>
  <si>
    <t>0.6</t>
  </si>
  <si>
    <t>0.85</t>
  </si>
  <si>
    <t>0.33</t>
  </si>
  <si>
    <t>0.26</t>
  </si>
  <si>
    <t>0.59</t>
  </si>
  <si>
    <t>Ederson</t>
  </si>
  <si>
    <t>br BRA</t>
  </si>
  <si>
    <t>GK</t>
  </si>
  <si>
    <t>29.0</t>
  </si>
  <si>
    <t>2785.0</t>
  </si>
  <si>
    <t>30.9</t>
  </si>
  <si>
    <t>5.0</t>
  </si>
  <si>
    <t>0.1</t>
  </si>
  <si>
    <t>4.0</t>
  </si>
  <si>
    <t>Julián Álvarez</t>
  </si>
  <si>
    <t>ar ARG</t>
  </si>
  <si>
    <t>MF,FW</t>
  </si>
  <si>
    <t>2647.0</t>
  </si>
  <si>
    <t>29.4</t>
  </si>
  <si>
    <t>11.0</t>
  </si>
  <si>
    <t>13.0</t>
  </si>
  <si>
    <t>11.5</t>
  </si>
  <si>
    <t>6.4</t>
  </si>
  <si>
    <t>17.9</t>
  </si>
  <si>
    <t>64.0</t>
  </si>
  <si>
    <t>103.0</t>
  </si>
  <si>
    <t>180.0</t>
  </si>
  <si>
    <t>0.37</t>
  </si>
  <si>
    <t>0.27</t>
  </si>
  <si>
    <t>0.65</t>
  </si>
  <si>
    <t>0.31</t>
  </si>
  <si>
    <t>0.58</t>
  </si>
  <si>
    <t>0.44</t>
  </si>
  <si>
    <t>0.22</t>
  </si>
  <si>
    <t>0.66</t>
  </si>
  <si>
    <t>0.39</t>
  </si>
  <si>
    <t>0.61</t>
  </si>
  <si>
    <t>Kyle Walker</t>
  </si>
  <si>
    <t>DF</t>
  </si>
  <si>
    <t>33.0</t>
  </si>
  <si>
    <t>2767.0</t>
  </si>
  <si>
    <t>30.7</t>
  </si>
  <si>
    <t>0.4</t>
  </si>
  <si>
    <t>2.6</t>
  </si>
  <si>
    <t>3.0</t>
  </si>
  <si>
    <t>74.0</t>
  </si>
  <si>
    <t>157.0</t>
  </si>
  <si>
    <t>172.0</t>
  </si>
  <si>
    <t>0.13</t>
  </si>
  <si>
    <t>0.01</t>
  </si>
  <si>
    <t>0.09</t>
  </si>
  <si>
    <t>Bernardo Silva</t>
  </si>
  <si>
    <t>pt POR</t>
  </si>
  <si>
    <t>28.0</t>
  </si>
  <si>
    <t>2578.0</t>
  </si>
  <si>
    <t>28.6</t>
  </si>
  <si>
    <t>6.0</t>
  </si>
  <si>
    <t>15.0</t>
  </si>
  <si>
    <t>3.7</t>
  </si>
  <si>
    <t>7.6</t>
  </si>
  <si>
    <t>11.3</t>
  </si>
  <si>
    <t>140.0</t>
  </si>
  <si>
    <t>177.0</t>
  </si>
  <si>
    <t>260.0</t>
  </si>
  <si>
    <t>0.21</t>
  </si>
  <si>
    <t>Erling Haaland</t>
  </si>
  <si>
    <t>no NOR</t>
  </si>
  <si>
    <t>FW</t>
  </si>
  <si>
    <t>2552.0</t>
  </si>
  <si>
    <t>28.4</t>
  </si>
  <si>
    <t>32.0</t>
  </si>
  <si>
    <t>20.0</t>
  </si>
  <si>
    <t>7.0</t>
  </si>
  <si>
    <t>29.2</t>
  </si>
  <si>
    <t>22.9</t>
  </si>
  <si>
    <t>4.3</t>
  </si>
  <si>
    <t>27.2</t>
  </si>
  <si>
    <t>35.0</t>
  </si>
  <si>
    <t>26.0</t>
  </si>
  <si>
    <t>126.0</t>
  </si>
  <si>
    <t>0.95</t>
  </si>
  <si>
    <t>0.18</t>
  </si>
  <si>
    <t>1.13</t>
  </si>
  <si>
    <t>0.71</t>
  </si>
  <si>
    <t>0.88</t>
  </si>
  <si>
    <t>1.03</t>
  </si>
  <si>
    <t>0.15</t>
  </si>
  <si>
    <t>1.18</t>
  </si>
  <si>
    <t>0.81</t>
  </si>
  <si>
    <t>0.96</t>
  </si>
  <si>
    <t>Rúben Dias</t>
  </si>
  <si>
    <t>2559.0</t>
  </si>
  <si>
    <t>1.4</t>
  </si>
  <si>
    <t>0.3</t>
  </si>
  <si>
    <t>1.7</t>
  </si>
  <si>
    <t>34.0</t>
  </si>
  <si>
    <t>173.0</t>
  </si>
  <si>
    <t>16.0</t>
  </si>
  <si>
    <t>0.05</t>
  </si>
  <si>
    <t>0.06</t>
  </si>
  <si>
    <t>Manuel Akanji</t>
  </si>
  <si>
    <t>ch SUI</t>
  </si>
  <si>
    <t>DF,MF</t>
  </si>
  <si>
    <t>2511.0</t>
  </si>
  <si>
    <t>27.9</t>
  </si>
  <si>
    <t>1.9</t>
  </si>
  <si>
    <t>0.5</t>
  </si>
  <si>
    <t>2.4</t>
  </si>
  <si>
    <t>46.0</t>
  </si>
  <si>
    <t>148.0</t>
  </si>
  <si>
    <t>36.0</t>
  </si>
  <si>
    <t>0.07</t>
  </si>
  <si>
    <t>0.02</t>
  </si>
  <si>
    <t>Joško Gvardiol</t>
  </si>
  <si>
    <t>hr CRO</t>
  </si>
  <si>
    <t>21.0</t>
  </si>
  <si>
    <t>2328.0</t>
  </si>
  <si>
    <t>25.9</t>
  </si>
  <si>
    <t>3.1</t>
  </si>
  <si>
    <t>4.5</t>
  </si>
  <si>
    <t>63.0</t>
  </si>
  <si>
    <t>136.0</t>
  </si>
  <si>
    <t>115.0</t>
  </si>
  <si>
    <t>0.04</t>
  </si>
  <si>
    <t>0.19</t>
  </si>
  <si>
    <t>Nathan Aké</t>
  </si>
  <si>
    <t>nl NED</t>
  </si>
  <si>
    <t>2042.0</t>
  </si>
  <si>
    <t>22.7</t>
  </si>
  <si>
    <t>2.5</t>
  </si>
  <si>
    <t>1.2</t>
  </si>
  <si>
    <t>24.0</t>
  </si>
  <si>
    <t>116.0</t>
  </si>
  <si>
    <t>18.0</t>
  </si>
  <si>
    <t>0.11</t>
  </si>
  <si>
    <t>0.16</t>
  </si>
  <si>
    <t>Jeremy Doku</t>
  </si>
  <si>
    <t>be BEL</t>
  </si>
  <si>
    <t>1595.0</t>
  </si>
  <si>
    <t>17.7</t>
  </si>
  <si>
    <t>4.6</t>
  </si>
  <si>
    <t>7.1</t>
  </si>
  <si>
    <t>218.0</t>
  </si>
  <si>
    <t>57.0</t>
  </si>
  <si>
    <t>295.0</t>
  </si>
  <si>
    <t>0.17</t>
  </si>
  <si>
    <t>0.45</t>
  </si>
  <si>
    <t>0.62</t>
  </si>
  <si>
    <t>0.14</t>
  </si>
  <si>
    <t>Mateo Kovačić</t>
  </si>
  <si>
    <t>1551.0</t>
  </si>
  <si>
    <t>17.2</t>
  </si>
  <si>
    <t>1.3</t>
  </si>
  <si>
    <t>1.6</t>
  </si>
  <si>
    <t>2.9</t>
  </si>
  <si>
    <t>37.0</t>
  </si>
  <si>
    <t>100.0</t>
  </si>
  <si>
    <t>38.0</t>
  </si>
  <si>
    <t>Kevin De Bruyne</t>
  </si>
  <si>
    <t>1221.0</t>
  </si>
  <si>
    <t>13.6</t>
  </si>
  <si>
    <t>10.0</t>
  </si>
  <si>
    <t>14.0</t>
  </si>
  <si>
    <t>47.0</t>
  </si>
  <si>
    <t>111.0</t>
  </si>
  <si>
    <t>133.0</t>
  </si>
  <si>
    <t>0.29</t>
  </si>
  <si>
    <t>0.74</t>
  </si>
  <si>
    <t>John Stones</t>
  </si>
  <si>
    <t>1064.0</t>
  </si>
  <si>
    <t>11.8</t>
  </si>
  <si>
    <t>0.2</t>
  </si>
  <si>
    <t>0.08</t>
  </si>
  <si>
    <t>Jack Grealish</t>
  </si>
  <si>
    <t>1009.0</t>
  </si>
  <si>
    <t>11.2</t>
  </si>
  <si>
    <t>2.1</t>
  </si>
  <si>
    <t>87.0</t>
  </si>
  <si>
    <t>50.0</t>
  </si>
  <si>
    <t>146.0</t>
  </si>
  <si>
    <t>0.36</t>
  </si>
  <si>
    <t>0.41</t>
  </si>
  <si>
    <t>Rico Lewis</t>
  </si>
  <si>
    <t>809.0</t>
  </si>
  <si>
    <t>1.1</t>
  </si>
  <si>
    <t>1.8</t>
  </si>
  <si>
    <t>Matheus Nunes</t>
  </si>
  <si>
    <t>661.0</t>
  </si>
  <si>
    <t>7.3</t>
  </si>
  <si>
    <t>0.8</t>
  </si>
  <si>
    <t>58.0</t>
  </si>
  <si>
    <t>Stefan Ortega</t>
  </si>
  <si>
    <t>de GER</t>
  </si>
  <si>
    <t>30.0</t>
  </si>
  <si>
    <t>635.0</t>
  </si>
  <si>
    <t>Oscar Bobb</t>
  </si>
  <si>
    <t>302.0</t>
  </si>
  <si>
    <t>3.4</t>
  </si>
  <si>
    <t>25.0</t>
  </si>
  <si>
    <t>0.78</t>
  </si>
  <si>
    <t>Kalvin Phillips</t>
  </si>
  <si>
    <t>Sergio Gómez</t>
  </si>
  <si>
    <t>22.0</t>
  </si>
  <si>
    <t>53.0</t>
  </si>
  <si>
    <t>0.73</t>
  </si>
  <si>
    <t>Aymeric Laporte</t>
  </si>
  <si>
    <t>12.0</t>
  </si>
  <si>
    <t>Cole Palmer</t>
  </si>
  <si>
    <t>James Mcatee</t>
  </si>
  <si>
    <t>Virgil van Dijk</t>
  </si>
  <si>
    <t>3177.0</t>
  </si>
  <si>
    <t>35.3</t>
  </si>
  <si>
    <t>2.8</t>
  </si>
  <si>
    <t>4.4</t>
  </si>
  <si>
    <t>200.0</t>
  </si>
  <si>
    <t>Liverpool</t>
  </si>
  <si>
    <t>Luis Díaz</t>
  </si>
  <si>
    <t>co COL</t>
  </si>
  <si>
    <t>2629.0</t>
  </si>
  <si>
    <t>11.9</t>
  </si>
  <si>
    <t>5.7</t>
  </si>
  <si>
    <t>17.5</t>
  </si>
  <si>
    <t>137.0</t>
  </si>
  <si>
    <t>113.0</t>
  </si>
  <si>
    <t>Alexis Mac Allister</t>
  </si>
  <si>
    <t>2599.0</t>
  </si>
  <si>
    <t>28.9</t>
  </si>
  <si>
    <t>3.6</t>
  </si>
  <si>
    <t>44.0</t>
  </si>
  <si>
    <t>209.0</t>
  </si>
  <si>
    <t>48.0</t>
  </si>
  <si>
    <t>0.35</t>
  </si>
  <si>
    <t>Mohamed Salah</t>
  </si>
  <si>
    <t>eg EGY</t>
  </si>
  <si>
    <t>31.0</t>
  </si>
  <si>
    <t>2534.0</t>
  </si>
  <si>
    <t>28.2</t>
  </si>
  <si>
    <t>21.2</t>
  </si>
  <si>
    <t>15.5</t>
  </si>
  <si>
    <t>27.3</t>
  </si>
  <si>
    <t>98.0</t>
  </si>
  <si>
    <t>147.0</t>
  </si>
  <si>
    <t>341.0</t>
  </si>
  <si>
    <t>0.64</t>
  </si>
  <si>
    <t>0.99</t>
  </si>
  <si>
    <t>0.46</t>
  </si>
  <si>
    <t>0.82</t>
  </si>
  <si>
    <t>0.75</t>
  </si>
  <si>
    <t>0.42</t>
  </si>
  <si>
    <t>1.17</t>
  </si>
  <si>
    <t>0.55</t>
  </si>
  <si>
    <t>0.97</t>
  </si>
  <si>
    <t>Alisson</t>
  </si>
  <si>
    <t>2520.0</t>
  </si>
  <si>
    <t>Trent Alexander-Arnold</t>
  </si>
  <si>
    <t>2155.0</t>
  </si>
  <si>
    <t>23.9</t>
  </si>
  <si>
    <t>2.3</t>
  </si>
  <si>
    <t>7.2</t>
  </si>
  <si>
    <t>9.5</t>
  </si>
  <si>
    <t>45.0</t>
  </si>
  <si>
    <t>205.0</t>
  </si>
  <si>
    <t>97.0</t>
  </si>
  <si>
    <t>Dominik Szoboszlai</t>
  </si>
  <si>
    <t>hu HUN</t>
  </si>
  <si>
    <t>2104.0</t>
  </si>
  <si>
    <t>23.4</t>
  </si>
  <si>
    <t>5.8</t>
  </si>
  <si>
    <t>75.0</t>
  </si>
  <si>
    <t>152.0</t>
  </si>
  <si>
    <t>160.0</t>
  </si>
  <si>
    <t>Darwin Núñez</t>
  </si>
  <si>
    <t>uy URU</t>
  </si>
  <si>
    <t>2047.0</t>
  </si>
  <si>
    <t>16.3</t>
  </si>
  <si>
    <t>21.5</t>
  </si>
  <si>
    <t>54.0</t>
  </si>
  <si>
    <t>206.0</t>
  </si>
  <si>
    <t>0.48</t>
  </si>
  <si>
    <t>0.84</t>
  </si>
  <si>
    <t>0.72</t>
  </si>
  <si>
    <t>0.98</t>
  </si>
  <si>
    <t>0.68</t>
  </si>
  <si>
    <t>Wataru Endo</t>
  </si>
  <si>
    <t>jp JPN</t>
  </si>
  <si>
    <t>1722.0</t>
  </si>
  <si>
    <t>19.1</t>
  </si>
  <si>
    <t>101.0</t>
  </si>
  <si>
    <t>0.03</t>
  </si>
  <si>
    <t>Andrew Robertson</t>
  </si>
  <si>
    <t>sct SCO</t>
  </si>
  <si>
    <t>1693.0</t>
  </si>
  <si>
    <t>18.8</t>
  </si>
  <si>
    <t>5.4</t>
  </si>
  <si>
    <t>130.0</t>
  </si>
  <si>
    <t>Joe Gomez</t>
  </si>
  <si>
    <t>1786.0</t>
  </si>
  <si>
    <t>19.8</t>
  </si>
  <si>
    <t>105.0</t>
  </si>
  <si>
    <t>Cody Gakpo</t>
  </si>
  <si>
    <t>1649.0</t>
  </si>
  <si>
    <t>18.3</t>
  </si>
  <si>
    <t>43.0</t>
  </si>
  <si>
    <t>83.0</t>
  </si>
  <si>
    <t>0.49</t>
  </si>
  <si>
    <t>Ibrahima Konaté</t>
  </si>
  <si>
    <t>fr FRA</t>
  </si>
  <si>
    <t>1574.0</t>
  </si>
  <si>
    <t>0.7</t>
  </si>
  <si>
    <t>118.0</t>
  </si>
  <si>
    <t>Curtis Jones</t>
  </si>
  <si>
    <t>1167.0</t>
  </si>
  <si>
    <t>3.3</t>
  </si>
  <si>
    <t>88.0</t>
  </si>
  <si>
    <t>Diogo Jota</t>
  </si>
  <si>
    <t>1145.0</t>
  </si>
  <si>
    <t>12.7</t>
  </si>
  <si>
    <t>5.3</t>
  </si>
  <si>
    <t>8.6</t>
  </si>
  <si>
    <t>0.79</t>
  </si>
  <si>
    <t>1.02</t>
  </si>
  <si>
    <t>Jarell Quansah</t>
  </si>
  <si>
    <t>1190.0</t>
  </si>
  <si>
    <t>13.2</t>
  </si>
  <si>
    <t>67.0</t>
  </si>
  <si>
    <t>Ryan Gravenberch</t>
  </si>
  <si>
    <t>1121.0</t>
  </si>
  <si>
    <t>12.5</t>
  </si>
  <si>
    <t>0.9</t>
  </si>
  <si>
    <t>39.0</t>
  </si>
  <si>
    <t>78.0</t>
  </si>
  <si>
    <t>71.0</t>
  </si>
  <si>
    <t>0.23</t>
  </si>
  <si>
    <t>Harvey Elliott</t>
  </si>
  <si>
    <t>1352.0</t>
  </si>
  <si>
    <t>2.7</t>
  </si>
  <si>
    <t>3.5</t>
  </si>
  <si>
    <t>6.2</t>
  </si>
  <si>
    <t>128.0</t>
  </si>
  <si>
    <t>122.0</t>
  </si>
  <si>
    <t>Caoimhín Kelleher</t>
  </si>
  <si>
    <t>ie IRL</t>
  </si>
  <si>
    <t>900.0</t>
  </si>
  <si>
    <t>Conor Bradley</t>
  </si>
  <si>
    <t>nir NIR</t>
  </si>
  <si>
    <t>753.0</t>
  </si>
  <si>
    <t>1.5</t>
  </si>
  <si>
    <t>Joël Matip</t>
  </si>
  <si>
    <t>cm CMR</t>
  </si>
  <si>
    <t>781.0</t>
  </si>
  <si>
    <t>8.7</t>
  </si>
  <si>
    <t>Kostas Tsimikas</t>
  </si>
  <si>
    <t>gr GRE</t>
  </si>
  <si>
    <t>679.0</t>
  </si>
  <si>
    <t>7.5</t>
  </si>
  <si>
    <t>73.0</t>
  </si>
  <si>
    <t>Bobby Clark</t>
  </si>
  <si>
    <t>89.0</t>
  </si>
  <si>
    <t>Stefan Bajcetic</t>
  </si>
  <si>
    <t>Ben Doak</t>
  </si>
  <si>
    <t>Jayden Danns</t>
  </si>
  <si>
    <t>Owen Beck</t>
  </si>
  <si>
    <t>wls WAL</t>
  </si>
  <si>
    <t>Thiago Alcántara</t>
  </si>
  <si>
    <t>James McConnell</t>
  </si>
  <si>
    <t>Kaide Gordon</t>
  </si>
  <si>
    <t>William Saliba</t>
  </si>
  <si>
    <t>3420.0</t>
  </si>
  <si>
    <t>Arsenal</t>
  </si>
  <si>
    <t>Declan Rice</t>
  </si>
  <si>
    <t>3225.0</t>
  </si>
  <si>
    <t>35.8</t>
  </si>
  <si>
    <t>278.0</t>
  </si>
  <si>
    <t>Martin Ødegaard</t>
  </si>
  <si>
    <t>3091.0</t>
  </si>
  <si>
    <t>34.3</t>
  </si>
  <si>
    <t>7.4</t>
  </si>
  <si>
    <t>9.6</t>
  </si>
  <si>
    <t>91.0</t>
  </si>
  <si>
    <t>344.0</t>
  </si>
  <si>
    <t>202.0</t>
  </si>
  <si>
    <t>0.47</t>
  </si>
  <si>
    <t>Ben White</t>
  </si>
  <si>
    <t>2988.0</t>
  </si>
  <si>
    <t>33.2</t>
  </si>
  <si>
    <t>3.8</t>
  </si>
  <si>
    <t>192.0</t>
  </si>
  <si>
    <t>162.0</t>
  </si>
  <si>
    <t>Bukayo Saka</t>
  </si>
  <si>
    <t>2919.0</t>
  </si>
  <si>
    <t>32.4</t>
  </si>
  <si>
    <t>10.8</t>
  </si>
  <si>
    <t>10.5</t>
  </si>
  <si>
    <t>155.0</t>
  </si>
  <si>
    <t>508.0</t>
  </si>
  <si>
    <t>0.77</t>
  </si>
  <si>
    <t>0.32</t>
  </si>
  <si>
    <t>Gabriel Magalhães</t>
  </si>
  <si>
    <t>3044.0</t>
  </si>
  <si>
    <t>33.8</t>
  </si>
  <si>
    <t>117.0</t>
  </si>
  <si>
    <t>David Raya</t>
  </si>
  <si>
    <t>2880.0</t>
  </si>
  <si>
    <t>Kai Havertz</t>
  </si>
  <si>
    <t>2634.0</t>
  </si>
  <si>
    <t>29.3</t>
  </si>
  <si>
    <t>12.3</t>
  </si>
  <si>
    <t>11.6</t>
  </si>
  <si>
    <t>15.9</t>
  </si>
  <si>
    <t>99.0</t>
  </si>
  <si>
    <t>191.0</t>
  </si>
  <si>
    <t>0.57</t>
  </si>
  <si>
    <t>0.54</t>
  </si>
  <si>
    <t>Gabriel Martinelli</t>
  </si>
  <si>
    <t>2019.0</t>
  </si>
  <si>
    <t>22.4</t>
  </si>
  <si>
    <t>6.8</t>
  </si>
  <si>
    <t>6.1</t>
  </si>
  <si>
    <t>12.9</t>
  </si>
  <si>
    <t>127.0</t>
  </si>
  <si>
    <t>65.0</t>
  </si>
  <si>
    <t>345.0</t>
  </si>
  <si>
    <t>Oleksandr Zinchenko</t>
  </si>
  <si>
    <t>ua UKR</t>
  </si>
  <si>
    <t>40.0</t>
  </si>
  <si>
    <t>229.0</t>
  </si>
  <si>
    <t>Leandro Trossard</t>
  </si>
  <si>
    <t>7.9</t>
  </si>
  <si>
    <t>10.7</t>
  </si>
  <si>
    <t>66.0</t>
  </si>
  <si>
    <t>0.43</t>
  </si>
  <si>
    <t>Gabriel Jesus</t>
  </si>
  <si>
    <t>1478.0</t>
  </si>
  <si>
    <t>16.4</t>
  </si>
  <si>
    <t>6.3</t>
  </si>
  <si>
    <t>10.1</t>
  </si>
  <si>
    <t>42.0</t>
  </si>
  <si>
    <t>Jakub Kiwior</t>
  </si>
  <si>
    <t>pl POL</t>
  </si>
  <si>
    <t>946.0</t>
  </si>
  <si>
    <t>0.38</t>
  </si>
  <si>
    <t>Takehiro Tomiyasu</t>
  </si>
  <si>
    <t>1149.0</t>
  </si>
  <si>
    <t>12.8</t>
  </si>
  <si>
    <t>72.0</t>
  </si>
  <si>
    <t>Eddie Nketiah</t>
  </si>
  <si>
    <t>1082.0</t>
  </si>
  <si>
    <t>77.0</t>
  </si>
  <si>
    <t>Jorginho</t>
  </si>
  <si>
    <t>it ITA</t>
  </si>
  <si>
    <t>921.0</t>
  </si>
  <si>
    <t>10.2</t>
  </si>
  <si>
    <t>Thomas Partey</t>
  </si>
  <si>
    <t>gh GHA</t>
  </si>
  <si>
    <t>MF,DF</t>
  </si>
  <si>
    <t>788.0</t>
  </si>
  <si>
    <t>8.8</t>
  </si>
  <si>
    <t>Aaron Ramsdale</t>
  </si>
  <si>
    <t>540.0</t>
  </si>
  <si>
    <t>Emile Smith Rowe</t>
  </si>
  <si>
    <t>353.0</t>
  </si>
  <si>
    <t>2.2</t>
  </si>
  <si>
    <t>0.56</t>
  </si>
  <si>
    <t>Fabio Vieira</t>
  </si>
  <si>
    <t>297.0</t>
  </si>
  <si>
    <t>0.91</t>
  </si>
  <si>
    <t>0.87</t>
  </si>
  <si>
    <t>Reiss Nelson</t>
  </si>
  <si>
    <t>268.0</t>
  </si>
  <si>
    <t>Jurriën Timber</t>
  </si>
  <si>
    <t>Cédric Soares</t>
  </si>
  <si>
    <t>62.0</t>
  </si>
  <si>
    <t>Mohamed Elneny</t>
  </si>
  <si>
    <t>Ethan Nwaneri</t>
  </si>
  <si>
    <t>Conor Gallagher</t>
  </si>
  <si>
    <t>3128.0</t>
  </si>
  <si>
    <t>34.8</t>
  </si>
  <si>
    <t>4.2</t>
  </si>
  <si>
    <t>9.2</t>
  </si>
  <si>
    <t>Chelsea</t>
  </si>
  <si>
    <t>Moisés Caicedo</t>
  </si>
  <si>
    <t>ec ECU</t>
  </si>
  <si>
    <t>2866.0</t>
  </si>
  <si>
    <t>31.8</t>
  </si>
  <si>
    <t>Nicolas Jackson</t>
  </si>
  <si>
    <t>sn SEN</t>
  </si>
  <si>
    <t>2799.0</t>
  </si>
  <si>
    <t>31.1</t>
  </si>
  <si>
    <t>18.6</t>
  </si>
  <si>
    <t>70.0</t>
  </si>
  <si>
    <t>2607.0</t>
  </si>
  <si>
    <t>18.2</t>
  </si>
  <si>
    <t>11.1</t>
  </si>
  <si>
    <t>22.2</t>
  </si>
  <si>
    <t>197.0</t>
  </si>
  <si>
    <t>195.0</t>
  </si>
  <si>
    <t>0.76</t>
  </si>
  <si>
    <t>1.14</t>
  </si>
  <si>
    <t>0.83</t>
  </si>
  <si>
    <t>0.63</t>
  </si>
  <si>
    <t>1.01</t>
  </si>
  <si>
    <t>Axel Disasi</t>
  </si>
  <si>
    <t>2579.0</t>
  </si>
  <si>
    <t>28.7</t>
  </si>
  <si>
    <t>112.0</t>
  </si>
  <si>
    <t>Thiago Silva</t>
  </si>
  <si>
    <t>2527.0</t>
  </si>
  <si>
    <t>28.1</t>
  </si>
  <si>
    <t>102.0</t>
  </si>
  <si>
    <t>Enzo Fernández</t>
  </si>
  <si>
    <t>2209.0</t>
  </si>
  <si>
    <t>24.5</t>
  </si>
  <si>
    <t>52.0</t>
  </si>
  <si>
    <t>210.0</t>
  </si>
  <si>
    <t>Đorđe Petrović</t>
  </si>
  <si>
    <t>rs SRB</t>
  </si>
  <si>
    <t>1987.0</t>
  </si>
  <si>
    <t>22.1</t>
  </si>
  <si>
    <t>Raheem Sterling</t>
  </si>
  <si>
    <t>1978.0</t>
  </si>
  <si>
    <t>6.5</t>
  </si>
  <si>
    <t>120.0</t>
  </si>
  <si>
    <t>242.0</t>
  </si>
  <si>
    <t>Levi Colwill</t>
  </si>
  <si>
    <t>1797.0</t>
  </si>
  <si>
    <t>Marc Cucurella</t>
  </si>
  <si>
    <t>1782.0</t>
  </si>
  <si>
    <t>Malo Gusto</t>
  </si>
  <si>
    <t>1751.0</t>
  </si>
  <si>
    <t>19.5</t>
  </si>
  <si>
    <t>5.2</t>
  </si>
  <si>
    <t>86.0</t>
  </si>
  <si>
    <t>135.0</t>
  </si>
  <si>
    <t>Mykhailo Mudryk</t>
  </si>
  <si>
    <t>1576.0</t>
  </si>
  <si>
    <t>8.5</t>
  </si>
  <si>
    <t>92.0</t>
  </si>
  <si>
    <t>139.0</t>
  </si>
  <si>
    <t>Robert Sánchez</t>
  </si>
  <si>
    <t>1433.0</t>
  </si>
  <si>
    <t>Benoît Badiashile</t>
  </si>
  <si>
    <t>1338.0</t>
  </si>
  <si>
    <t>14.9</t>
  </si>
  <si>
    <t>Noni Madueke</t>
  </si>
  <si>
    <t>1053.0</t>
  </si>
  <si>
    <t>11.7</t>
  </si>
  <si>
    <t>0.34</t>
  </si>
  <si>
    <t>0.51</t>
  </si>
  <si>
    <t>Trevoh Chalobah</t>
  </si>
  <si>
    <t>952.0</t>
  </si>
  <si>
    <t>10.6</t>
  </si>
  <si>
    <t>Ben Chilwell</t>
  </si>
  <si>
    <t>756.0</t>
  </si>
  <si>
    <t>59.0</t>
  </si>
  <si>
    <t>Armando Broja</t>
  </si>
  <si>
    <t>al ALB</t>
  </si>
  <si>
    <t>454.0</t>
  </si>
  <si>
    <t>Reece James</t>
  </si>
  <si>
    <t>419.0</t>
  </si>
  <si>
    <t>4.7</t>
  </si>
  <si>
    <t>Lesley Ugochukwu</t>
  </si>
  <si>
    <t>301.0</t>
  </si>
  <si>
    <t>Christopher Nkunku</t>
  </si>
  <si>
    <t>443.0</t>
  </si>
  <si>
    <t>4.9</t>
  </si>
  <si>
    <t>Carney Chukwuemeka</t>
  </si>
  <si>
    <t>227.0</t>
  </si>
  <si>
    <t>Alfie Gilchrist</t>
  </si>
  <si>
    <t>207.0</t>
  </si>
  <si>
    <t>Ian Maatsen</t>
  </si>
  <si>
    <t>Cesare Casadei</t>
  </si>
  <si>
    <t>79.0</t>
  </si>
  <si>
    <t>Roméo Lavia</t>
  </si>
  <si>
    <t>Deivid Washington</t>
  </si>
  <si>
    <t>DF,FW</t>
  </si>
  <si>
    <t>3.23</t>
  </si>
  <si>
    <t>Mason Burstow</t>
  </si>
  <si>
    <t>Joshua Acheampong</t>
  </si>
  <si>
    <t>Alex Matos</t>
  </si>
  <si>
    <t>Jimi Tauriainen</t>
  </si>
  <si>
    <t>Bruno Guimarães</t>
  </si>
  <si>
    <t>3263.0</t>
  </si>
  <si>
    <t>36.3</t>
  </si>
  <si>
    <t>4.8</t>
  </si>
  <si>
    <t>283.0</t>
  </si>
  <si>
    <t>Newcastle United</t>
  </si>
  <si>
    <t>Fabian Schär</t>
  </si>
  <si>
    <t>3054.0</t>
  </si>
  <si>
    <t>33.9</t>
  </si>
  <si>
    <t>Anthony Gordon</t>
  </si>
  <si>
    <t>2890.0</t>
  </si>
  <si>
    <t>32.1</t>
  </si>
  <si>
    <t>9.4</t>
  </si>
  <si>
    <t>17.4</t>
  </si>
  <si>
    <t>138.0</t>
  </si>
  <si>
    <t>232.0</t>
  </si>
  <si>
    <t>Dan Burn</t>
  </si>
  <si>
    <t>2726.0</t>
  </si>
  <si>
    <t>30.3</t>
  </si>
  <si>
    <t>Sean Longstaff</t>
  </si>
  <si>
    <t>2747.0</t>
  </si>
  <si>
    <t>30.5</t>
  </si>
  <si>
    <t>6.6</t>
  </si>
  <si>
    <t>145.0</t>
  </si>
  <si>
    <t>Alexander Isak</t>
  </si>
  <si>
    <t>se SWE</t>
  </si>
  <si>
    <t>2255.0</t>
  </si>
  <si>
    <t>25.1</t>
  </si>
  <si>
    <t>20.3</t>
  </si>
  <si>
    <t>15.6</t>
  </si>
  <si>
    <t>19.3</t>
  </si>
  <si>
    <t>68.0</t>
  </si>
  <si>
    <t>129.0</t>
  </si>
  <si>
    <t>0.92</t>
  </si>
  <si>
    <t>Kieran Trippier</t>
  </si>
  <si>
    <t>2236.0</t>
  </si>
  <si>
    <t>24.8</t>
  </si>
  <si>
    <t>8.2</t>
  </si>
  <si>
    <t>Miguel Almirón</t>
  </si>
  <si>
    <t>py PAR</t>
  </si>
  <si>
    <t>1937.0</t>
  </si>
  <si>
    <t>Martin Dúbravka</t>
  </si>
  <si>
    <t>sk SVK</t>
  </si>
  <si>
    <t>1985.0</t>
  </si>
  <si>
    <t>Sven Botman</t>
  </si>
  <si>
    <t>1377.0</t>
  </si>
  <si>
    <t>15.3</t>
  </si>
  <si>
    <t>Nick Pope</t>
  </si>
  <si>
    <t>1345.0</t>
  </si>
  <si>
    <t>Joelinton</t>
  </si>
  <si>
    <t>1279.0</t>
  </si>
  <si>
    <t>14.2</t>
  </si>
  <si>
    <t>5.9</t>
  </si>
  <si>
    <t>56.0</t>
  </si>
  <si>
    <t>60.0</t>
  </si>
  <si>
    <t>Lewis Miley</t>
  </si>
  <si>
    <t>1202.0</t>
  </si>
  <si>
    <t>13.4</t>
  </si>
  <si>
    <t>Jacob Murphy</t>
  </si>
  <si>
    <t>FW,DF</t>
  </si>
  <si>
    <t>1189.0</t>
  </si>
  <si>
    <t>0.53</t>
  </si>
  <si>
    <t>Jamaal Lascelles</t>
  </si>
  <si>
    <t>1080.0</t>
  </si>
  <si>
    <t>Valentino Livramento</t>
  </si>
  <si>
    <t>1314.0</t>
  </si>
  <si>
    <t>14.6</t>
  </si>
  <si>
    <t>61.0</t>
  </si>
  <si>
    <t>Elliot Anderson</t>
  </si>
  <si>
    <t>1027.0</t>
  </si>
  <si>
    <t>11.4</t>
  </si>
  <si>
    <t>Callum Wilson</t>
  </si>
  <si>
    <t>991.0</t>
  </si>
  <si>
    <t>7.8</t>
  </si>
  <si>
    <t>Emil Krafth</t>
  </si>
  <si>
    <t>913.0</t>
  </si>
  <si>
    <t>Lewis Hall</t>
  </si>
  <si>
    <t>Harvey Barnes</t>
  </si>
  <si>
    <t>802.0</t>
  </si>
  <si>
    <t>8.9</t>
  </si>
  <si>
    <t>3.2</t>
  </si>
  <si>
    <t>Sandro Tonali</t>
  </si>
  <si>
    <t>438.0</t>
  </si>
  <si>
    <t>Joe Willock</t>
  </si>
  <si>
    <t>Loris Karius</t>
  </si>
  <si>
    <t>90.0</t>
  </si>
  <si>
    <t>Matt Targett</t>
  </si>
  <si>
    <t>Matt Ritchie</t>
  </si>
  <si>
    <t>Ben Parkinson</t>
  </si>
  <si>
    <t>Paul Dummett</t>
  </si>
  <si>
    <t>Alex Murphy</t>
  </si>
  <si>
    <t>Joe White</t>
  </si>
  <si>
    <t>Amadou Diallo</t>
  </si>
  <si>
    <t>Michael Ndiweni</t>
  </si>
  <si>
    <t>Guglielmo Vicario</t>
  </si>
  <si>
    <t>Tottenham Hotspur</t>
  </si>
  <si>
    <t>Pedro Porro</t>
  </si>
  <si>
    <t>3089.0</t>
  </si>
  <si>
    <t>194.0</t>
  </si>
  <si>
    <t>158.0</t>
  </si>
  <si>
    <t>Son Heung-min</t>
  </si>
  <si>
    <t>kr KOR</t>
  </si>
  <si>
    <t>2934.0</t>
  </si>
  <si>
    <t>10.4</t>
  </si>
  <si>
    <t>119.0</t>
  </si>
  <si>
    <t>325.0</t>
  </si>
  <si>
    <t>Cristian Romero</t>
  </si>
  <si>
    <t>2790.0</t>
  </si>
  <si>
    <t>179.0</t>
  </si>
  <si>
    <t>Dejan Kulusevski</t>
  </si>
  <si>
    <t>2762.0</t>
  </si>
  <si>
    <t>7.7</t>
  </si>
  <si>
    <t>12.4</t>
  </si>
  <si>
    <t>151.0</t>
  </si>
  <si>
    <t>144.0</t>
  </si>
  <si>
    <t>388.0</t>
  </si>
  <si>
    <t>Destiny Udogie</t>
  </si>
  <si>
    <t>2391.0</t>
  </si>
  <si>
    <t>26.6</t>
  </si>
  <si>
    <t>Micky van de Ven</t>
  </si>
  <si>
    <t>2339.0</t>
  </si>
  <si>
    <t>108.0</t>
  </si>
  <si>
    <t>Pape Matar Sarr</t>
  </si>
  <si>
    <t>2069.0</t>
  </si>
  <si>
    <t>150.0</t>
  </si>
  <si>
    <t>James Maddison</t>
  </si>
  <si>
    <t>2135.0</t>
  </si>
  <si>
    <t>23.7</t>
  </si>
  <si>
    <t>224.0</t>
  </si>
  <si>
    <t>156.0</t>
  </si>
  <si>
    <t>Yves Bissouma</t>
  </si>
  <si>
    <t>ml MLI</t>
  </si>
  <si>
    <t>2068.0</t>
  </si>
  <si>
    <t>169.0</t>
  </si>
  <si>
    <t>Brennan Johnson</t>
  </si>
  <si>
    <t>2085.0</t>
  </si>
  <si>
    <t>23.2</t>
  </si>
  <si>
    <t>8.1</t>
  </si>
  <si>
    <t>293.0</t>
  </si>
  <si>
    <t>Richarlison</t>
  </si>
  <si>
    <t>1491.0</t>
  </si>
  <si>
    <t>16.6</t>
  </si>
  <si>
    <t>106.0</t>
  </si>
  <si>
    <t>Rodrigo Bentancur</t>
  </si>
  <si>
    <t>1005.0</t>
  </si>
  <si>
    <t>Ben Davies</t>
  </si>
  <si>
    <t>1090.0</t>
  </si>
  <si>
    <t>12.1</t>
  </si>
  <si>
    <t>Emerson</t>
  </si>
  <si>
    <t>1161.0</t>
  </si>
  <si>
    <t>Timo Werner</t>
  </si>
  <si>
    <t>41.0</t>
  </si>
  <si>
    <t>124.0</t>
  </si>
  <si>
    <t>Pierre Højbjerg</t>
  </si>
  <si>
    <t>dk DEN</t>
  </si>
  <si>
    <t>1311.0</t>
  </si>
  <si>
    <t>134.0</t>
  </si>
  <si>
    <t>Oliver Skipp</t>
  </si>
  <si>
    <t>707.0</t>
  </si>
  <si>
    <t>Giovani Lo Celso</t>
  </si>
  <si>
    <t>506.0</t>
  </si>
  <si>
    <t>5.6</t>
  </si>
  <si>
    <t>Radu Drăgușin</t>
  </si>
  <si>
    <t>ro ROU</t>
  </si>
  <si>
    <t>429.0</t>
  </si>
  <si>
    <t>Bryan Gil</t>
  </si>
  <si>
    <t>49.0</t>
  </si>
  <si>
    <t>Manor Solomon</t>
  </si>
  <si>
    <t>il ISR</t>
  </si>
  <si>
    <t>199.0</t>
  </si>
  <si>
    <t>Eric Dier</t>
  </si>
  <si>
    <t>201.0</t>
  </si>
  <si>
    <t>Ivan Perišić</t>
  </si>
  <si>
    <t>Davinson Sánchez</t>
  </si>
  <si>
    <t>Alejo Véliz</t>
  </si>
  <si>
    <t>Dane Scarlett</t>
  </si>
  <si>
    <t>Mikey Moore</t>
  </si>
  <si>
    <t>Jamie Donley</t>
  </si>
  <si>
    <t>André Onana</t>
  </si>
  <si>
    <t>Manchester United</t>
  </si>
  <si>
    <t>Diogo Dalot</t>
  </si>
  <si>
    <t>3174.0</t>
  </si>
  <si>
    <t>Bruno Fernandes</t>
  </si>
  <si>
    <t>3118.0</t>
  </si>
  <si>
    <t>34.6</t>
  </si>
  <si>
    <t>17.8</t>
  </si>
  <si>
    <t>182.0</t>
  </si>
  <si>
    <t>Alejandro Garnacho</t>
  </si>
  <si>
    <t>2565.0</t>
  </si>
  <si>
    <t>28.5</t>
  </si>
  <si>
    <t>8.3</t>
  </si>
  <si>
    <t>5.1</t>
  </si>
  <si>
    <t>178.0</t>
  </si>
  <si>
    <t>281.0</t>
  </si>
  <si>
    <t>Marcus Rashford</t>
  </si>
  <si>
    <t>2271.0</t>
  </si>
  <si>
    <t>25.2</t>
  </si>
  <si>
    <t>95.0</t>
  </si>
  <si>
    <t>184.0</t>
  </si>
  <si>
    <t>Rasmus Højlund</t>
  </si>
  <si>
    <t>2158.0</t>
  </si>
  <si>
    <t>Casemiro</t>
  </si>
  <si>
    <t>1982.0</t>
  </si>
  <si>
    <t>Kobbie Mainoo</t>
  </si>
  <si>
    <t>1924.0</t>
  </si>
  <si>
    <t>21.4</t>
  </si>
  <si>
    <t>Aaron Wan-Bissaka</t>
  </si>
  <si>
    <t>1780.0</t>
  </si>
  <si>
    <t>Scott McTominay</t>
  </si>
  <si>
    <t>1901.0</t>
  </si>
  <si>
    <t>21.1</t>
  </si>
  <si>
    <t>Harry Maguire</t>
  </si>
  <si>
    <t>1653.0</t>
  </si>
  <si>
    <t>18.4</t>
  </si>
  <si>
    <t>Raphaël Varane</t>
  </si>
  <si>
    <t>1375.0</t>
  </si>
  <si>
    <t>Jonny Evans</t>
  </si>
  <si>
    <t>1392.0</t>
  </si>
  <si>
    <t>Antony</t>
  </si>
  <si>
    <t>1324.0</t>
  </si>
  <si>
    <t>14.7</t>
  </si>
  <si>
    <t>149.0</t>
  </si>
  <si>
    <t>Victor Lindelöf</t>
  </si>
  <si>
    <t>1328.0</t>
  </si>
  <si>
    <t>14.8</t>
  </si>
  <si>
    <t>Christian Eriksen</t>
  </si>
  <si>
    <t>1141.0</t>
  </si>
  <si>
    <t>Luke Shaw</t>
  </si>
  <si>
    <t>959.0</t>
  </si>
  <si>
    <t>Sofyan Amrabat</t>
  </si>
  <si>
    <t>ma MAR</t>
  </si>
  <si>
    <t>938.0</t>
  </si>
  <si>
    <t>Lisandro Martínez</t>
  </si>
  <si>
    <t>646.0</t>
  </si>
  <si>
    <t>Mason Mount</t>
  </si>
  <si>
    <t>516.0</t>
  </si>
  <si>
    <t>Anthony Martial</t>
  </si>
  <si>
    <t>448.0</t>
  </si>
  <si>
    <t>Sergio Reguilón</t>
  </si>
  <si>
    <t>412.0</t>
  </si>
  <si>
    <t>Amad Diallo</t>
  </si>
  <si>
    <t>ci CIV</t>
  </si>
  <si>
    <t>390.0</t>
  </si>
  <si>
    <t>Willy Kambwala</t>
  </si>
  <si>
    <t>330.0</t>
  </si>
  <si>
    <t>Facundo Pellistri</t>
  </si>
  <si>
    <t>Hannibal Mejbri</t>
  </si>
  <si>
    <t>tn TUN</t>
  </si>
  <si>
    <t>Omari Forson</t>
  </si>
  <si>
    <t>1.29</t>
  </si>
  <si>
    <t>Jadon Sancho</t>
  </si>
  <si>
    <t>Ethan Wheatley</t>
  </si>
  <si>
    <t>Donny van de Beek</t>
  </si>
  <si>
    <t>1.09</t>
  </si>
  <si>
    <t>4.44</t>
  </si>
  <si>
    <t>5.54</t>
  </si>
  <si>
    <t>Daniel Gore</t>
  </si>
  <si>
    <t>Ollie Watkins</t>
  </si>
  <si>
    <t>3217.0</t>
  </si>
  <si>
    <t>35.7</t>
  </si>
  <si>
    <t>16.8</t>
  </si>
  <si>
    <t>24.2</t>
  </si>
  <si>
    <t>214.0</t>
  </si>
  <si>
    <t>Aston Villa</t>
  </si>
  <si>
    <t>Ezri Konsa</t>
  </si>
  <si>
    <t>3069.0</t>
  </si>
  <si>
    <t>34.1</t>
  </si>
  <si>
    <t>John McGinn</t>
  </si>
  <si>
    <t>2999.0</t>
  </si>
  <si>
    <t>33.3</t>
  </si>
  <si>
    <t>189.0</t>
  </si>
  <si>
    <t>84.0</t>
  </si>
  <si>
    <t>Douglas Luiz</t>
  </si>
  <si>
    <t>2993.0</t>
  </si>
  <si>
    <t>6.9</t>
  </si>
  <si>
    <t>Emiliano Martínez</t>
  </si>
  <si>
    <t>3015.0</t>
  </si>
  <si>
    <t>33.5</t>
  </si>
  <si>
    <t>Pau Torres</t>
  </si>
  <si>
    <t>2464.0</t>
  </si>
  <si>
    <t>27.4</t>
  </si>
  <si>
    <t>Lucas Digne</t>
  </si>
  <si>
    <t>2410.0</t>
  </si>
  <si>
    <t>26.8</t>
  </si>
  <si>
    <t>Moussa Diaby</t>
  </si>
  <si>
    <t>2174.0</t>
  </si>
  <si>
    <t>94.0</t>
  </si>
  <si>
    <t>183.0</t>
  </si>
  <si>
    <t>Matty Cash</t>
  </si>
  <si>
    <t>2142.0</t>
  </si>
  <si>
    <t>23.8</t>
  </si>
  <si>
    <t>Leon Bailey</t>
  </si>
  <si>
    <t>jm JAM</t>
  </si>
  <si>
    <t>82.0</t>
  </si>
  <si>
    <t>226.0</t>
  </si>
  <si>
    <t>0.67</t>
  </si>
  <si>
    <t>Diego Carlos</t>
  </si>
  <si>
    <t>1816.0</t>
  </si>
  <si>
    <t>20.2</t>
  </si>
  <si>
    <t>Boubacar Kamara</t>
  </si>
  <si>
    <t>1652.0</t>
  </si>
  <si>
    <t>Youri Tielemans</t>
  </si>
  <si>
    <t>1622.0</t>
  </si>
  <si>
    <t>Clément Lenglet</t>
  </si>
  <si>
    <t>1153.0</t>
  </si>
  <si>
    <t>51.0</t>
  </si>
  <si>
    <t>Álex Moreno</t>
  </si>
  <si>
    <t>1031.0</t>
  </si>
  <si>
    <t>Nicolò Zaniolo</t>
  </si>
  <si>
    <t>839.0</t>
  </si>
  <si>
    <t>9.3</t>
  </si>
  <si>
    <t>Jacob Ramsey</t>
  </si>
  <si>
    <t>853.0</t>
  </si>
  <si>
    <t>69.0</t>
  </si>
  <si>
    <t>Morgan Rogers</t>
  </si>
  <si>
    <t>638.0</t>
  </si>
  <si>
    <t>Robin Olsen</t>
  </si>
  <si>
    <t>405.0</t>
  </si>
  <si>
    <t>Jhon Durán</t>
  </si>
  <si>
    <t>475.0</t>
  </si>
  <si>
    <t>Tim Iroegbunam</t>
  </si>
  <si>
    <t>164.0</t>
  </si>
  <si>
    <t>Calum Chambers</t>
  </si>
  <si>
    <t>Leander Dendoncker</t>
  </si>
  <si>
    <t>Tyrone Mings</t>
  </si>
  <si>
    <t>Omari Kellyman</t>
  </si>
  <si>
    <t>Philippe Coutinho</t>
  </si>
  <si>
    <t>Bertrand Traoré</t>
  </si>
  <si>
    <t>bf BFA</t>
  </si>
  <si>
    <t>Cameron Archer</t>
  </si>
  <si>
    <t>Kaine Kesler-Hayden</t>
  </si>
  <si>
    <t>Finley Munroe</t>
  </si>
  <si>
    <t>Jaden Philogene Bidace</t>
  </si>
  <si>
    <t>Vladimír Coufal</t>
  </si>
  <si>
    <t>cz CZE</t>
  </si>
  <si>
    <t>3132.0</t>
  </si>
  <si>
    <t>West Ham United</t>
  </si>
  <si>
    <t>Emerson Palmieri</t>
  </si>
  <si>
    <t>3137.0</t>
  </si>
  <si>
    <t>34.9</t>
  </si>
  <si>
    <t>125.0</t>
  </si>
  <si>
    <t>Jarrod Bowen</t>
  </si>
  <si>
    <t>3019.0</t>
  </si>
  <si>
    <t>5.5</t>
  </si>
  <si>
    <t>186.0</t>
  </si>
  <si>
    <t>James Ward-Prowse</t>
  </si>
  <si>
    <t>3001.0</t>
  </si>
  <si>
    <t>Tomáš Souček</t>
  </si>
  <si>
    <t>2870.0</t>
  </si>
  <si>
    <t>31.9</t>
  </si>
  <si>
    <t>6.7</t>
  </si>
  <si>
    <t>Kurt Zouma</t>
  </si>
  <si>
    <t>2838.0</t>
  </si>
  <si>
    <t>31.5</t>
  </si>
  <si>
    <t>Alphonse Areola</t>
  </si>
  <si>
    <t>2699.0</t>
  </si>
  <si>
    <t>Lucas Paquetá</t>
  </si>
  <si>
    <t>2622.0</t>
  </si>
  <si>
    <t>29.1</t>
  </si>
  <si>
    <t>187.0</t>
  </si>
  <si>
    <t>Edson Álvarez</t>
  </si>
  <si>
    <t>mx MEX</t>
  </si>
  <si>
    <t>2377.0</t>
  </si>
  <si>
    <t>26.4</t>
  </si>
  <si>
    <t>Mohammed Kudus</t>
  </si>
  <si>
    <t>2484.0</t>
  </si>
  <si>
    <t>27.6</t>
  </si>
  <si>
    <t>80.0</t>
  </si>
  <si>
    <t>216.0</t>
  </si>
  <si>
    <t>Nayef Aguerd</t>
  </si>
  <si>
    <t>1857.0</t>
  </si>
  <si>
    <t>20.6</t>
  </si>
  <si>
    <t>Michail Antonio</t>
  </si>
  <si>
    <t>1695.0</t>
  </si>
  <si>
    <t>104.0</t>
  </si>
  <si>
    <t>Konstantinos Mavropanos</t>
  </si>
  <si>
    <t>1500.0</t>
  </si>
  <si>
    <t>16.7</t>
  </si>
  <si>
    <t>Łukasz Fabiański</t>
  </si>
  <si>
    <t>721.0</t>
  </si>
  <si>
    <t>Angelo Ogbonna</t>
  </si>
  <si>
    <t>Saïd Benrahma</t>
  </si>
  <si>
    <t>dz ALG</t>
  </si>
  <si>
    <t>620.0</t>
  </si>
  <si>
    <t>Ben Johnson</t>
  </si>
  <si>
    <t>544.0</t>
  </si>
  <si>
    <t>Aaron Cresswell</t>
  </si>
  <si>
    <t>436.0</t>
  </si>
  <si>
    <t>Pablo Fornals</t>
  </si>
  <si>
    <t>426.0</t>
  </si>
  <si>
    <t>Danny Ings</t>
  </si>
  <si>
    <t>404.0</t>
  </si>
  <si>
    <t>309.0</t>
  </si>
  <si>
    <t>Maxwel Cornet</t>
  </si>
  <si>
    <t>Divin Mubama</t>
  </si>
  <si>
    <t>George Earthy</t>
  </si>
  <si>
    <t>2.65</t>
  </si>
  <si>
    <t>Thilo Kehrer</t>
  </si>
  <si>
    <t>Kaelan Casey</t>
  </si>
  <si>
    <t>Joachim Andersen</t>
  </si>
  <si>
    <t>3415.0</t>
  </si>
  <si>
    <t>37.9</t>
  </si>
  <si>
    <t>Crystal Palace</t>
  </si>
  <si>
    <t>Tyrick Mitchell</t>
  </si>
  <si>
    <t>3204.0</t>
  </si>
  <si>
    <t>35.6</t>
  </si>
  <si>
    <t>159.0</t>
  </si>
  <si>
    <t>Jordan Ayew</t>
  </si>
  <si>
    <t>2543.0</t>
  </si>
  <si>
    <t>28.3</t>
  </si>
  <si>
    <t>Jefferson Lerma</t>
  </si>
  <si>
    <t>2400.0</t>
  </si>
  <si>
    <t>26.7</t>
  </si>
  <si>
    <t>Jean-Philippe Mateta</t>
  </si>
  <si>
    <t>2282.0</t>
  </si>
  <si>
    <t>25.4</t>
  </si>
  <si>
    <t>10.9</t>
  </si>
  <si>
    <t>Eberechi Eze</t>
  </si>
  <si>
    <t>2055.0</t>
  </si>
  <si>
    <t>22.8</t>
  </si>
  <si>
    <t>9.1</t>
  </si>
  <si>
    <t>13.5</t>
  </si>
  <si>
    <t>Chris Richards</t>
  </si>
  <si>
    <t>us USA</t>
  </si>
  <si>
    <t>2094.0</t>
  </si>
  <si>
    <t>23.3</t>
  </si>
  <si>
    <t>Marc Guéhi</t>
  </si>
  <si>
    <t>2021.0</t>
  </si>
  <si>
    <t>22.5</t>
  </si>
  <si>
    <t>Joel Ward</t>
  </si>
  <si>
    <t>1980.0</t>
  </si>
  <si>
    <t>Will Hughes</t>
  </si>
  <si>
    <t>1891.0</t>
  </si>
  <si>
    <t>Sam Johnstone</t>
  </si>
  <si>
    <t>1796.0</t>
  </si>
  <si>
    <t>Dean Henderson</t>
  </si>
  <si>
    <t>1620.0</t>
  </si>
  <si>
    <t>Odsonne Édouard</t>
  </si>
  <si>
    <t>1555.0</t>
  </si>
  <si>
    <t>17.3</t>
  </si>
  <si>
    <t>Jeffrey Schlupp</t>
  </si>
  <si>
    <t>Daniel Muñoz</t>
  </si>
  <si>
    <t>1439.0</t>
  </si>
  <si>
    <t>Adam Wharton</t>
  </si>
  <si>
    <t>1297.0</t>
  </si>
  <si>
    <t>14.4</t>
  </si>
  <si>
    <t>Nathaniel Clyne</t>
  </si>
  <si>
    <t>Michael Olise</t>
  </si>
  <si>
    <t>1275.0</t>
  </si>
  <si>
    <t>1.06</t>
  </si>
  <si>
    <t>Cheick Doucouré</t>
  </si>
  <si>
    <t>919.0</t>
  </si>
  <si>
    <t>Jaïro Riedewald</t>
  </si>
  <si>
    <t>235.0</t>
  </si>
  <si>
    <t>Matheus França</t>
  </si>
  <si>
    <t>Naouirou Ahamada</t>
  </si>
  <si>
    <t>349.0</t>
  </si>
  <si>
    <t>David Ozoh</t>
  </si>
  <si>
    <t>Jesurun Rak Sakyi</t>
  </si>
  <si>
    <t>James Tomkins</t>
  </si>
  <si>
    <t>Remi Matthews</t>
  </si>
  <si>
    <t>Bernd Leno</t>
  </si>
  <si>
    <t>Fulham</t>
  </si>
  <si>
    <t>Antonee Robinson</t>
  </si>
  <si>
    <t>3265.0</t>
  </si>
  <si>
    <t>Andreas Pereira</t>
  </si>
  <si>
    <t>2613.0</t>
  </si>
  <si>
    <t>João Palhinha</t>
  </si>
  <si>
    <t>Timothy Castagne</t>
  </si>
  <si>
    <t>Calvin Bassey</t>
  </si>
  <si>
    <t>ng NGA</t>
  </si>
  <si>
    <t>2303.0</t>
  </si>
  <si>
    <t>25.6</t>
  </si>
  <si>
    <t>Alex Iwobi</t>
  </si>
  <si>
    <t>2192.0</t>
  </si>
  <si>
    <t>24.4</t>
  </si>
  <si>
    <t>109.0</t>
  </si>
  <si>
    <t>175.0</t>
  </si>
  <si>
    <t>Willian</t>
  </si>
  <si>
    <t>2053.0</t>
  </si>
  <si>
    <t>153.0</t>
  </si>
  <si>
    <t>181.0</t>
  </si>
  <si>
    <t>Tosin Adarabioyo</t>
  </si>
  <si>
    <t>1617.0</t>
  </si>
  <si>
    <t>Rodrigo Muniz</t>
  </si>
  <si>
    <t>1593.0</t>
  </si>
  <si>
    <t>Raúl Jiménez</t>
  </si>
  <si>
    <t>1395.0</t>
  </si>
  <si>
    <t>Tim Ream</t>
  </si>
  <si>
    <t>1503.0</t>
  </si>
  <si>
    <t>Bobby Reid</t>
  </si>
  <si>
    <t>1423.0</t>
  </si>
  <si>
    <t>15.8</t>
  </si>
  <si>
    <t>Harry Wilson</t>
  </si>
  <si>
    <t>Issa Diop</t>
  </si>
  <si>
    <t>1424.0</t>
  </si>
  <si>
    <t>Harrison Reed</t>
  </si>
  <si>
    <t>1325.0</t>
  </si>
  <si>
    <t>Tom Cairney</t>
  </si>
  <si>
    <t>1488.0</t>
  </si>
  <si>
    <t>16.5</t>
  </si>
  <si>
    <t>Saša Lukić</t>
  </si>
  <si>
    <t>1122.0</t>
  </si>
  <si>
    <t>Kenny Tete</t>
  </si>
  <si>
    <t>867.0</t>
  </si>
  <si>
    <t>Carlos Vinícius</t>
  </si>
  <si>
    <t>315.0</t>
  </si>
  <si>
    <t>0.69</t>
  </si>
  <si>
    <t>Adama Traoré</t>
  </si>
  <si>
    <t>377.0</t>
  </si>
  <si>
    <t>1.19</t>
  </si>
  <si>
    <t>Luke Harris</t>
  </si>
  <si>
    <t>Fodé Ballo-Touré</t>
  </si>
  <si>
    <t>Aleksandar Mitrović</t>
  </si>
  <si>
    <t>Jordan Pickford</t>
  </si>
  <si>
    <t>Everton</t>
  </si>
  <si>
    <t>James Tarkowski</t>
  </si>
  <si>
    <t>3419.0</t>
  </si>
  <si>
    <t>Jarrad Branthwaite</t>
  </si>
  <si>
    <t>3116.0</t>
  </si>
  <si>
    <t>James Garner</t>
  </si>
  <si>
    <t>3004.0</t>
  </si>
  <si>
    <t>33.4</t>
  </si>
  <si>
    <t>Dwight McNeil</t>
  </si>
  <si>
    <t>2892.0</t>
  </si>
  <si>
    <t>12.2</t>
  </si>
  <si>
    <t>114.0</t>
  </si>
  <si>
    <t>Abdoulaye Doucouré</t>
  </si>
  <si>
    <t>Vitaliy Mykolenko</t>
  </si>
  <si>
    <t>2469.0</t>
  </si>
  <si>
    <t>Ashley Young</t>
  </si>
  <si>
    <t>2280.0</t>
  </si>
  <si>
    <t>25.3</t>
  </si>
  <si>
    <t>Dominic Calvert-Lewin</t>
  </si>
  <si>
    <t>2171.0</t>
  </si>
  <si>
    <t>24.1</t>
  </si>
  <si>
    <t>14.5</t>
  </si>
  <si>
    <t>Jack Harrison</t>
  </si>
  <si>
    <t>2214.0</t>
  </si>
  <si>
    <t>24.6</t>
  </si>
  <si>
    <t>Idrissa Gana Gueye</t>
  </si>
  <si>
    <t>1884.0</t>
  </si>
  <si>
    <t>20.9</t>
  </si>
  <si>
    <t>Amadou Onana</t>
  </si>
  <si>
    <t>2091.0</t>
  </si>
  <si>
    <t>107.0</t>
  </si>
  <si>
    <t>Ben Godfrey</t>
  </si>
  <si>
    <t>1120.0</t>
  </si>
  <si>
    <t>Nathan Patterson</t>
  </si>
  <si>
    <t>Beto</t>
  </si>
  <si>
    <t>gw GNB</t>
  </si>
  <si>
    <t>951.0</t>
  </si>
  <si>
    <t>Séamus Coleman</t>
  </si>
  <si>
    <t>665.0</t>
  </si>
  <si>
    <t>Arnaut Danjuma</t>
  </si>
  <si>
    <t>595.0</t>
  </si>
  <si>
    <t>Michael Keane</t>
  </si>
  <si>
    <t>439.0</t>
  </si>
  <si>
    <t>André Gomes</t>
  </si>
  <si>
    <t>Lewis Dobbin</t>
  </si>
  <si>
    <t>Youssef Chermiti</t>
  </si>
  <si>
    <t>208.0</t>
  </si>
  <si>
    <t>Neal Maupay</t>
  </si>
  <si>
    <t>1.16</t>
  </si>
  <si>
    <t>1.22</t>
  </si>
  <si>
    <t>Thomas Cannon</t>
  </si>
  <si>
    <t>Tyler Onyango</t>
  </si>
  <si>
    <t>Lewis Warrington</t>
  </si>
  <si>
    <t>Pascal Groß</t>
  </si>
  <si>
    <t>3114.0</t>
  </si>
  <si>
    <t>13.8</t>
  </si>
  <si>
    <t>Brighton</t>
  </si>
  <si>
    <t>Lewis Dunk</t>
  </si>
  <si>
    <t>2869.0</t>
  </si>
  <si>
    <t>Jan Paul van Hecke</t>
  </si>
  <si>
    <t>2369.0</t>
  </si>
  <si>
    <t>26.3</t>
  </si>
  <si>
    <t>Simon Adingra</t>
  </si>
  <si>
    <t>2222.0</t>
  </si>
  <si>
    <t>24.7</t>
  </si>
  <si>
    <t>Billy Gilmour</t>
  </si>
  <si>
    <t>2120.0</t>
  </si>
  <si>
    <t>23.6</t>
  </si>
  <si>
    <t>193.0</t>
  </si>
  <si>
    <t>Bart Verbruggen</t>
  </si>
  <si>
    <t>1890.0</t>
  </si>
  <si>
    <t>Danny Welbeck</t>
  </si>
  <si>
    <t>João Pedro</t>
  </si>
  <si>
    <t>2045.0</t>
  </si>
  <si>
    <t>Igor</t>
  </si>
  <si>
    <t>1637.0</t>
  </si>
  <si>
    <t>Joël Veltman</t>
  </si>
  <si>
    <t>1588.0</t>
  </si>
  <si>
    <t>17.6</t>
  </si>
  <si>
    <t>85.0</t>
  </si>
  <si>
    <t>Jason Steele</t>
  </si>
  <si>
    <t>1530.0</t>
  </si>
  <si>
    <t>Facundo Buonanotte</t>
  </si>
  <si>
    <t>1364.0</t>
  </si>
  <si>
    <t>15.2</t>
  </si>
  <si>
    <t>Kaoru Mitoma</t>
  </si>
  <si>
    <t>1486.0</t>
  </si>
  <si>
    <t>121.0</t>
  </si>
  <si>
    <t>239.0</t>
  </si>
  <si>
    <t>Evan Ferguson</t>
  </si>
  <si>
    <t>1367.0</t>
  </si>
  <si>
    <t>Carlos Baleba</t>
  </si>
  <si>
    <t>Pervis Estupiñán</t>
  </si>
  <si>
    <t>1243.0</t>
  </si>
  <si>
    <t>Adam Webster</t>
  </si>
  <si>
    <t>1144.0</t>
  </si>
  <si>
    <t>Adam Lallana</t>
  </si>
  <si>
    <t>850.0</t>
  </si>
  <si>
    <t>James Milner</t>
  </si>
  <si>
    <t>773.0</t>
  </si>
  <si>
    <t>Tariq Lamptey</t>
  </si>
  <si>
    <t>914.0</t>
  </si>
  <si>
    <t>Jack Hinshelwood</t>
  </si>
  <si>
    <t>869.0</t>
  </si>
  <si>
    <t>9.7</t>
  </si>
  <si>
    <t>Solly March</t>
  </si>
  <si>
    <t>554.0</t>
  </si>
  <si>
    <t>Jakub Moder</t>
  </si>
  <si>
    <t>618.0</t>
  </si>
  <si>
    <t>Mahmoud Dahoud</t>
  </si>
  <si>
    <t>452.0</t>
  </si>
  <si>
    <t>Julio Enciso</t>
  </si>
  <si>
    <t>Ansu Fati</t>
  </si>
  <si>
    <t>521.0</t>
  </si>
  <si>
    <t>Valentín Barco</t>
  </si>
  <si>
    <t>307.0</t>
  </si>
  <si>
    <t>Odeluga Offiah</t>
  </si>
  <si>
    <t>Mark O'Mahony</t>
  </si>
  <si>
    <t>Benicio Boaitey</t>
  </si>
  <si>
    <t>Illia Zabarnyi</t>
  </si>
  <si>
    <t>3330.0</t>
  </si>
  <si>
    <t>Bournemouth</t>
  </si>
  <si>
    <t>Dominic Solanke</t>
  </si>
  <si>
    <t>3325.0</t>
  </si>
  <si>
    <t>36.9</t>
  </si>
  <si>
    <t>19.6</t>
  </si>
  <si>
    <t>Ryan Christie</t>
  </si>
  <si>
    <t>2907.0</t>
  </si>
  <si>
    <t>32.3</t>
  </si>
  <si>
    <t>167.0</t>
  </si>
  <si>
    <t>Neto</t>
  </si>
  <si>
    <t>Lewis Cook</t>
  </si>
  <si>
    <t>2786.0</t>
  </si>
  <si>
    <t>142.0</t>
  </si>
  <si>
    <t>Marcos Senesi</t>
  </si>
  <si>
    <t>2242.0</t>
  </si>
  <si>
    <t>24.9</t>
  </si>
  <si>
    <t>Justin Kluivert</t>
  </si>
  <si>
    <t>1916.0</t>
  </si>
  <si>
    <t>21.3</t>
  </si>
  <si>
    <t>Adam Smith</t>
  </si>
  <si>
    <t>2150.0</t>
  </si>
  <si>
    <t>Marcus Tavernier</t>
  </si>
  <si>
    <t>2118.0</t>
  </si>
  <si>
    <t>23.5</t>
  </si>
  <si>
    <t>171.0</t>
  </si>
  <si>
    <t>Antoine Semenyo</t>
  </si>
  <si>
    <t>2105.0</t>
  </si>
  <si>
    <t>188.0</t>
  </si>
  <si>
    <t>Milos Kerkez</t>
  </si>
  <si>
    <t>1970.0</t>
  </si>
  <si>
    <t>21.9</t>
  </si>
  <si>
    <t>Lloyd Kelly</t>
  </si>
  <si>
    <t>1559.0</t>
  </si>
  <si>
    <t>Philip Billing</t>
  </si>
  <si>
    <t>1398.0</t>
  </si>
  <si>
    <t>Max Aarons</t>
  </si>
  <si>
    <t>1237.0</t>
  </si>
  <si>
    <t>13.7</t>
  </si>
  <si>
    <t>Dango Ouattara</t>
  </si>
  <si>
    <t>1229.0</t>
  </si>
  <si>
    <t>Alex Scott</t>
  </si>
  <si>
    <t>1014.0</t>
  </si>
  <si>
    <t>Luis Sinisterra</t>
  </si>
  <si>
    <t>699.0</t>
  </si>
  <si>
    <t>Chris Mepham</t>
  </si>
  <si>
    <t>617.0</t>
  </si>
  <si>
    <t>Mark Travers</t>
  </si>
  <si>
    <t>360.0</t>
  </si>
  <si>
    <t>Joe Rothwell</t>
  </si>
  <si>
    <t>386.0</t>
  </si>
  <si>
    <t>Enes Ünal</t>
  </si>
  <si>
    <t>tr TUR</t>
  </si>
  <si>
    <t>328.0</t>
  </si>
  <si>
    <t>1.07</t>
  </si>
  <si>
    <t>David Brooks</t>
  </si>
  <si>
    <t>282.0</t>
  </si>
  <si>
    <t>Ionuț Radu</t>
  </si>
  <si>
    <t>Jaidon Anthony</t>
  </si>
  <si>
    <t>Tyler Adams</t>
  </si>
  <si>
    <t>James Hill</t>
  </si>
  <si>
    <t>Kieffer Moore</t>
  </si>
  <si>
    <t>1.23</t>
  </si>
  <si>
    <t>1.44</t>
  </si>
  <si>
    <t>Hamed Junior Traorè</t>
  </si>
  <si>
    <t>Romain Faivre</t>
  </si>
  <si>
    <t>Dominic Sadi</t>
  </si>
  <si>
    <t>Max Kilman</t>
  </si>
  <si>
    <t>Wolverhampton</t>
  </si>
  <si>
    <t>Nélson Semedo</t>
  </si>
  <si>
    <t>3084.0</t>
  </si>
  <si>
    <t>José Sá</t>
  </si>
  <si>
    <t>3037.0</t>
  </si>
  <si>
    <t>33.7</t>
  </si>
  <si>
    <t>Mario Lemina</t>
  </si>
  <si>
    <t>ga GAB</t>
  </si>
  <si>
    <t>2968.0</t>
  </si>
  <si>
    <t>João Gomes</t>
  </si>
  <si>
    <t>2649.0</t>
  </si>
  <si>
    <t>Toti Gomes</t>
  </si>
  <si>
    <t>2772.0</t>
  </si>
  <si>
    <t>30.8</t>
  </si>
  <si>
    <t>Matheus Cunha</t>
  </si>
  <si>
    <t>2440.0</t>
  </si>
  <si>
    <t>27.1</t>
  </si>
  <si>
    <t>Rayan Aït-Nouri</t>
  </si>
  <si>
    <t>2329.0</t>
  </si>
  <si>
    <t>Craig Dawson</t>
  </si>
  <si>
    <t>Hwang Hee-chan</t>
  </si>
  <si>
    <t>2119.0</t>
  </si>
  <si>
    <t>9.9</t>
  </si>
  <si>
    <t>Pablo Sarabia</t>
  </si>
  <si>
    <t>1745.0</t>
  </si>
  <si>
    <t>19.4</t>
  </si>
  <si>
    <t>9.8</t>
  </si>
  <si>
    <t>Pedro Neto</t>
  </si>
  <si>
    <t>1516.0</t>
  </si>
  <si>
    <t>Tommy Doyle</t>
  </si>
  <si>
    <t>1222.0</t>
  </si>
  <si>
    <t>81.0</t>
  </si>
  <si>
    <t>Jean-Ricner Bellegarde</t>
  </si>
  <si>
    <t>958.0</t>
  </si>
  <si>
    <t>Matt Doherty</t>
  </si>
  <si>
    <t>1150.0</t>
  </si>
  <si>
    <t>Santiago Bueno</t>
  </si>
  <si>
    <t>822.0</t>
  </si>
  <si>
    <t>Boubacar Traoré</t>
  </si>
  <si>
    <t>819.0</t>
  </si>
  <si>
    <t>Hugo Bueno</t>
  </si>
  <si>
    <t>741.0</t>
  </si>
  <si>
    <t>Daniel Bentley</t>
  </si>
  <si>
    <t>383.0</t>
  </si>
  <si>
    <t>Fábio Silva</t>
  </si>
  <si>
    <t>264.0</t>
  </si>
  <si>
    <t>Leon Chiwome</t>
  </si>
  <si>
    <t>174.0</t>
  </si>
  <si>
    <t>Nathan Fraser</t>
  </si>
  <si>
    <t>Sasa Kalajdzic</t>
  </si>
  <si>
    <t>at AUT</t>
  </si>
  <si>
    <t>166.0</t>
  </si>
  <si>
    <t>1.08</t>
  </si>
  <si>
    <t>Tawanda Chirewa</t>
  </si>
  <si>
    <t>zw ZIM</t>
  </si>
  <si>
    <t>Jonny Castro</t>
  </si>
  <si>
    <t>Enso Gonzalez</t>
  </si>
  <si>
    <t>Mark Flekken</t>
  </si>
  <si>
    <t>3285.0</t>
  </si>
  <si>
    <t>36.5</t>
  </si>
  <si>
    <t>Brentford</t>
  </si>
  <si>
    <t>Vitaly Janelt</t>
  </si>
  <si>
    <t>123.0</t>
  </si>
  <si>
    <t>Christian Nørgaard</t>
  </si>
  <si>
    <t>2505.0</t>
  </si>
  <si>
    <t>27.8</t>
  </si>
  <si>
    <t>161.0</t>
  </si>
  <si>
    <t>Nathan Collins</t>
  </si>
  <si>
    <t>2652.0</t>
  </si>
  <si>
    <t>29.5</t>
  </si>
  <si>
    <t>Yoane Wissa</t>
  </si>
  <si>
    <t>cd COD</t>
  </si>
  <si>
    <t>2493.0</t>
  </si>
  <si>
    <t>27.7</t>
  </si>
  <si>
    <t>Ethan Pinnock</t>
  </si>
  <si>
    <t>2521.0</t>
  </si>
  <si>
    <t>Mathias Jensen</t>
  </si>
  <si>
    <t>2204.0</t>
  </si>
  <si>
    <t>Mads Roerslev</t>
  </si>
  <si>
    <t>Bryan Mbeumo</t>
  </si>
  <si>
    <t>1960.0</t>
  </si>
  <si>
    <t>21.8</t>
  </si>
  <si>
    <t>Kristoffer Ajer</t>
  </si>
  <si>
    <t>1832.0</t>
  </si>
  <si>
    <t>20.4</t>
  </si>
  <si>
    <t>Ivan Toney</t>
  </si>
  <si>
    <t>1450.0</t>
  </si>
  <si>
    <t>16.1</t>
  </si>
  <si>
    <t>Keane Lewis-Potter</t>
  </si>
  <si>
    <t>1441.0</t>
  </si>
  <si>
    <t>Ben Mee</t>
  </si>
  <si>
    <t>1272.0</t>
  </si>
  <si>
    <t>14.1</t>
  </si>
  <si>
    <t>1118.0</t>
  </si>
  <si>
    <t>1321.0</t>
  </si>
  <si>
    <t>Mathias Jørgensen</t>
  </si>
  <si>
    <t>1087.0</t>
  </si>
  <si>
    <t>Frank Onyeka</t>
  </si>
  <si>
    <t>Aaron Hickey</t>
  </si>
  <si>
    <t>713.0</t>
  </si>
  <si>
    <t>Mikkel Damsgaard</t>
  </si>
  <si>
    <t>842.0</t>
  </si>
  <si>
    <t>Saman Ghoddos</t>
  </si>
  <si>
    <t>ir IRN</t>
  </si>
  <si>
    <t>739.0</t>
  </si>
  <si>
    <t>Yehor Yarmoliuk</t>
  </si>
  <si>
    <t>688.0</t>
  </si>
  <si>
    <t>Rico Henry</t>
  </si>
  <si>
    <t>401.0</t>
  </si>
  <si>
    <t>Kevin Schade</t>
  </si>
  <si>
    <t>333.0</t>
  </si>
  <si>
    <t>Shandon Baptiste</t>
  </si>
  <si>
    <t>gd GRN</t>
  </si>
  <si>
    <t>Thomas Strakosha</t>
  </si>
  <si>
    <t>Michael Olakigbe</t>
  </si>
  <si>
    <t>Josh Dasilva</t>
  </si>
  <si>
    <t>Myles Peart-Harris</t>
  </si>
  <si>
    <t>Morgan Gibbs-White</t>
  </si>
  <si>
    <t>3156.0</t>
  </si>
  <si>
    <t>35.1</t>
  </si>
  <si>
    <t>170.0</t>
  </si>
  <si>
    <t>Nottingham Forest</t>
  </si>
  <si>
    <t>Murillo</t>
  </si>
  <si>
    <t>2789.0</t>
  </si>
  <si>
    <t>Anthony Elanga</t>
  </si>
  <si>
    <t>2433.0</t>
  </si>
  <si>
    <t>13.3</t>
  </si>
  <si>
    <t>196.0</t>
  </si>
  <si>
    <t>Ryan Yates</t>
  </si>
  <si>
    <t>1992.0</t>
  </si>
  <si>
    <t>Callum Hudson-Odoi</t>
  </si>
  <si>
    <t>1854.0</t>
  </si>
  <si>
    <t>Chris Wood</t>
  </si>
  <si>
    <t>nz NZL</t>
  </si>
  <si>
    <t>1812.0</t>
  </si>
  <si>
    <t>20.1</t>
  </si>
  <si>
    <t>Danilo</t>
  </si>
  <si>
    <t>1792.0</t>
  </si>
  <si>
    <t>19.9</t>
  </si>
  <si>
    <t>Ola Aina</t>
  </si>
  <si>
    <t>1692.0</t>
  </si>
  <si>
    <t>Orel Mangala</t>
  </si>
  <si>
    <t>1563.0</t>
  </si>
  <si>
    <t>Nicolás Domínguez</t>
  </si>
  <si>
    <t>1495.0</t>
  </si>
  <si>
    <t>Neco Williams</t>
  </si>
  <si>
    <t>Willy Boly</t>
  </si>
  <si>
    <t>1438.0</t>
  </si>
  <si>
    <t>Matt Turner</t>
  </si>
  <si>
    <t>Matz Sels</t>
  </si>
  <si>
    <t>1440.0</t>
  </si>
  <si>
    <t>Moussa Niakhate</t>
  </si>
  <si>
    <t>1460.0</t>
  </si>
  <si>
    <t>16.2</t>
  </si>
  <si>
    <t>Harry Toffolo</t>
  </si>
  <si>
    <t>1459.0</t>
  </si>
  <si>
    <t>Ibrahim Sangaré</t>
  </si>
  <si>
    <t>1035.0</t>
  </si>
  <si>
    <t>Taiwo Awoniyi</t>
  </si>
  <si>
    <t>1042.0</t>
  </si>
  <si>
    <t>Serge Aurier</t>
  </si>
  <si>
    <t>833.0</t>
  </si>
  <si>
    <t>Gonzalo Montiel</t>
  </si>
  <si>
    <t>801.0</t>
  </si>
  <si>
    <t>Andrew Omobamidele</t>
  </si>
  <si>
    <t>783.0</t>
  </si>
  <si>
    <t>Divock Origi</t>
  </si>
  <si>
    <t>606.0</t>
  </si>
  <si>
    <t>Nuno Tavares</t>
  </si>
  <si>
    <t>457.0</t>
  </si>
  <si>
    <t>Odisseas Vlachodimos</t>
  </si>
  <si>
    <t>450.0</t>
  </si>
  <si>
    <t>Joe Worrall</t>
  </si>
  <si>
    <t>Scott McKenna</t>
  </si>
  <si>
    <t>416.0</t>
  </si>
  <si>
    <t>Felipe</t>
  </si>
  <si>
    <t>375.0</t>
  </si>
  <si>
    <t>237.0</t>
  </si>
  <si>
    <t>Gio Reyna</t>
  </si>
  <si>
    <t>Cheikhou Kouyaté</t>
  </si>
  <si>
    <t>212.0</t>
  </si>
  <si>
    <t>Rodrigo Ribeiro</t>
  </si>
  <si>
    <t>Andrey Santos</t>
  </si>
  <si>
    <t>Brandon Aguilera</t>
  </si>
  <si>
    <t>cr CRC</t>
  </si>
  <si>
    <t>Thomas Kaminski</t>
  </si>
  <si>
    <t>3405.0</t>
  </si>
  <si>
    <t>37.8</t>
  </si>
  <si>
    <t>Luton Town</t>
  </si>
  <si>
    <t>Alfie Doughty</t>
  </si>
  <si>
    <t>2925.0</t>
  </si>
  <si>
    <t>32.5</t>
  </si>
  <si>
    <t>Carlton Morris</t>
  </si>
  <si>
    <t>2862.0</t>
  </si>
  <si>
    <t>Ross Barkley</t>
  </si>
  <si>
    <t>2618.0</t>
  </si>
  <si>
    <t>163.0</t>
  </si>
  <si>
    <t>Teden Mengi</t>
  </si>
  <si>
    <t>Gabriel Osho</t>
  </si>
  <si>
    <t>1846.0</t>
  </si>
  <si>
    <t>20.5</t>
  </si>
  <si>
    <t>Issa Kaboré</t>
  </si>
  <si>
    <t>1729.0</t>
  </si>
  <si>
    <t>19.2</t>
  </si>
  <si>
    <t>Amari'i Bell</t>
  </si>
  <si>
    <t>1720.0</t>
  </si>
  <si>
    <t>Chiedozie Ogbene</t>
  </si>
  <si>
    <t>1995.0</t>
  </si>
  <si>
    <t>Tahith Chong</t>
  </si>
  <si>
    <t>Reece Burke</t>
  </si>
  <si>
    <t>1660.0</t>
  </si>
  <si>
    <t>Elijah Adebayo</t>
  </si>
  <si>
    <t>1419.0</t>
  </si>
  <si>
    <t>110.0</t>
  </si>
  <si>
    <t>Albert Sambi Lokonga</t>
  </si>
  <si>
    <t>1303.0</t>
  </si>
  <si>
    <t>Jordan Clark</t>
  </si>
  <si>
    <t>1304.0</t>
  </si>
  <si>
    <t>Andros Townsend</t>
  </si>
  <si>
    <t>1210.0</t>
  </si>
  <si>
    <t>Tom Lockyer</t>
  </si>
  <si>
    <t>1169.0</t>
  </si>
  <si>
    <t>Marvelous Nakamba</t>
  </si>
  <si>
    <t>1130.0</t>
  </si>
  <si>
    <t>12.6</t>
  </si>
  <si>
    <t>Jacob Brown</t>
  </si>
  <si>
    <t>1019.0</t>
  </si>
  <si>
    <t>Pelly Ruddock Mpanzu</t>
  </si>
  <si>
    <t>1101.0</t>
  </si>
  <si>
    <t>Daiki Hashioka</t>
  </si>
  <si>
    <t>Ryan John Giles</t>
  </si>
  <si>
    <t>503.0</t>
  </si>
  <si>
    <t>Fred Onyedinma</t>
  </si>
  <si>
    <t>407.0</t>
  </si>
  <si>
    <t>Mads Juel Andersen</t>
  </si>
  <si>
    <t>400.0</t>
  </si>
  <si>
    <t>Cauley Woodrow</t>
  </si>
  <si>
    <t>427.0</t>
  </si>
  <si>
    <t>Luke Berry</t>
  </si>
  <si>
    <t>323.0</t>
  </si>
  <si>
    <t>Joseph Johnson</t>
  </si>
  <si>
    <t>James Shea</t>
  </si>
  <si>
    <t>Zack Nelson</t>
  </si>
  <si>
    <t>Sander Berge</t>
  </si>
  <si>
    <t>3005.0</t>
  </si>
  <si>
    <t>Burnley</t>
  </si>
  <si>
    <t>Dara O'Shea</t>
  </si>
  <si>
    <t>James Trafford</t>
  </si>
  <si>
    <t>Zeki Amdouni</t>
  </si>
  <si>
    <t>1953.0</t>
  </si>
  <si>
    <t>21.7</t>
  </si>
  <si>
    <t>Vitinho</t>
  </si>
  <si>
    <t>2314.0</t>
  </si>
  <si>
    <t>25.7</t>
  </si>
  <si>
    <t>Charlie Taylor</t>
  </si>
  <si>
    <t>2331.0</t>
  </si>
  <si>
    <t>Wilson Odobert</t>
  </si>
  <si>
    <t>2098.0</t>
  </si>
  <si>
    <t>Josh Brownhill</t>
  </si>
  <si>
    <t>2252.0</t>
  </si>
  <si>
    <t>Josh Cullen</t>
  </si>
  <si>
    <t>2057.0</t>
  </si>
  <si>
    <t>Lyle Foster</t>
  </si>
  <si>
    <t>za RSA</t>
  </si>
  <si>
    <t>1899.0</t>
  </si>
  <si>
    <t>Jacob Bruun Larsen</t>
  </si>
  <si>
    <t>1249.0</t>
  </si>
  <si>
    <t>13.9</t>
  </si>
  <si>
    <t>Maxime Estève</t>
  </si>
  <si>
    <t>1309.0</t>
  </si>
  <si>
    <t>Lorenz Assignon</t>
  </si>
  <si>
    <t>tg TOG</t>
  </si>
  <si>
    <t>1234.0</t>
  </si>
  <si>
    <t>Jordan Beyer</t>
  </si>
  <si>
    <t>Luca Koleosho</t>
  </si>
  <si>
    <t>974.0</t>
  </si>
  <si>
    <t>Jóhann Berg Guðmundsson</t>
  </si>
  <si>
    <t>is ISL</t>
  </si>
  <si>
    <t>1192.0</t>
  </si>
  <si>
    <t>Ameen Al-Dakhil</t>
  </si>
  <si>
    <t>1056.0</t>
  </si>
  <si>
    <t>Arijanet Muric</t>
  </si>
  <si>
    <t>xk KVX</t>
  </si>
  <si>
    <t>David Datro Fofana</t>
  </si>
  <si>
    <t>879.0</t>
  </si>
  <si>
    <t>Connor Roberts</t>
  </si>
  <si>
    <t>823.0</t>
  </si>
  <si>
    <t>Jay Rodriguez</t>
  </si>
  <si>
    <t>Hannes Delcroix</t>
  </si>
  <si>
    <t>589.0</t>
  </si>
  <si>
    <t>Aaron Ramsey</t>
  </si>
  <si>
    <t>527.0</t>
  </si>
  <si>
    <t>Hjalmar Ekdal</t>
  </si>
  <si>
    <t>437.0</t>
  </si>
  <si>
    <t>Mike Trésor</t>
  </si>
  <si>
    <t>420.0</t>
  </si>
  <si>
    <t>Anass Zaroury</t>
  </si>
  <si>
    <t>Benson Manuel</t>
  </si>
  <si>
    <t>ao ANG</t>
  </si>
  <si>
    <t>Nathan Redmond</t>
  </si>
  <si>
    <t>Jack Cork</t>
  </si>
  <si>
    <t>Michael Obafemi</t>
  </si>
  <si>
    <t>Han-Noah Massengo</t>
  </si>
  <si>
    <t>Gustavo Hamer</t>
  </si>
  <si>
    <t>2910.0</t>
  </si>
  <si>
    <t>Sheffield United</t>
  </si>
  <si>
    <t>Jayden Bogle</t>
  </si>
  <si>
    <t>2788.0</t>
  </si>
  <si>
    <t>Jack Robinson</t>
  </si>
  <si>
    <t>2885.0</t>
  </si>
  <si>
    <t>Vinicius Souza</t>
  </si>
  <si>
    <t>2668.0</t>
  </si>
  <si>
    <t>29.6</t>
  </si>
  <si>
    <t>Anel Ahmedhodžić</t>
  </si>
  <si>
    <t>ba BIH</t>
  </si>
  <si>
    <t>Wes Foderingham</t>
  </si>
  <si>
    <t>Auston Trusty</t>
  </si>
  <si>
    <t>2572.0</t>
  </si>
  <si>
    <t>1822.0</t>
  </si>
  <si>
    <t>Oliver Norwood</t>
  </si>
  <si>
    <t>Oliver McBurnie</t>
  </si>
  <si>
    <t>1280.0</t>
  </si>
  <si>
    <t>Ben Osborn</t>
  </si>
  <si>
    <t>Ben Brereton</t>
  </si>
  <si>
    <t>cl CHI</t>
  </si>
  <si>
    <t>1105.0</t>
  </si>
  <si>
    <t>Andre Brooks</t>
  </si>
  <si>
    <t>George Baldock</t>
  </si>
  <si>
    <t>969.0</t>
  </si>
  <si>
    <t>Oliver Arblaster</t>
  </si>
  <si>
    <t>943.0</t>
  </si>
  <si>
    <t>Luke Thomas</t>
  </si>
  <si>
    <t>917.0</t>
  </si>
  <si>
    <t>William Osula</t>
  </si>
  <si>
    <t>786.0</t>
  </si>
  <si>
    <t>Ivo Grbić</t>
  </si>
  <si>
    <t>771.0</t>
  </si>
  <si>
    <t>Mason Holgate</t>
  </si>
  <si>
    <t>710.0</t>
  </si>
  <si>
    <t>Yasser Larouci</t>
  </si>
  <si>
    <t>531.0</t>
  </si>
  <si>
    <t>John Egan</t>
  </si>
  <si>
    <t>482.0</t>
  </si>
  <si>
    <t>Max Lowe</t>
  </si>
  <si>
    <t>Anis Ben Slimane</t>
  </si>
  <si>
    <t>Bénie Adama Traore</t>
  </si>
  <si>
    <t>387.0</t>
  </si>
  <si>
    <t>Rhian Brewster</t>
  </si>
  <si>
    <t>346.0</t>
  </si>
  <si>
    <t>Chris Basham</t>
  </si>
  <si>
    <t>321.0</t>
  </si>
  <si>
    <t>Tom Davies</t>
  </si>
  <si>
    <t>221.0</t>
  </si>
  <si>
    <t>Rhys Norrington-Davies</t>
  </si>
  <si>
    <t>John Fleck</t>
  </si>
  <si>
    <t>Sam Curtis</t>
  </si>
  <si>
    <t>Daniel Jebbison</t>
  </si>
  <si>
    <t>Antwoine Hackford</t>
  </si>
  <si>
    <t>Sydie Peck</t>
  </si>
  <si>
    <t>Ryan One</t>
  </si>
  <si>
    <t>Position</t>
  </si>
  <si>
    <t>Main Position</t>
  </si>
  <si>
    <t>Matches Played</t>
  </si>
  <si>
    <t>Minutes</t>
  </si>
  <si>
    <t>90s Played</t>
  </si>
  <si>
    <t>Goals</t>
  </si>
  <si>
    <t>Assists</t>
  </si>
  <si>
    <t>Goals+Assists</t>
  </si>
  <si>
    <t>Goals Excluding Penalty</t>
  </si>
  <si>
    <t>Penalty</t>
  </si>
  <si>
    <t>Penalty Kicks Attempted</t>
  </si>
  <si>
    <t>Yellow Cards</t>
  </si>
  <si>
    <t>Red Cards</t>
  </si>
  <si>
    <t xml:space="preserve">Expected Goals </t>
  </si>
  <si>
    <t>Non-Penalty Expected Goals</t>
  </si>
  <si>
    <t>Expected Assists</t>
  </si>
  <si>
    <t>Non-Penalty xG + xAG</t>
  </si>
  <si>
    <t>Progressive Carries</t>
  </si>
  <si>
    <t>Progressive Passes</t>
  </si>
  <si>
    <t>Progressive Runs</t>
  </si>
  <si>
    <t>Goals/90 Minutes</t>
  </si>
  <si>
    <t>Assists/90 Minutes</t>
  </si>
  <si>
    <t>Goals+Assists/90 Minutes</t>
  </si>
  <si>
    <t>Goals Excluding Penalty/90 Minutes</t>
  </si>
  <si>
    <t>Goals+Assists-Penalty/90 Minutes</t>
  </si>
  <si>
    <t>Expected Goals/90 Minutes</t>
  </si>
  <si>
    <t>Expected Goals+Assists/90 Minutes</t>
  </si>
  <si>
    <t>Non-Penalty Expected Goals/90 Minutes</t>
  </si>
  <si>
    <t>Non-Penalty xG + Expected Assists/90 Minutes</t>
  </si>
  <si>
    <t>pt</t>
  </si>
  <si>
    <t>POR</t>
  </si>
  <si>
    <t>eng</t>
  </si>
  <si>
    <t>ENG</t>
  </si>
  <si>
    <t>be</t>
  </si>
  <si>
    <t>BEL</t>
  </si>
  <si>
    <t>de</t>
  </si>
  <si>
    <t>GER</t>
  </si>
  <si>
    <t>br</t>
  </si>
  <si>
    <t>BRA</t>
  </si>
  <si>
    <t>no</t>
  </si>
  <si>
    <t>NOR</t>
  </si>
  <si>
    <t>pl</t>
  </si>
  <si>
    <t>POL</t>
  </si>
  <si>
    <t>jp</t>
  </si>
  <si>
    <t>JPN</t>
  </si>
  <si>
    <t>it</t>
  </si>
  <si>
    <t>ITA</t>
  </si>
  <si>
    <t>ua</t>
  </si>
  <si>
    <t>UKR</t>
  </si>
  <si>
    <t>fr</t>
  </si>
  <si>
    <t>FRA</t>
  </si>
  <si>
    <t>es</t>
  </si>
  <si>
    <t>ESP</t>
  </si>
  <si>
    <t>gh</t>
  </si>
  <si>
    <t>GHA</t>
  </si>
  <si>
    <t>nl</t>
  </si>
  <si>
    <t>NED</t>
  </si>
  <si>
    <t>eg</t>
  </si>
  <si>
    <t>EGY</t>
  </si>
  <si>
    <t>co</t>
  </si>
  <si>
    <t>COL</t>
  </si>
  <si>
    <t>jm</t>
  </si>
  <si>
    <t>JAM</t>
  </si>
  <si>
    <t>sct</t>
  </si>
  <si>
    <t>SCO</t>
  </si>
  <si>
    <t>ar</t>
  </si>
  <si>
    <t>ARG</t>
  </si>
  <si>
    <t>se</t>
  </si>
  <si>
    <t>SWE</t>
  </si>
  <si>
    <t>bf</t>
  </si>
  <si>
    <t>BFA</t>
  </si>
  <si>
    <t>tr</t>
  </si>
  <si>
    <t>TUR</t>
  </si>
  <si>
    <t>wls</t>
  </si>
  <si>
    <t>WAL</t>
  </si>
  <si>
    <t>dk</t>
  </si>
  <si>
    <t>DEN</t>
  </si>
  <si>
    <t>hu</t>
  </si>
  <si>
    <t>HUN</t>
  </si>
  <si>
    <t>ie</t>
  </si>
  <si>
    <t>IRL</t>
  </si>
  <si>
    <t>ro</t>
  </si>
  <si>
    <t>ROU</t>
  </si>
  <si>
    <t>us</t>
  </si>
  <si>
    <t>USA</t>
  </si>
  <si>
    <t>ci</t>
  </si>
  <si>
    <t>CIV</t>
  </si>
  <si>
    <t>gd</t>
  </si>
  <si>
    <t>GRN</t>
  </si>
  <si>
    <t>cm</t>
  </si>
  <si>
    <t>CMR</t>
  </si>
  <si>
    <t>cd</t>
  </si>
  <si>
    <t>COD</t>
  </si>
  <si>
    <t>ng</t>
  </si>
  <si>
    <t>NGA</t>
  </si>
  <si>
    <t>ir</t>
  </si>
  <si>
    <t>IRN</t>
  </si>
  <si>
    <t>al</t>
  </si>
  <si>
    <t>ALB</t>
  </si>
  <si>
    <t>py</t>
  </si>
  <si>
    <t>PAR</t>
  </si>
  <si>
    <t>ec</t>
  </si>
  <si>
    <t>ECU</t>
  </si>
  <si>
    <t>za</t>
  </si>
  <si>
    <t>RSA</t>
  </si>
  <si>
    <t>is</t>
  </si>
  <si>
    <t>ISL</t>
  </si>
  <si>
    <t>ch</t>
  </si>
  <si>
    <t>SUI</t>
  </si>
  <si>
    <t>tg</t>
  </si>
  <si>
    <t>TOG</t>
  </si>
  <si>
    <t>xk</t>
  </si>
  <si>
    <t>KVX</t>
  </si>
  <si>
    <t>ma</t>
  </si>
  <si>
    <t>MAR</t>
  </si>
  <si>
    <t>ao</t>
  </si>
  <si>
    <t>ANG</t>
  </si>
  <si>
    <t>sn</t>
  </si>
  <si>
    <t>SEN</t>
  </si>
  <si>
    <t>rs</t>
  </si>
  <si>
    <t>SRB</t>
  </si>
  <si>
    <t>ml</t>
  </si>
  <si>
    <t>MLI</t>
  </si>
  <si>
    <t>gw</t>
  </si>
  <si>
    <t>GNB</t>
  </si>
  <si>
    <t>mx</t>
  </si>
  <si>
    <t>MEX</t>
  </si>
  <si>
    <t>uy</t>
  </si>
  <si>
    <t>URU</t>
  </si>
  <si>
    <t>nir</t>
  </si>
  <si>
    <t>NIR</t>
  </si>
  <si>
    <t>gr</t>
  </si>
  <si>
    <t>GRE</t>
  </si>
  <si>
    <t>zw</t>
  </si>
  <si>
    <t>ZIM</t>
  </si>
  <si>
    <t>hr</t>
  </si>
  <si>
    <t>CRO</t>
  </si>
  <si>
    <t>tn</t>
  </si>
  <si>
    <t>TUN</t>
  </si>
  <si>
    <t>sk</t>
  </si>
  <si>
    <t>SVK</t>
  </si>
  <si>
    <t>nz</t>
  </si>
  <si>
    <t>NZL</t>
  </si>
  <si>
    <t>cr</t>
  </si>
  <si>
    <t>CRC</t>
  </si>
  <si>
    <t>cl</t>
  </si>
  <si>
    <t>CHI</t>
  </si>
  <si>
    <t>ba</t>
  </si>
  <si>
    <t>BIH</t>
  </si>
  <si>
    <t>dz</t>
  </si>
  <si>
    <t>ALG</t>
  </si>
  <si>
    <t>il</t>
  </si>
  <si>
    <t>ISR</t>
  </si>
  <si>
    <t>kr</t>
  </si>
  <si>
    <t>KOR</t>
  </si>
  <si>
    <t>cz</t>
  </si>
  <si>
    <t>CZE</t>
  </si>
  <si>
    <t>at</t>
  </si>
  <si>
    <t>AUT</t>
  </si>
  <si>
    <t>ga</t>
  </si>
  <si>
    <t>GAB</t>
  </si>
  <si>
    <t>Nation (Lowercase)</t>
  </si>
  <si>
    <t>Nation (Uppercase)</t>
  </si>
  <si>
    <t>Total Goals</t>
  </si>
  <si>
    <t>Average Age</t>
  </si>
  <si>
    <t>Count Players</t>
  </si>
  <si>
    <t>Total Assists</t>
  </si>
  <si>
    <t>Total Red Cards</t>
  </si>
  <si>
    <t>Total Yellow Cards</t>
  </si>
  <si>
    <t>Загальний підсумок</t>
  </si>
  <si>
    <t>Top scorers</t>
  </si>
  <si>
    <t>Сума з Goals/90 Minutes</t>
  </si>
  <si>
    <t>Goals Scored</t>
  </si>
  <si>
    <t>Expected Goals Scored</t>
  </si>
  <si>
    <t>Expected Total Assists</t>
  </si>
  <si>
    <t>Сума з Assists/90 Minutes</t>
  </si>
  <si>
    <t>More Than 1000 Minutes</t>
  </si>
  <si>
    <t>Age Category</t>
  </si>
  <si>
    <t>Expected Assists/90 Minutes</t>
  </si>
  <si>
    <t>Overperformers</t>
  </si>
  <si>
    <t>Сума з Overperformers</t>
  </si>
  <si>
    <t>Сума з Goals+Assists/90 Minutes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</si>
</sst>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3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1"/>
      <color rgb="FF381D54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81D5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0" borderId="0" xfId="0" applyNumberFormat="1"/>
  </cellXfs>
  <cellStyles count="1">
    <cellStyle name="Звичайний" xfId="0" builtinId="0"/>
  </cellStyles>
  <dxfs count="94"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164" formatCode="0.0"/>
    </dxf>
    <dxf>
      <font>
        <color rgb="FF381D54"/>
      </font>
      <border>
        <bottom style="thin">
          <color theme="8"/>
        </bottom>
        <vertical/>
        <horizontal/>
      </border>
    </dxf>
    <dxf>
      <font>
        <sz val="16"/>
        <color theme="0"/>
        <name val="ADLaM Display"/>
        <scheme val="none"/>
      </font>
      <fill>
        <patternFill patternType="none">
          <fgColor indexed="64"/>
          <bgColor auto="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SlicerStyleLight5 2" pivot="0" table="0" count="10" xr9:uid="{72847F68-63FC-4C20-8C97-E1F939A9624D}">
      <tableStyleElement type="wholeTable" dxfId="22"/>
      <tableStyleElement type="headerRow" dxfId="21"/>
    </tableStyle>
  </tableStyles>
  <colors>
    <mruColors>
      <color rgb="FF381D54"/>
      <color rgb="FFAA72D4"/>
      <color rgb="FFA376D0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darkGray">
              <fgColor rgb="FF381D54"/>
              <bgColor theme="8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381D54"/>
          </font>
          <fill>
            <patternFill patternType="solid">
              <fgColor rgb="FFFFFFFF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5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[premier-league-player-analysis.xlsx]pivot tables!Top scorers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381D54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 sz="2400" b="1">
                <a:solidFill>
                  <a:srgbClr val="381D54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TOP SCORERS</a:t>
            </a:r>
            <a:endParaRPr lang="en-US" sz="2400" b="1">
              <a:solidFill>
                <a:srgbClr val="381D54"/>
              </a:solidFill>
              <a:ea typeface="ADLaM Display" panose="02010000000000000000" pitchFamily="2" charset="0"/>
              <a:cs typeface="ADLaM Display" panose="02010000000000000000" pitchFamily="2" charset="0"/>
            </a:endParaRPr>
          </a:p>
        </c:rich>
      </c:tx>
      <c:layout>
        <c:manualLayout>
          <c:xMode val="edge"/>
          <c:yMode val="edge"/>
          <c:x val="0.6687277701859452"/>
          <c:y val="2.1268995856971864E-2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381D54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381D54">
              <a:alpha val="48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381D54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381D54">
              <a:alpha val="48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381D54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381D54">
              <a:alpha val="48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381D54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381D54">
              <a:alpha val="48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layout>
            <c:manualLayout>
              <c:x val="0"/>
              <c:y val="9.1152839387022271E-3"/>
            </c:manualLayout>
          </c:layout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</c:pivotFmts>
    <c:plotArea>
      <c:layout>
        <c:manualLayout>
          <c:layoutTarget val="inner"/>
          <c:xMode val="edge"/>
          <c:yMode val="edge"/>
          <c:x val="0.18715243575966195"/>
          <c:y val="3.0107525027823059E-2"/>
          <c:w val="0.79409944087782014"/>
          <c:h val="0.9066166728016765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tables'!$B$1</c:f>
              <c:strCache>
                <c:ptCount val="1"/>
                <c:pt idx="0">
                  <c:v>Goals Scored</c:v>
                </c:pt>
              </c:strCache>
            </c:strRef>
          </c:tx>
          <c:spPr>
            <a:solidFill>
              <a:srgbClr val="381D54"/>
            </a:solidFill>
            <a:ln>
              <a:noFill/>
            </a:ln>
            <a:effectLst/>
          </c:spPr>
          <c:invertIfNegative val="0"/>
          <c:cat>
            <c:strRef>
              <c:f>'pivot tables'!$A$2:$A$13</c:f>
              <c:strCache>
                <c:ptCount val="11"/>
                <c:pt idx="0">
                  <c:v>Erling Haaland</c:v>
                </c:pt>
                <c:pt idx="1">
                  <c:v>Cole Palmer</c:v>
                </c:pt>
                <c:pt idx="2">
                  <c:v>Alexander Isak</c:v>
                </c:pt>
                <c:pt idx="3">
                  <c:v>Ollie Watkins</c:v>
                </c:pt>
                <c:pt idx="4">
                  <c:v>Dominic Solanke</c:v>
                </c:pt>
                <c:pt idx="5">
                  <c:v>Phil Foden</c:v>
                </c:pt>
                <c:pt idx="6">
                  <c:v>Mohamed Salah</c:v>
                </c:pt>
                <c:pt idx="7">
                  <c:v>Son Heung-min</c:v>
                </c:pt>
                <c:pt idx="8">
                  <c:v>Bukayo Saka</c:v>
                </c:pt>
                <c:pt idx="9">
                  <c:v>Jean-Philippe Mateta</c:v>
                </c:pt>
                <c:pt idx="10">
                  <c:v>Jarrod Bowen</c:v>
                </c:pt>
              </c:strCache>
            </c:strRef>
          </c:cat>
          <c:val>
            <c:numRef>
              <c:f>'pivot tables'!$B$2:$B$13</c:f>
              <c:numCache>
                <c:formatCode>0</c:formatCode>
                <c:ptCount val="11"/>
                <c:pt idx="0">
                  <c:v>27</c:v>
                </c:pt>
                <c:pt idx="1">
                  <c:v>22</c:v>
                </c:pt>
                <c:pt idx="2">
                  <c:v>21</c:v>
                </c:pt>
                <c:pt idx="3">
                  <c:v>19</c:v>
                </c:pt>
                <c:pt idx="4">
                  <c:v>19</c:v>
                </c:pt>
                <c:pt idx="5">
                  <c:v>19</c:v>
                </c:pt>
                <c:pt idx="6">
                  <c:v>18</c:v>
                </c:pt>
                <c:pt idx="7">
                  <c:v>17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10-4382-BCCC-24F40385DBD6}"/>
            </c:ext>
          </c:extLst>
        </c:ser>
        <c:ser>
          <c:idx val="1"/>
          <c:order val="1"/>
          <c:tx>
            <c:strRef>
              <c:f>'pivot tables'!$C$1</c:f>
              <c:strCache>
                <c:ptCount val="1"/>
                <c:pt idx="0">
                  <c:v>Expected Goals Scored</c:v>
                </c:pt>
              </c:strCache>
            </c:strRef>
          </c:tx>
          <c:spPr>
            <a:solidFill>
              <a:srgbClr val="381D54">
                <a:alpha val="48000"/>
              </a:srgbClr>
            </a:solidFill>
            <a:ln>
              <a:noFill/>
            </a:ln>
            <a:effectLst/>
          </c:spPr>
          <c:invertIfNegative val="0"/>
          <c:cat>
            <c:strRef>
              <c:f>'pivot tables'!$A$2:$A$13</c:f>
              <c:strCache>
                <c:ptCount val="11"/>
                <c:pt idx="0">
                  <c:v>Erling Haaland</c:v>
                </c:pt>
                <c:pt idx="1">
                  <c:v>Cole Palmer</c:v>
                </c:pt>
                <c:pt idx="2">
                  <c:v>Alexander Isak</c:v>
                </c:pt>
                <c:pt idx="3">
                  <c:v>Ollie Watkins</c:v>
                </c:pt>
                <c:pt idx="4">
                  <c:v>Dominic Solanke</c:v>
                </c:pt>
                <c:pt idx="5">
                  <c:v>Phil Foden</c:v>
                </c:pt>
                <c:pt idx="6">
                  <c:v>Mohamed Salah</c:v>
                </c:pt>
                <c:pt idx="7">
                  <c:v>Son Heung-min</c:v>
                </c:pt>
                <c:pt idx="8">
                  <c:v>Bukayo Saka</c:v>
                </c:pt>
                <c:pt idx="9">
                  <c:v>Jean-Philippe Mateta</c:v>
                </c:pt>
                <c:pt idx="10">
                  <c:v>Jarrod Bowen</c:v>
                </c:pt>
              </c:strCache>
            </c:strRef>
          </c:cat>
          <c:val>
            <c:numRef>
              <c:f>'pivot tables'!$C$2:$C$13</c:f>
              <c:numCache>
                <c:formatCode>0.0</c:formatCode>
                <c:ptCount val="11"/>
                <c:pt idx="0">
                  <c:v>29.2</c:v>
                </c:pt>
                <c:pt idx="1">
                  <c:v>18.2</c:v>
                </c:pt>
                <c:pt idx="2">
                  <c:v>20.3</c:v>
                </c:pt>
                <c:pt idx="3">
                  <c:v>16.8</c:v>
                </c:pt>
                <c:pt idx="4">
                  <c:v>19.600000000000001</c:v>
                </c:pt>
                <c:pt idx="5">
                  <c:v>10.3</c:v>
                </c:pt>
                <c:pt idx="6">
                  <c:v>21.2</c:v>
                </c:pt>
                <c:pt idx="7">
                  <c:v>12</c:v>
                </c:pt>
                <c:pt idx="8">
                  <c:v>15.5</c:v>
                </c:pt>
                <c:pt idx="9">
                  <c:v>10.9</c:v>
                </c:pt>
                <c:pt idx="10">
                  <c:v>11.6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910-4382-BCCC-24F40385D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6038271"/>
        <c:axId val="306038751"/>
      </c:barChart>
      <c:catAx>
        <c:axId val="3060382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381D54"/>
                </a:solidFill>
                <a:latin typeface="Aptos" panose="020B0004020202020204" pitchFamily="34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306038751"/>
        <c:crosses val="autoZero"/>
        <c:auto val="1"/>
        <c:lblAlgn val="ctr"/>
        <c:lblOffset val="100"/>
        <c:noMultiLvlLbl val="0"/>
      </c:catAx>
      <c:valAx>
        <c:axId val="30603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38271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69181528222557354"/>
          <c:y val="0.14879421062239206"/>
          <c:w val="0.25209866033187894"/>
          <c:h val="0.379766019056748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[premier-league-player-analysis.xlsx]pivot tables!Зведена таблиця11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rgbClr val="381D54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TOP ASSISTANS</a:t>
            </a:r>
            <a:endParaRPr lang="uk-UA" sz="2400">
              <a:solidFill>
                <a:srgbClr val="381D54"/>
              </a:solidFill>
              <a:ea typeface="ADLaM Display" panose="02010000000000000000" pitchFamily="2" charset="0"/>
              <a:cs typeface="ADLaM Display" panose="02010000000000000000" pitchFamily="2" charset="0"/>
            </a:endParaRPr>
          </a:p>
        </c:rich>
      </c:tx>
      <c:layout>
        <c:manualLayout>
          <c:xMode val="edge"/>
          <c:yMode val="edge"/>
          <c:x val="0.66650082779506437"/>
          <c:y val="2.45045072857495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381D5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381D54">
              <a:alpha val="48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713163051580327"/>
          <c:y val="3.3693697517905657E-2"/>
          <c:w val="0.59721290488224399"/>
          <c:h val="0.8954935825203753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tables'!$F$1</c:f>
              <c:strCache>
                <c:ptCount val="1"/>
                <c:pt idx="0">
                  <c:v>Total Assists</c:v>
                </c:pt>
              </c:strCache>
            </c:strRef>
          </c:tx>
          <c:spPr>
            <a:solidFill>
              <a:srgbClr val="381D54"/>
            </a:solidFill>
            <a:ln>
              <a:noFill/>
            </a:ln>
            <a:effectLst/>
          </c:spPr>
          <c:invertIfNegative val="0"/>
          <c:cat>
            <c:strRef>
              <c:f>'pivot tables'!$E$2:$E$13</c:f>
              <c:strCache>
                <c:ptCount val="11"/>
                <c:pt idx="0">
                  <c:v>Ollie Watkins</c:v>
                </c:pt>
                <c:pt idx="1">
                  <c:v>Cole Palmer</c:v>
                </c:pt>
                <c:pt idx="2">
                  <c:v>Anthony Gordon</c:v>
                </c:pt>
                <c:pt idx="3">
                  <c:v>Pascal Groß</c:v>
                </c:pt>
                <c:pt idx="4">
                  <c:v>Mohamed Salah</c:v>
                </c:pt>
                <c:pt idx="5">
                  <c:v>Brennan Johnson</c:v>
                </c:pt>
                <c:pt idx="6">
                  <c:v>Morgan Gibbs-White</c:v>
                </c:pt>
                <c:pt idx="7">
                  <c:v>Kevin De Bruyne</c:v>
                </c:pt>
                <c:pt idx="8">
                  <c:v>Son Heung-min</c:v>
                </c:pt>
                <c:pt idx="9">
                  <c:v>Kieran Trippier</c:v>
                </c:pt>
                <c:pt idx="10">
                  <c:v>Martin Ødegaard</c:v>
                </c:pt>
              </c:strCache>
            </c:strRef>
          </c:cat>
          <c:val>
            <c:numRef>
              <c:f>'pivot tables'!$F$2:$F$13</c:f>
              <c:numCache>
                <c:formatCode>0</c:formatCode>
                <c:ptCount val="11"/>
                <c:pt idx="0">
                  <c:v>13</c:v>
                </c:pt>
                <c:pt idx="1">
                  <c:v>11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8C-4179-BF7C-CA54C711871A}"/>
            </c:ext>
          </c:extLst>
        </c:ser>
        <c:ser>
          <c:idx val="1"/>
          <c:order val="1"/>
          <c:tx>
            <c:strRef>
              <c:f>'pivot tables'!$G$1</c:f>
              <c:strCache>
                <c:ptCount val="1"/>
                <c:pt idx="0">
                  <c:v>Expected Total Assists</c:v>
                </c:pt>
              </c:strCache>
            </c:strRef>
          </c:tx>
          <c:spPr>
            <a:solidFill>
              <a:srgbClr val="381D54">
                <a:alpha val="48000"/>
              </a:srgbClr>
            </a:solidFill>
            <a:ln>
              <a:noFill/>
            </a:ln>
            <a:effectLst/>
          </c:spPr>
          <c:invertIfNegative val="0"/>
          <c:cat>
            <c:strRef>
              <c:f>'pivot tables'!$E$2:$E$13</c:f>
              <c:strCache>
                <c:ptCount val="11"/>
                <c:pt idx="0">
                  <c:v>Ollie Watkins</c:v>
                </c:pt>
                <c:pt idx="1">
                  <c:v>Cole Palmer</c:v>
                </c:pt>
                <c:pt idx="2">
                  <c:v>Anthony Gordon</c:v>
                </c:pt>
                <c:pt idx="3">
                  <c:v>Pascal Groß</c:v>
                </c:pt>
                <c:pt idx="4">
                  <c:v>Mohamed Salah</c:v>
                </c:pt>
                <c:pt idx="5">
                  <c:v>Brennan Johnson</c:v>
                </c:pt>
                <c:pt idx="6">
                  <c:v>Morgan Gibbs-White</c:v>
                </c:pt>
                <c:pt idx="7">
                  <c:v>Kevin De Bruyne</c:v>
                </c:pt>
                <c:pt idx="8">
                  <c:v>Son Heung-min</c:v>
                </c:pt>
                <c:pt idx="9">
                  <c:v>Kieran Trippier</c:v>
                </c:pt>
                <c:pt idx="10">
                  <c:v>Martin Ødegaard</c:v>
                </c:pt>
              </c:strCache>
            </c:strRef>
          </c:cat>
          <c:val>
            <c:numRef>
              <c:f>'pivot tables'!$G$2:$G$13</c:f>
              <c:numCache>
                <c:formatCode>0.0</c:formatCode>
                <c:ptCount val="11"/>
                <c:pt idx="0">
                  <c:v>7.3</c:v>
                </c:pt>
                <c:pt idx="1">
                  <c:v>11.1</c:v>
                </c:pt>
                <c:pt idx="2">
                  <c:v>8</c:v>
                </c:pt>
                <c:pt idx="3">
                  <c:v>8.1</c:v>
                </c:pt>
                <c:pt idx="4">
                  <c:v>11.8</c:v>
                </c:pt>
                <c:pt idx="5">
                  <c:v>8.1</c:v>
                </c:pt>
                <c:pt idx="6">
                  <c:v>8.4</c:v>
                </c:pt>
                <c:pt idx="7">
                  <c:v>11.5</c:v>
                </c:pt>
                <c:pt idx="8">
                  <c:v>11.8</c:v>
                </c:pt>
                <c:pt idx="9">
                  <c:v>7.5</c:v>
                </c:pt>
                <c:pt idx="10">
                  <c:v>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8C-4179-BF7C-CA54C7118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04742479"/>
        <c:axId val="404739599"/>
      </c:barChart>
      <c:catAx>
        <c:axId val="4047424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381D54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04739599"/>
        <c:crosses val="autoZero"/>
        <c:auto val="1"/>
        <c:lblAlgn val="ctr"/>
        <c:lblOffset val="100"/>
        <c:noMultiLvlLbl val="0"/>
      </c:catAx>
      <c:valAx>
        <c:axId val="404739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742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97382038864795"/>
          <c:y val="0.16814891601321313"/>
          <c:w val="0.21955947165197992"/>
          <c:h val="0.342080509848110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[premier-league-player-analysis.xlsx]pivot tables!Зведена таблиця1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rgbClr val="381D54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 sz="2800"/>
              <a:t>Top overperformers</a:t>
            </a:r>
            <a:endParaRPr lang="uk-UA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rgbClr val="381D54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47625" cap="rnd">
            <a:solidFill>
              <a:srgbClr val="381D54"/>
            </a:solidFill>
            <a:round/>
          </a:ln>
          <a:effectLst/>
        </c:spPr>
        <c:marker>
          <c:symbol val="circle"/>
          <c:size val="5"/>
          <c:spPr>
            <a:solidFill>
              <a:srgbClr val="381D54"/>
            </a:solidFill>
            <a:ln w="63500">
              <a:solidFill>
                <a:srgbClr val="381D5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381D54"/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195901489347437E-2"/>
          <c:y val="0.17673415200796552"/>
          <c:w val="0.894503112816732"/>
          <c:h val="0.68253070335483002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tables'!$Q$1</c:f>
              <c:strCache>
                <c:ptCount val="1"/>
                <c:pt idx="0">
                  <c:v>Підсумок</c:v>
                </c:pt>
              </c:strCache>
            </c:strRef>
          </c:tx>
          <c:spPr>
            <a:ln w="47625" cap="rnd">
              <a:solidFill>
                <a:srgbClr val="381D5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381D54"/>
              </a:solidFill>
              <a:ln w="63500">
                <a:solidFill>
                  <a:srgbClr val="381D5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381D54"/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tables'!$P$2:$P$7</c:f>
              <c:strCache>
                <c:ptCount val="5"/>
                <c:pt idx="0">
                  <c:v>Phil Foden</c:v>
                </c:pt>
                <c:pt idx="1">
                  <c:v>Callum Hudson-Odoi</c:v>
                </c:pt>
                <c:pt idx="2">
                  <c:v>Jean-Philippe Mateta</c:v>
                </c:pt>
                <c:pt idx="3">
                  <c:v>Son Heung-min</c:v>
                </c:pt>
                <c:pt idx="4">
                  <c:v>Diogo Jota</c:v>
                </c:pt>
              </c:strCache>
            </c:strRef>
          </c:cat>
          <c:val>
            <c:numRef>
              <c:f>'pivot tables'!$Q$2:$Q$7</c:f>
              <c:numCache>
                <c:formatCode>0.0</c:formatCode>
                <c:ptCount val="5"/>
                <c:pt idx="0">
                  <c:v>8.6999999999999993</c:v>
                </c:pt>
                <c:pt idx="1">
                  <c:v>5.3</c:v>
                </c:pt>
                <c:pt idx="2">
                  <c:v>5.0999999999999996</c:v>
                </c:pt>
                <c:pt idx="3">
                  <c:v>5</c:v>
                </c:pt>
                <c:pt idx="4">
                  <c:v>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4A-49E6-ACCC-B5B7B1B42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64688"/>
        <c:axId val="42865168"/>
      </c:lineChart>
      <c:catAx>
        <c:axId val="4286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81D54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42865168"/>
        <c:crosses val="autoZero"/>
        <c:auto val="1"/>
        <c:lblAlgn val="ctr"/>
        <c:lblOffset val="100"/>
        <c:noMultiLvlLbl val="0"/>
      </c:catAx>
      <c:valAx>
        <c:axId val="4286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81D54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4286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381D54"/>
          </a:solidFill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[premier-league-player-analysis.xlsx]pivot tables!Зведена таблиця2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rgbClr val="381D54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r>
              <a:rPr lang="en-US" sz="2400"/>
              <a:t>Goals+Assists-Penalty/90 Minutes</a:t>
            </a:r>
            <a:endParaRPr lang="uk-UA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rgbClr val="381D54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381D54"/>
          </a:solidFill>
          <a:ln>
            <a:solidFill>
              <a:srgbClr val="381D54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9564354925571432E-2"/>
          <c:y val="0.14735324406546091"/>
          <c:w val="0.9215467578381108"/>
          <c:h val="0.7094597535888321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'pivot tables'!$T$1</c:f>
              <c:strCache>
                <c:ptCount val="1"/>
                <c:pt idx="0">
                  <c:v>Підсумок</c:v>
                </c:pt>
              </c:strCache>
            </c:strRef>
          </c:tx>
          <c:spPr>
            <a:solidFill>
              <a:srgbClr val="381D54"/>
            </a:solidFill>
            <a:ln>
              <a:solidFill>
                <a:srgbClr val="381D54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tables'!$S$2:$S$12</c:f>
              <c:strCache>
                <c:ptCount val="10"/>
                <c:pt idx="0">
                  <c:v>Cole Palmer</c:v>
                </c:pt>
                <c:pt idx="1">
                  <c:v>Erling Haaland</c:v>
                </c:pt>
                <c:pt idx="2">
                  <c:v>Michael Olise</c:v>
                </c:pt>
                <c:pt idx="3">
                  <c:v>Kevin De Bruyne</c:v>
                </c:pt>
                <c:pt idx="4">
                  <c:v>Diogo Jota</c:v>
                </c:pt>
                <c:pt idx="5">
                  <c:v>Mohamed Salah</c:v>
                </c:pt>
                <c:pt idx="6">
                  <c:v>Alexander Isak</c:v>
                </c:pt>
                <c:pt idx="7">
                  <c:v>Richarlison</c:v>
                </c:pt>
                <c:pt idx="8">
                  <c:v>Ollie Watkins</c:v>
                </c:pt>
                <c:pt idx="9">
                  <c:v>Phil Foden</c:v>
                </c:pt>
              </c:strCache>
            </c:strRef>
          </c:cat>
          <c:val>
            <c:numRef>
              <c:f>'pivot tables'!$T$2:$T$12</c:f>
              <c:numCache>
                <c:formatCode>0.00</c:formatCode>
                <c:ptCount val="10"/>
                <c:pt idx="0">
                  <c:v>1.1399999999999999</c:v>
                </c:pt>
                <c:pt idx="1">
                  <c:v>1.1299999999999999</c:v>
                </c:pt>
                <c:pt idx="2">
                  <c:v>1.1299999999999999</c:v>
                </c:pt>
                <c:pt idx="3">
                  <c:v>1.03</c:v>
                </c:pt>
                <c:pt idx="4">
                  <c:v>1.02</c:v>
                </c:pt>
                <c:pt idx="5">
                  <c:v>0.99</c:v>
                </c:pt>
                <c:pt idx="6">
                  <c:v>0.92</c:v>
                </c:pt>
                <c:pt idx="7">
                  <c:v>0.91</c:v>
                </c:pt>
                <c:pt idx="8">
                  <c:v>0.9</c:v>
                </c:pt>
                <c:pt idx="9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E9-4998-92B0-297A072D52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09703488"/>
        <c:axId val="309707808"/>
      </c:barChart>
      <c:catAx>
        <c:axId val="30970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81D54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309707808"/>
        <c:crosses val="autoZero"/>
        <c:auto val="1"/>
        <c:lblAlgn val="ctr"/>
        <c:lblOffset val="100"/>
        <c:noMultiLvlLbl val="0"/>
      </c:catAx>
      <c:valAx>
        <c:axId val="30970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81D54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defRPr>
            </a:pPr>
            <a:endParaRPr lang="en-US"/>
          </a:p>
        </c:txPr>
        <c:crossAx val="30970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381D54"/>
          </a:solidFill>
          <a:latin typeface="ADLaM Display" panose="02010000000000000000" pitchFamily="2" charset="0"/>
          <a:ea typeface="ADLaM Display" panose="02010000000000000000" pitchFamily="2" charset="0"/>
          <a:cs typeface="ADLaM Display" panose="0201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103414</xdr:colOff>
      <xdr:row>0</xdr:row>
      <xdr:rowOff>112060</xdr:rowOff>
    </xdr:from>
    <xdr:to>
      <xdr:col>9</xdr:col>
      <xdr:colOff>440871</xdr:colOff>
      <xdr:row>4</xdr:row>
      <xdr:rowOff>112059</xdr:rowOff>
    </xdr:to>
    <xdr:sp macro="" textlink="">
      <xdr:nvSpPr>
        <xdr:cNvPr id="3" name="Прямокутник: округлені кути 2">
          <a:extLst>
            <a:ext uri="{FF2B5EF4-FFF2-40B4-BE49-F238E27FC236}">
              <a16:creationId xmlns:a16="http://schemas.microsoft.com/office/drawing/2014/main" id="{1EDBEF2B-9FE9-4B4D-4BF0-F5564A24B34F}"/>
            </a:ext>
          </a:extLst>
        </xdr:cNvPr>
        <xdr:cNvSpPr/>
      </xdr:nvSpPr>
      <xdr:spPr>
        <a:xfrm>
          <a:off x="103414" y="112060"/>
          <a:ext cx="5823857" cy="761999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en-US" sz="2400" b="1">
              <a:solidFill>
                <a:srgbClr val="381D54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PREMIER LEAGUE SEASON 24-25        </a:t>
          </a:r>
        </a:p>
      </xdr:txBody>
    </xdr:sp>
    <xdr:clientData/>
  </xdr:twoCellAnchor>
  <xdr:twoCellAnchor editAs="oneCell">
    <xdr:from>
      <xdr:col>0</xdr:col>
      <xdr:colOff>251654</xdr:colOff>
      <xdr:row>0</xdr:row>
      <xdr:rowOff>66595</xdr:rowOff>
    </xdr:from>
    <xdr:to>
      <xdr:col>1</xdr:col>
      <xdr:colOff>486976</xdr:colOff>
      <xdr:row>4</xdr:row>
      <xdr:rowOff>151260</xdr:rowOff>
    </xdr:to>
    <xdr:pic>
      <xdr:nvPicPr>
        <xdr:cNvPr id="2" name="Рисунок 1" descr="New Premier League Logo 2023: Redesign Analysis | Dorve">
          <a:extLst>
            <a:ext uri="{FF2B5EF4-FFF2-40B4-BE49-F238E27FC236}">
              <a16:creationId xmlns:a16="http://schemas.microsoft.com/office/drawing/2014/main" id="{38009B46-DFBA-B729-C2CE-1BB0CC96B1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1654" y="66595"/>
          <a:ext cx="844922" cy="8466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293915</xdr:colOff>
      <xdr:row>8</xdr:row>
      <xdr:rowOff>124149</xdr:rowOff>
    </xdr:from>
    <xdr:to>
      <xdr:col>9</xdr:col>
      <xdr:colOff>446315</xdr:colOff>
      <xdr:row>11</xdr:row>
      <xdr:rowOff>168973</xdr:rowOff>
    </xdr:to>
    <xdr:sp macro="" textlink="$A$6">
      <xdr:nvSpPr>
        <xdr:cNvPr id="5" name="Прямокутник: округлені кути 4">
          <a:extLst>
            <a:ext uri="{FF2B5EF4-FFF2-40B4-BE49-F238E27FC236}">
              <a16:creationId xmlns:a16="http://schemas.microsoft.com/office/drawing/2014/main" id="{B7D5D194-F84F-D9A5-A551-100C5B305685}"/>
            </a:ext>
          </a:extLst>
        </xdr:cNvPr>
        <xdr:cNvSpPr/>
      </xdr:nvSpPr>
      <xdr:spPr>
        <a:xfrm>
          <a:off x="3341915" y="1648149"/>
          <a:ext cx="2590800" cy="616324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33A0DC39-38FA-4C11-A225-13F746CF09FE}" type="TxLink">
            <a:rPr lang="en-US" sz="1400" b="0" i="0" u="none" strike="noStrike">
              <a:solidFill>
                <a:srgbClr val="381D54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pPr algn="l"/>
            <a:t>NUMBER OF PLAYERS: 321</a:t>
          </a:fld>
          <a:endParaRPr lang="en-US" sz="1400">
            <a:solidFill>
              <a:srgbClr val="381D54"/>
            </a:solidFill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</xdr:txBody>
    </xdr:sp>
    <xdr:clientData/>
  </xdr:twoCellAnchor>
  <xdr:twoCellAnchor>
    <xdr:from>
      <xdr:col>0</xdr:col>
      <xdr:colOff>91789</xdr:colOff>
      <xdr:row>4</xdr:row>
      <xdr:rowOff>189849</xdr:rowOff>
    </xdr:from>
    <xdr:to>
      <xdr:col>3</xdr:col>
      <xdr:colOff>54428</xdr:colOff>
      <xdr:row>8</xdr:row>
      <xdr:rowOff>59863</xdr:rowOff>
    </xdr:to>
    <xdr:sp macro="" textlink="$A$7">
      <xdr:nvSpPr>
        <xdr:cNvPr id="6" name="Прямокутник: округлені кути 5">
          <a:extLst>
            <a:ext uri="{FF2B5EF4-FFF2-40B4-BE49-F238E27FC236}">
              <a16:creationId xmlns:a16="http://schemas.microsoft.com/office/drawing/2014/main" id="{39F354D5-1388-4819-B23A-C0EE6FE526DC}"/>
            </a:ext>
          </a:extLst>
        </xdr:cNvPr>
        <xdr:cNvSpPr/>
      </xdr:nvSpPr>
      <xdr:spPr>
        <a:xfrm>
          <a:off x="91789" y="951849"/>
          <a:ext cx="1791439" cy="632014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5F56296-F894-4582-B7E9-6A07A193D262}" type="TxLink">
            <a:rPr lang="en-US" sz="1400" b="0" i="0" u="none" strike="noStrike">
              <a:solidFill>
                <a:srgbClr val="381D54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pPr algn="ctr"/>
            <a:t>AVERAGE AGE: 25,8</a:t>
          </a:fld>
          <a:endParaRPr lang="en-US" sz="1800">
            <a:solidFill>
              <a:srgbClr val="381D54"/>
            </a:solidFill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</xdr:txBody>
    </xdr:sp>
    <xdr:clientData/>
  </xdr:twoCellAnchor>
  <xdr:twoCellAnchor>
    <xdr:from>
      <xdr:col>3</xdr:col>
      <xdr:colOff>136071</xdr:colOff>
      <xdr:row>5</xdr:row>
      <xdr:rowOff>1489</xdr:rowOff>
    </xdr:from>
    <xdr:to>
      <xdr:col>6</xdr:col>
      <xdr:colOff>212270</xdr:colOff>
      <xdr:row>8</xdr:row>
      <xdr:rowOff>55280</xdr:rowOff>
    </xdr:to>
    <xdr:sp macro="" textlink="$A$8">
      <xdr:nvSpPr>
        <xdr:cNvPr id="7" name="Прямокутник: округлені кути 6">
          <a:extLst>
            <a:ext uri="{FF2B5EF4-FFF2-40B4-BE49-F238E27FC236}">
              <a16:creationId xmlns:a16="http://schemas.microsoft.com/office/drawing/2014/main" id="{9A70DDB5-6A54-4714-ACE4-937515FA65C5}"/>
            </a:ext>
          </a:extLst>
        </xdr:cNvPr>
        <xdr:cNvSpPr/>
      </xdr:nvSpPr>
      <xdr:spPr>
        <a:xfrm>
          <a:off x="1964871" y="953989"/>
          <a:ext cx="1904999" cy="625291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154B0809-F28F-4C1B-A395-7A93AEFF53F1}" type="TxLink">
            <a:rPr lang="en-US" sz="1400" b="0" i="0" u="none" strike="noStrike">
              <a:solidFill>
                <a:srgbClr val="381D54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pPr algn="ctr"/>
            <a:t>TOTAL GOALS: 1097</a:t>
          </a:fld>
          <a:endParaRPr lang="en-US" sz="2400" b="0">
            <a:solidFill>
              <a:srgbClr val="381D54"/>
            </a:solidFill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</xdr:txBody>
    </xdr:sp>
    <xdr:clientData/>
  </xdr:twoCellAnchor>
  <xdr:twoCellAnchor>
    <xdr:from>
      <xdr:col>6</xdr:col>
      <xdr:colOff>293914</xdr:colOff>
      <xdr:row>4</xdr:row>
      <xdr:rowOff>186192</xdr:rowOff>
    </xdr:from>
    <xdr:to>
      <xdr:col>9</xdr:col>
      <xdr:colOff>440872</xdr:colOff>
      <xdr:row>8</xdr:row>
      <xdr:rowOff>45117</xdr:rowOff>
    </xdr:to>
    <xdr:sp macro="" textlink="$A$9">
      <xdr:nvSpPr>
        <xdr:cNvPr id="8" name="Прямокутник: округлені кути 7">
          <a:extLst>
            <a:ext uri="{FF2B5EF4-FFF2-40B4-BE49-F238E27FC236}">
              <a16:creationId xmlns:a16="http://schemas.microsoft.com/office/drawing/2014/main" id="{77D240A2-6373-4444-95EB-8F9C295EEE3C}"/>
            </a:ext>
          </a:extLst>
        </xdr:cNvPr>
        <xdr:cNvSpPr/>
      </xdr:nvSpPr>
      <xdr:spPr>
        <a:xfrm>
          <a:off x="3951514" y="948192"/>
          <a:ext cx="1975758" cy="620925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83CFD70F-1DF2-439D-BB49-5CA0572678F1}" type="TxLink">
            <a:rPr lang="en-US" sz="1400" b="0" i="0" u="none" strike="noStrike">
              <a:solidFill>
                <a:srgbClr val="381D54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pPr algn="ctr"/>
            <a:t>TOTAL ASSISTS: 777</a:t>
          </a:fld>
          <a:endParaRPr lang="en-US" sz="2400" b="0">
            <a:solidFill>
              <a:srgbClr val="381D54"/>
            </a:solidFill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</xdr:txBody>
    </xdr:sp>
    <xdr:clientData/>
  </xdr:twoCellAnchor>
  <xdr:twoCellAnchor>
    <xdr:from>
      <xdr:col>0</xdr:col>
      <xdr:colOff>94716</xdr:colOff>
      <xdr:row>8</xdr:row>
      <xdr:rowOff>131579</xdr:rowOff>
    </xdr:from>
    <xdr:to>
      <xdr:col>3</xdr:col>
      <xdr:colOff>48985</xdr:colOff>
      <xdr:row>11</xdr:row>
      <xdr:rowOff>185487</xdr:rowOff>
    </xdr:to>
    <xdr:sp macro="" textlink="$A$10">
      <xdr:nvSpPr>
        <xdr:cNvPr id="9" name="Прямокутник: округлені кути 8">
          <a:extLst>
            <a:ext uri="{FF2B5EF4-FFF2-40B4-BE49-F238E27FC236}">
              <a16:creationId xmlns:a16="http://schemas.microsoft.com/office/drawing/2014/main" id="{EC52F174-DEC5-4CE2-A0B4-96E58DB28957}"/>
            </a:ext>
          </a:extLst>
        </xdr:cNvPr>
        <xdr:cNvSpPr/>
      </xdr:nvSpPr>
      <xdr:spPr>
        <a:xfrm>
          <a:off x="94716" y="1655579"/>
          <a:ext cx="1783069" cy="625408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E95D0AB-7EE5-4192-BC18-E8A2DEDF4A18}" type="TxLink">
            <a:rPr lang="en-US" sz="1400" b="0" i="0" u="none" strike="noStrike">
              <a:solidFill>
                <a:srgbClr val="381D54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pPr algn="ctr"/>
            <a:t>TOTAL YELLOW CARDS: 1400</a:t>
          </a:fld>
          <a:endParaRPr lang="en-US" sz="2400" b="0">
            <a:solidFill>
              <a:srgbClr val="381D54"/>
            </a:solidFill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</xdr:txBody>
    </xdr:sp>
    <xdr:clientData/>
  </xdr:twoCellAnchor>
  <xdr:twoCellAnchor>
    <xdr:from>
      <xdr:col>3</xdr:col>
      <xdr:colOff>125186</xdr:colOff>
      <xdr:row>8</xdr:row>
      <xdr:rowOff>126414</xdr:rowOff>
    </xdr:from>
    <xdr:to>
      <xdr:col>5</xdr:col>
      <xdr:colOff>212271</xdr:colOff>
      <xdr:row>11</xdr:row>
      <xdr:rowOff>184805</xdr:rowOff>
    </xdr:to>
    <xdr:sp macro="" textlink="$A$11">
      <xdr:nvSpPr>
        <xdr:cNvPr id="10" name="Прямокутник: округлені кути 9">
          <a:extLst>
            <a:ext uri="{FF2B5EF4-FFF2-40B4-BE49-F238E27FC236}">
              <a16:creationId xmlns:a16="http://schemas.microsoft.com/office/drawing/2014/main" id="{397A74B7-5C6C-4ED4-9F48-2888899981F7}"/>
            </a:ext>
          </a:extLst>
        </xdr:cNvPr>
        <xdr:cNvSpPr/>
      </xdr:nvSpPr>
      <xdr:spPr>
        <a:xfrm>
          <a:off x="1953986" y="1650414"/>
          <a:ext cx="1306285" cy="629891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5291E68-F09D-4608-A9E4-BFCDAD13C616}" type="TxLink">
            <a:rPr lang="en-US" sz="1400" b="0" i="0" u="none" strike="noStrike">
              <a:solidFill>
                <a:srgbClr val="381D54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pPr algn="ctr"/>
            <a:t>TOTAL RED CARDS: 45</a:t>
          </a:fld>
          <a:endParaRPr lang="en-US" sz="2400" b="0">
            <a:solidFill>
              <a:srgbClr val="381D54"/>
            </a:solidFill>
            <a:latin typeface="ADLaM Display" panose="02010000000000000000" pitchFamily="2" charset="0"/>
            <a:ea typeface="ADLaM Display" panose="02010000000000000000" pitchFamily="2" charset="0"/>
            <a:cs typeface="ADLaM Display" panose="02010000000000000000" pitchFamily="2" charset="0"/>
          </a:endParaRPr>
        </a:p>
      </xdr:txBody>
    </xdr:sp>
    <xdr:clientData/>
  </xdr:twoCellAnchor>
  <xdr:twoCellAnchor>
    <xdr:from>
      <xdr:col>10</xdr:col>
      <xdr:colOff>455439</xdr:colOff>
      <xdr:row>0</xdr:row>
      <xdr:rowOff>100854</xdr:rowOff>
    </xdr:from>
    <xdr:to>
      <xdr:col>21</xdr:col>
      <xdr:colOff>549088</xdr:colOff>
      <xdr:row>23</xdr:row>
      <xdr:rowOff>0</xdr:rowOff>
    </xdr:to>
    <xdr:graphicFrame macro="">
      <xdr:nvGraphicFramePr>
        <xdr:cNvPr id="12" name="Діаграма 11">
          <a:extLst>
            <a:ext uri="{FF2B5EF4-FFF2-40B4-BE49-F238E27FC236}">
              <a16:creationId xmlns:a16="http://schemas.microsoft.com/office/drawing/2014/main" id="{9E0083DF-79C2-4271-8F78-C831C43A69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168088</xdr:colOff>
      <xdr:row>0</xdr:row>
      <xdr:rowOff>112058</xdr:rowOff>
    </xdr:from>
    <xdr:to>
      <xdr:col>34</xdr:col>
      <xdr:colOff>291354</xdr:colOff>
      <xdr:row>22</xdr:row>
      <xdr:rowOff>179293</xdr:rowOff>
    </xdr:to>
    <xdr:graphicFrame macro="">
      <xdr:nvGraphicFramePr>
        <xdr:cNvPr id="14" name="Діаграма 13">
          <a:extLst>
            <a:ext uri="{FF2B5EF4-FFF2-40B4-BE49-F238E27FC236}">
              <a16:creationId xmlns:a16="http://schemas.microsoft.com/office/drawing/2014/main" id="{F63D7DFA-6F7F-436A-B621-5A53581C1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380998</xdr:colOff>
      <xdr:row>15</xdr:row>
      <xdr:rowOff>100850</xdr:rowOff>
    </xdr:from>
    <xdr:to>
      <xdr:col>9</xdr:col>
      <xdr:colOff>425823</xdr:colOff>
      <xdr:row>21</xdr:row>
      <xdr:rowOff>56027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5" name="More Than 1000 Minutes">
              <a:extLst>
                <a:ext uri="{FF2B5EF4-FFF2-40B4-BE49-F238E27FC236}">
                  <a16:creationId xmlns:a16="http://schemas.microsoft.com/office/drawing/2014/main" id="{7BF58418-6935-4D1D-B508-10BC2BBE4D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re Than 1000 Minute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01469" y="2958350"/>
              <a:ext cx="3070413" cy="10981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Ця фігура – роздільник. Роздільники підтримуються в програмі Excel 2010 або новішій версії.
Якщо фігуру змінено в попередній версії програми Excel, або якщо книгу збережено в програмі Excel 2003 чи старішій версії, роздільники використовувати не можна.</a:t>
              </a:r>
            </a:p>
          </xdr:txBody>
        </xdr:sp>
      </mc:Fallback>
    </mc:AlternateContent>
    <xdr:clientData fLocksWithSheet="0"/>
  </xdr:twoCellAnchor>
  <xdr:twoCellAnchor editAs="oneCell">
    <xdr:from>
      <xdr:col>0</xdr:col>
      <xdr:colOff>134469</xdr:colOff>
      <xdr:row>15</xdr:row>
      <xdr:rowOff>89647</xdr:rowOff>
    </xdr:from>
    <xdr:to>
      <xdr:col>4</xdr:col>
      <xdr:colOff>291353</xdr:colOff>
      <xdr:row>40</xdr:row>
      <xdr:rowOff>145675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6" name="Team">
              <a:extLst>
                <a:ext uri="{FF2B5EF4-FFF2-40B4-BE49-F238E27FC236}">
                  <a16:creationId xmlns:a16="http://schemas.microsoft.com/office/drawing/2014/main" id="{80F96320-7B68-4D54-92EF-DAC9221F45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eam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4469" y="2947147"/>
              <a:ext cx="2577355" cy="4818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Ця фігура – роздільник. Роздільники підтримуються в програмі Excel 2010 або новішій версії.
Якщо фігуру змінено в попередній версії програми Excel, або якщо книгу збережено в програмі Excel 2003 чи старішій версії, роздільники використовувати не можна.</a:t>
              </a:r>
            </a:p>
          </xdr:txBody>
        </xdr:sp>
      </mc:Fallback>
    </mc:AlternateContent>
    <xdr:clientData fLocksWithSheet="0"/>
  </xdr:twoCellAnchor>
  <xdr:twoCellAnchor editAs="oneCell">
    <xdr:from>
      <xdr:col>4</xdr:col>
      <xdr:colOff>380999</xdr:colOff>
      <xdr:row>21</xdr:row>
      <xdr:rowOff>110939</xdr:rowOff>
    </xdr:from>
    <xdr:to>
      <xdr:col>9</xdr:col>
      <xdr:colOff>414495</xdr:colOff>
      <xdr:row>30</xdr:row>
      <xdr:rowOff>11206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Main Position">
              <a:extLst>
                <a:ext uri="{FF2B5EF4-FFF2-40B4-BE49-F238E27FC236}">
                  <a16:creationId xmlns:a16="http://schemas.microsoft.com/office/drawing/2014/main" id="{7FE27095-86CE-48F3-862F-81F3B49AF4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in Posit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01470" y="4111439"/>
              <a:ext cx="3059084" cy="16147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Ця фігура – роздільник. Роздільники підтримуються в програмі Excel 2010 або новішій версії.
Якщо фігуру змінено в попередній версії програми Excel, або якщо книгу збережено в програмі Excel 2003 чи старішій версії, роздільники використовувати не можна.</a:t>
              </a:r>
            </a:p>
          </xdr:txBody>
        </xdr:sp>
      </mc:Fallback>
    </mc:AlternateContent>
    <xdr:clientData fLocksWithSheet="0"/>
  </xdr:twoCellAnchor>
  <xdr:twoCellAnchor editAs="oneCell">
    <xdr:from>
      <xdr:col>4</xdr:col>
      <xdr:colOff>380999</xdr:colOff>
      <xdr:row>30</xdr:row>
      <xdr:rowOff>78441</xdr:rowOff>
    </xdr:from>
    <xdr:to>
      <xdr:col>9</xdr:col>
      <xdr:colOff>403412</xdr:colOff>
      <xdr:row>40</xdr:row>
      <xdr:rowOff>145676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Age Category">
              <a:extLst>
                <a:ext uri="{FF2B5EF4-FFF2-40B4-BE49-F238E27FC236}">
                  <a16:creationId xmlns:a16="http://schemas.microsoft.com/office/drawing/2014/main" id="{C1A06AE2-9E79-497F-8487-2F0A91275F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e 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01470" y="5793441"/>
              <a:ext cx="3048001" cy="1972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Ця фігура – роздільник. Роздільники підтримуються в програмі Excel 2010 або новішій версії.
Якщо фігуру змінено в попередній версії програми Excel, або якщо книгу збережено в програмі Excel 2003 чи старішій версії, роздільники використовувати не можна.</a:t>
              </a:r>
            </a:p>
          </xdr:txBody>
        </xdr:sp>
      </mc:Fallback>
    </mc:AlternateContent>
    <xdr:clientData fLocksWithSheet="0"/>
  </xdr:twoCellAnchor>
  <xdr:twoCellAnchor>
    <xdr:from>
      <xdr:col>10</xdr:col>
      <xdr:colOff>459441</xdr:colOff>
      <xdr:row>23</xdr:row>
      <xdr:rowOff>123264</xdr:rowOff>
    </xdr:from>
    <xdr:to>
      <xdr:col>21</xdr:col>
      <xdr:colOff>526675</xdr:colOff>
      <xdr:row>40</xdr:row>
      <xdr:rowOff>156882</xdr:rowOff>
    </xdr:to>
    <xdr:graphicFrame macro="">
      <xdr:nvGraphicFramePr>
        <xdr:cNvPr id="13" name="Діаграма 12">
          <a:extLst>
            <a:ext uri="{FF2B5EF4-FFF2-40B4-BE49-F238E27FC236}">
              <a16:creationId xmlns:a16="http://schemas.microsoft.com/office/drawing/2014/main" id="{2AD410A5-F622-4570-BFE0-C1A2248927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156881</xdr:colOff>
      <xdr:row>23</xdr:row>
      <xdr:rowOff>156883</xdr:rowOff>
    </xdr:from>
    <xdr:to>
      <xdr:col>34</xdr:col>
      <xdr:colOff>291352</xdr:colOff>
      <xdr:row>40</xdr:row>
      <xdr:rowOff>134471</xdr:rowOff>
    </xdr:to>
    <xdr:graphicFrame macro="">
      <xdr:nvGraphicFramePr>
        <xdr:cNvPr id="17" name="Діаграма 16">
          <a:extLst>
            <a:ext uri="{FF2B5EF4-FFF2-40B4-BE49-F238E27FC236}">
              <a16:creationId xmlns:a16="http://schemas.microsoft.com/office/drawing/2014/main" id="{FFAE5074-7515-4C7E-B97B-FF36236AC2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ras" refreshedDate="46092.642869444448" createdVersion="8" refreshedVersion="8" minRefreshableVersion="3" recordCount="580" xr:uid="{A19AE017-AF5C-4D45-86C5-8637BDC7C4C2}">
  <cacheSource type="worksheet">
    <worksheetSource name="premier_player_23_24"/>
  </cacheSource>
  <cacheFields count="40">
    <cacheField name="Player" numFmtId="0">
      <sharedItems count="570">
        <s v="Fabio Vieira"/>
        <s v="Bukayo Saka"/>
        <s v="Leandro Trossard"/>
        <s v="Kai Havertz"/>
        <s v="Eddie Nketiah"/>
        <s v="Gabriel Jesus"/>
        <s v="Martin Ødegaard"/>
        <s v="Gabriel Martinelli"/>
        <s v="Declan Rice"/>
        <s v="Jakub Kiwior"/>
        <s v="Emile Smith Rowe"/>
        <s v="Ben White"/>
        <s v="Takehiro Tomiyasu"/>
        <s v="Jorginho"/>
        <s v="Oleksandr Zinchenko"/>
        <s v="Gabriel Magalhães"/>
        <s v="William Saliba"/>
        <s v="David Raya"/>
        <s v="Thomas Partey"/>
        <s v="Aaron Ramsdale"/>
        <s v="Reiss Nelson"/>
        <s v="Jurriën Timber"/>
        <s v="Cédric Soares"/>
        <s v="Mohamed Elneny"/>
        <s v="Ethan Nwaneri"/>
        <s v="Jhon Durán"/>
        <s v="Ollie Watkins"/>
        <s v="Leon Bailey"/>
        <s v="Leander Dendoncker"/>
        <s v="Calum Chambers"/>
        <s v="Moussa Diaby"/>
        <s v="Morgan Rogers"/>
        <s v="Youri Tielemans"/>
        <s v="Douglas Luiz"/>
        <s v="John McGinn"/>
        <s v="Nicolò Zaniolo"/>
        <s v="Jacob Ramsey"/>
        <s v="Matty Cash"/>
        <s v="Álex Moreno"/>
        <s v="Lucas Digne"/>
        <s v="Clément Lenglet"/>
        <s v="Pau Torres"/>
        <s v="Boubacar Kamara"/>
        <s v="Ezri Konsa"/>
        <s v="Emiliano Martínez"/>
        <s v="Diego Carlos"/>
        <s v="Robin Olsen"/>
        <s v="Tim Iroegbunam"/>
        <s v="Tyrone Mings"/>
        <s v="Omari Kellyman"/>
        <s v="Philippe Coutinho"/>
        <s v="Bertrand Traoré"/>
        <s v="Cameron Archer"/>
        <s v="Kaine Kesler-Hayden"/>
        <s v="Finley Munroe"/>
        <s v="Jaden Philogene Bidace"/>
        <s v="Enes Ünal"/>
        <s v="Kieffer Moore"/>
        <s v="David Brooks"/>
        <s v="Dominic Solanke"/>
        <s v="Luis Sinisterra"/>
        <s v="Antoine Semenyo"/>
        <s v="Justin Kluivert"/>
        <s v="Marcos Senesi"/>
        <s v="Marcus Tavernier"/>
        <s v="Philip Billing"/>
        <s v="Dango Ouattara"/>
        <s v="Alex Scott"/>
        <s v="Ryan Christie"/>
        <s v="Chris Mepham"/>
        <s v="Lewis Cook"/>
        <s v="Adam Smith"/>
        <s v="Max Aarons"/>
        <s v="Lloyd Kelly"/>
        <s v="Milos Kerkez"/>
        <s v="Illia Zabarnyi"/>
        <s v="Neto"/>
        <s v="Mark Travers"/>
        <s v="Joe Rothwell"/>
        <s v="Ionuț Radu"/>
        <s v="Jaidon Anthony"/>
        <s v="Tyler Adams"/>
        <s v="James Hill"/>
        <s v="Hamed Junior Traorè"/>
        <s v="Romain Faivre"/>
        <s v="Dominic Sadi"/>
        <s v="Kevin Schade"/>
        <s v="Shandon Baptiste"/>
        <s v="Bryan Mbeumo"/>
        <s v="Neal Maupay"/>
        <s v="Yoane Wissa"/>
        <s v="Ivan Toney"/>
        <s v="Sergio Reguilón"/>
        <s v="Mathias Jensen"/>
        <s v="Keane Lewis-Potter"/>
        <s v="Frank Onyeka"/>
        <s v="Rico Henry"/>
        <s v="Mikkel Damsgaard"/>
        <s v="Kristoffer Ajer"/>
        <s v="Mads Roerslev"/>
        <s v="Ben Mee"/>
        <s v="Vitaly Janelt"/>
        <s v="Saman Ghoddos"/>
        <s v="Christian Nørgaard"/>
        <s v="Mathias Jørgensen"/>
        <s v="Nathan Collins"/>
        <s v="Ethan Pinnock"/>
        <s v="Mark Flekken"/>
        <s v="Aaron Hickey"/>
        <s v="Yehor Yarmoliuk"/>
        <s v="Thomas Strakosha"/>
        <s v="Michael Olakigbe"/>
        <s v="Josh Dasilva"/>
        <s v="Myles Peart-Harris"/>
        <s v="Solly March"/>
        <s v="João Pedro"/>
        <s v="Kaoru Mitoma"/>
        <s v="Pascal Groß"/>
        <s v="Evan Ferguson"/>
        <s v="Julio Enciso"/>
        <s v="Pervis Estupiñán"/>
        <s v="Ansu Fati"/>
        <s v="Danny Welbeck"/>
        <s v="Jack Hinshelwood"/>
        <s v="Tariq Lamptey"/>
        <s v="Simon Adingra"/>
        <s v="Facundo Buonanotte"/>
        <s v="James Milner"/>
        <s v="Mahmoud Dahoud"/>
        <s v="Lewis Dunk"/>
        <s v="Joël Veltman"/>
        <s v="Adam Lallana"/>
        <s v="Billy Gilmour"/>
        <s v="Jan Paul van Hecke"/>
        <s v="Bart Verbruggen"/>
        <s v="Igor"/>
        <s v="Jason Steele"/>
        <s v="Carlos Baleba"/>
        <s v="Adam Webster"/>
        <s v="Jakub Moder"/>
        <s v="Valentín Barco"/>
        <s v="Odeluga Offiah"/>
        <s v="Mark O'Mahony"/>
        <s v="Benicio Boaitey"/>
        <s v="David Datro Fofana"/>
        <s v="Jacob Bruun Larsen"/>
        <s v="Lyle Foster"/>
        <s v="Jay Rodriguez"/>
        <s v="Jóhann Berg Guðmundsson"/>
        <s v="Zeki Amdouni"/>
        <s v="Josh Brownhill"/>
        <s v="Dara O'Shea"/>
        <s v="Josh Cullen"/>
        <s v="Lorenz Assignon"/>
        <s v="Wilson Odobert"/>
        <s v="Luca Koleosho"/>
        <s v="Connor Roberts"/>
        <s v="Sander Berge"/>
        <s v="Ameen Al-Dakhil"/>
        <s v="Vitinho"/>
        <s v="Charlie Taylor"/>
        <s v="Jordan Beyer"/>
        <s v="James Trafford"/>
        <s v="Maxime Estève"/>
        <s v="Arijanet Muric"/>
        <s v="Hannes Delcroix"/>
        <s v="Aaron Ramsey"/>
        <s v="Hjalmar Ekdal"/>
        <s v="Mike Trésor"/>
        <s v="Anass Zaroury"/>
        <s v="Benson Manuel"/>
        <s v="Nathan Redmond"/>
        <s v="Jack Cork"/>
        <s v="Michael Obafemi"/>
        <s v="Han-Noah Massengo"/>
        <s v="Cole Palmer"/>
        <s v="Carney Chukwuemeka"/>
        <s v="Nicolas Jackson"/>
        <s v="Christopher Nkunku"/>
        <s v="Noni Madueke"/>
        <s v="Raheem Sterling"/>
        <s v="Reece James"/>
        <s v="Alfie Gilchrist"/>
        <s v="Mykhailo Mudryk"/>
        <s v="Conor Gallagher"/>
        <s v="Malo Gusto"/>
        <s v="Enzo Fernández"/>
        <s v="Armando Broja"/>
        <s v="Thiago Silva"/>
        <s v="Moisés Caicedo"/>
        <s v="Ben Chilwell"/>
        <s v="Levi Colwill"/>
        <s v="Marc Cucurella"/>
        <s v="Trevoh Chalobah"/>
        <s v="Axel Disasi"/>
        <s v="Benoît Badiashile"/>
        <s v="Đorđe Petrović"/>
        <s v="Robert Sánchez"/>
        <s v="Lesley Ugochukwu"/>
        <s v="Ian Maatsen"/>
        <s v="Cesare Casadei"/>
        <s v="Roméo Lavia"/>
        <s v="Deivid Washington"/>
        <s v="Mason Burstow"/>
        <s v="Joshua Acheampong"/>
        <s v="Alex Matos"/>
        <s v="Jimi Tauriainen"/>
        <s v="Michael Olise"/>
        <s v="Jean-Philippe Mateta"/>
        <s v="Eberechi Eze"/>
        <s v="Odsonne Édouard"/>
        <s v="Jordan Ayew"/>
        <s v="Matheus França"/>
        <s v="Jeffrey Schlupp"/>
        <s v="Daniel Muñoz"/>
        <s v="Adam Wharton"/>
        <s v="Tyrick Mitchell"/>
        <s v="Joachim Andersen"/>
        <s v="Chris Richards"/>
        <s v="Jefferson Lerma"/>
        <s v="Joel Ward"/>
        <s v="Will Hughes"/>
        <s v="Marc Guéhi"/>
        <s v="Sam Johnstone"/>
        <s v="Dean Henderson"/>
        <s v="Nathaniel Clyne"/>
        <s v="Cheick Doucouré"/>
        <s v="Jaïro Riedewald"/>
        <s v="Naouirou Ahamada"/>
        <s v="David Ozoh"/>
        <s v="Jesurun Rak Sakyi"/>
        <s v="James Tomkins"/>
        <s v="Remi Matthews"/>
        <s v="Lewis Dobbin"/>
        <s v="Dominic Calvert-Lewin"/>
        <s v="Dwight McNeil"/>
        <s v="Beto"/>
        <s v="Abdoulaye Doucouré"/>
        <s v="Jack Harrison"/>
        <s v="Michael Keane"/>
        <s v="Idrissa Gana Gueye"/>
        <s v="Nathan Patterson"/>
        <s v="André Gomes"/>
        <s v="Arnaut Danjuma"/>
        <s v="Jarrad Branthwaite"/>
        <s v="James Garner"/>
        <s v="Amadou Onana"/>
        <s v="Vitaliy Mykolenko"/>
        <s v="James Tarkowski"/>
        <s v="Jordan Pickford"/>
        <s v="Ashley Young"/>
        <s v="Ben Godfrey"/>
        <s v="Séamus Coleman"/>
        <s v="Alex Iwobi"/>
        <s v="Youssef Chermiti"/>
        <s v="Thomas Cannon"/>
        <s v="Tyler Onyango"/>
        <s v="Lewis Warrington"/>
        <s v="Adama Traoré"/>
        <s v="Carlos Vinícius"/>
        <s v="Rodrigo Muniz"/>
        <s v="Harry Wilson"/>
        <s v="Bobby Reid"/>
        <s v="Raúl Jiménez"/>
        <s v="Andreas Pereira"/>
        <s v="Tom Cairney"/>
        <s v="Willian"/>
        <s v="Antonee Robinson"/>
        <s v="João Palhinha"/>
        <s v="Timothy Castagne"/>
        <s v="Harrison Reed"/>
        <s v="Tosin Adarabioyo"/>
        <s v="Kenny Tete"/>
        <s v="Saša Lukić"/>
        <s v="Tim Ream"/>
        <s v="Calvin Bassey"/>
        <s v="Bernd Leno"/>
        <s v="Issa Diop"/>
        <s v="Luke Harris"/>
        <s v="Fodé Ballo-Touré"/>
        <s v="Aleksandar Mitrović"/>
        <s v="Diogo Jota"/>
        <s v="Mohamed Salah"/>
        <s v="Darwin Núñez"/>
        <s v="Cody Gakpo"/>
        <s v="Harvey Elliott"/>
        <s v="Conor Bradley"/>
        <s v="Luis Díaz"/>
        <s v="Kostas Tsimikas"/>
        <s v="Alexis Mac Allister"/>
        <s v="Trent Alexander-Arnold"/>
        <s v="Andrew Robertson"/>
        <s v="Dominik Szoboszlai"/>
        <s v="Curtis Jones"/>
        <s v="Jarell Quansah"/>
        <s v="Virgil van Dijk"/>
        <s v="Ryan Gravenberch"/>
        <s v="Wataru Endo"/>
        <s v="Joe Gomez"/>
        <s v="Alisson"/>
        <s v="Ibrahima Konaté"/>
        <s v="Caoimhín Kelleher"/>
        <s v="Joël Matip"/>
        <s v="Bobby Clark"/>
        <s v="Stefan Bajcetic"/>
        <s v="Ben Doak"/>
        <s v="Jayden Danns"/>
        <s v="Owen Beck"/>
        <s v="Thiago Alcántara"/>
        <s v="James McConnell"/>
        <s v="Kaide Gordon"/>
        <s v="Luke Berry"/>
        <s v="Elijah Adebayo"/>
        <s v="Carlton Morris"/>
        <s v="Cauley Woodrow"/>
        <s v="Alfie Doughty"/>
        <s v="Ross Barkley"/>
        <s v="Andros Townsend"/>
        <s v="Albert Sambi Lokonga"/>
        <s v="Chiedozie Ogbene"/>
        <s v="Mads Juel Andersen"/>
        <s v="Reece Burke"/>
        <s v="Tahith Chong"/>
        <s v="Jacob Brown"/>
        <s v="Tom Lockyer"/>
        <s v="Jordan Clark"/>
        <s v="Gabriel Osho"/>
        <s v="Issa Kaboré"/>
        <s v="Teden Mengi"/>
        <s v="Thomas Kaminski"/>
        <s v="Amari'i Bell"/>
        <s v="Marvelous Nakamba"/>
        <s v="Pelly Ruddock Mpanzu"/>
        <s v="Daiki Hashioka"/>
        <s v="Ryan John Giles"/>
        <s v="Fred Onyedinma"/>
        <s v="Joseph Johnson"/>
        <s v="James Shea"/>
        <s v="Zack Nelson"/>
        <s v="Sergio Gómez"/>
        <s v="Erling Haaland"/>
        <s v="Kevin De Bruyne"/>
        <s v="Phil Foden"/>
        <s v="Julián Álvarez"/>
        <s v="Jeremy Doku"/>
        <s v="Oscar Bobb"/>
        <s v="Rodri"/>
        <s v="Bernardo Silva"/>
        <s v="Jack Grealish"/>
        <s v="Matheus Nunes"/>
        <s v="Rico Lewis"/>
        <s v="Joško Gvardiol"/>
        <s v="Nathan Aké"/>
        <s v="Kyle Walker"/>
        <s v="John Stones"/>
        <s v="Manuel Akanji"/>
        <s v="Mateo Kovačić"/>
        <s v="Ederson"/>
        <s v="Rúben Dias"/>
        <s v="Stefan Ortega"/>
        <s v="Kalvin Phillips"/>
        <s v="Aymeric Laporte"/>
        <s v="James Mcatee"/>
        <s v="Omari Forson"/>
        <s v="Hannibal Mejbri"/>
        <s v="Bruno Fernandes"/>
        <s v="Facundo Pellistri"/>
        <s v="Rasmus Højlund"/>
        <s v="Amad Diallo"/>
        <s v="Alejandro Garnacho"/>
        <s v="Scott McTominay"/>
        <s v="Marcus Rashford"/>
        <s v="Christian Eriksen"/>
        <s v="Harry Maguire"/>
        <s v="Anthony Martial"/>
        <s v="Kobbie Mainoo"/>
        <s v="Mason Mount"/>
        <s v="Diogo Dalot"/>
        <s v="Casemiro"/>
        <s v="Antony"/>
        <s v="Victor Lindelöf"/>
        <s v="Lisandro Martínez"/>
        <s v="Aaron Wan-Bissaka"/>
        <s v="Raphaël Varane"/>
        <s v="Jonny Evans"/>
        <s v="André Onana"/>
        <s v="Luke Shaw"/>
        <s v="Sofyan Amrabat"/>
        <s v="Willy Kambwala"/>
        <s v="Jadon Sancho"/>
        <s v="Ethan Wheatley"/>
        <s v="Donny van de Beek"/>
        <s v="Daniel Gore"/>
        <s v="Alexander Isak"/>
        <s v="Callum Wilson"/>
        <s v="Harvey Barnes"/>
        <s v="Jacob Murphy"/>
        <s v="Matt Ritchie"/>
        <s v="Anthony Gordon"/>
        <s v="Kieran Trippier"/>
        <s v="Bruno Guimarães"/>
        <s v="Lewis Miley"/>
        <s v="Sean Longstaff"/>
        <s v="Sven Botman"/>
        <s v="Joelinton"/>
        <s v="Sandro Tonali"/>
        <s v="Joe Willock"/>
        <s v="Miguel Almirón"/>
        <s v="Elliot Anderson"/>
        <s v="Fabian Schär"/>
        <s v="Dan Burn"/>
        <s v="Lewis Hall"/>
        <s v="Jamaal Lascelles"/>
        <s v="Valentino Livramento"/>
        <s v="Martin Dúbravka"/>
        <s v="Nick Pope"/>
        <s v="Emil Krafth"/>
        <s v="Loris Karius"/>
        <s v="Matt Targett"/>
        <s v="Ben Parkinson"/>
        <s v="Paul Dummett"/>
        <s v="Alex Murphy"/>
        <s v="Joe White"/>
        <s v="Amadou Diallo"/>
        <s v="Michael Ndiweni"/>
        <s v="Taiwo Awoniyi"/>
        <s v="Chris Wood"/>
        <s v="Anthony Elanga"/>
        <s v="Callum Hudson-Odoi"/>
        <s v="Morgan Gibbs-White"/>
        <s v="Gio Reyna"/>
        <s v="Harry Toffolo"/>
        <s v="Nicolás Domínguez"/>
        <s v="Serge Aurier"/>
        <s v="Gonzalo Montiel"/>
        <s v="Danilo"/>
        <s v="Willy Boly"/>
        <s v="Divock Origi"/>
        <s v="Ola Aina"/>
        <s v="Ryan Yates"/>
        <s v="Murillo"/>
        <s v="Orel Mangala"/>
        <s v="Moussa Niakhate"/>
        <s v="Neco Williams"/>
        <s v="Matt Turner"/>
        <s v="Matz Sels"/>
        <s v="Ibrahim Sangaré"/>
        <s v="Andrew Omobamidele"/>
        <s v="Nuno Tavares"/>
        <s v="Odisseas Vlachodimos"/>
        <s v="Joe Worrall"/>
        <s v="Scott McKenna"/>
        <s v="Felipe"/>
        <s v="Brennan Johnson"/>
        <s v="Cheikhou Kouyaté"/>
        <s v="Rodrigo Ribeiro"/>
        <s v="Andrey Santos"/>
        <s v="Brandon Aguilera"/>
        <s v="Oliver McBurnie"/>
        <s v="Ben Brereton"/>
        <s v="Gustavo Hamer"/>
        <s v="Ben Osborn"/>
        <s v="Jayden Bogle"/>
        <s v="George Baldock"/>
        <s v="Anel Ahmedhodžić"/>
        <s v="Jack Robinson"/>
        <s v="Oliver Norwood"/>
        <s v="Vinicius Souza"/>
        <s v="Wes Foderingham"/>
        <s v="Auston Trusty"/>
        <s v="Andre Brooks"/>
        <s v="Oliver Arblaster"/>
        <s v="Luke Thomas"/>
        <s v="William Osula"/>
        <s v="Ivo Grbić"/>
        <s v="Mason Holgate"/>
        <s v="Yasser Larouci"/>
        <s v="John Egan"/>
        <s v="Max Lowe"/>
        <s v="Anis Ben Slimane"/>
        <s v="Bénie Adama Traore"/>
        <s v="Rhian Brewster"/>
        <s v="Chris Basham"/>
        <s v="Tom Davies"/>
        <s v="Rhys Norrington-Davies"/>
        <s v="John Fleck"/>
        <s v="Sam Curtis"/>
        <s v="Daniel Jebbison"/>
        <s v="Antwoine Hackford"/>
        <s v="Sydie Peck"/>
        <s v="Ryan One"/>
        <s v="Alejo Véliz"/>
        <s v="Richarlison"/>
        <s v="Manor Solomon"/>
        <s v="Ivan Perišić"/>
        <s v="Son Heung-min"/>
        <s v="Giovani Lo Celso"/>
        <s v="Timo Werner"/>
        <s v="James Maddison"/>
        <s v="Dejan Kulusevski"/>
        <s v="Pedro Porro"/>
        <s v="Pape Matar Sarr"/>
        <s v="Destiny Udogie"/>
        <s v="Rodrigo Bentancur"/>
        <s v="Cristian Romero"/>
        <s v="Micky van de Ven"/>
        <s v="Ben Davies"/>
        <s v="Emerson"/>
        <s v="Guglielmo Vicario"/>
        <s v="Yves Bissouma"/>
        <s v="Pierre Højbjerg"/>
        <s v="Oliver Skipp"/>
        <s v="Radu Drăgușin"/>
        <s v="Bryan Gil"/>
        <s v="Eric Dier"/>
        <s v="Davinson Sánchez"/>
        <s v="Dane Scarlett"/>
        <s v="Mikey Moore"/>
        <s v="Jamie Donley"/>
        <s v="George Earthy"/>
        <s v="Maxwel Cornet"/>
        <s v="Jarrod Bowen"/>
        <s v="Mohammed Kudus"/>
        <s v="James Ward-Prowse"/>
        <s v="Michail Antonio"/>
        <s v="Lucas Paquetá"/>
        <s v="Tomáš Souček"/>
        <s v="Danny Ings"/>
        <s v="Vladimír Coufal"/>
        <s v="Saïd Benrahma"/>
        <s v="Kurt Zouma"/>
        <s v="Emerson Palmieri"/>
        <s v="Edson Álvarez"/>
        <s v="Konstantinos Mavropanos"/>
        <s v="Nayef Aguerd"/>
        <s v="Alphonse Areola"/>
        <s v="Łukasz Fabiański"/>
        <s v="Angelo Ogbonna"/>
        <s v="Ben Johnson"/>
        <s v="Aaron Cresswell"/>
        <s v="Pablo Fornals"/>
        <s v="Divin Mubama"/>
        <s v="Thilo Kehrer"/>
        <s v="Kaelan Casey"/>
        <s v="Sasa Kalajdzic"/>
        <s v="Matheus Cunha"/>
        <s v="Pedro Neto"/>
        <s v="Hwang Hee-chan"/>
        <s v="Pablo Sarabia"/>
        <s v="Jean-Ricner Bellegarde"/>
        <s v="Mario Lemina"/>
        <s v="Toti Gomes"/>
        <s v="Rayan Aït-Nouri"/>
        <s v="João Gomes"/>
        <s v="Craig Dawson"/>
        <s v="Matt Doherty"/>
        <s v="Max Kilman"/>
        <s v="Nélson Semedo"/>
        <s v="José Sá"/>
        <s v="Tommy Doyle"/>
        <s v="Santiago Bueno"/>
        <s v="Boubacar Traoré"/>
        <s v="Hugo Bueno"/>
        <s v="Daniel Bentley"/>
        <s v="Fábio Silva"/>
        <s v="Leon Chiwome"/>
        <s v="Nathan Fraser"/>
        <s v="Tawanda Chirewa"/>
        <s v="Jonny Castro"/>
        <s v="Enso Gonzalez"/>
      </sharedItems>
    </cacheField>
    <cacheField name="Nation" numFmtId="0">
      <sharedItems/>
    </cacheField>
    <cacheField name="Nation (Lowercase)" numFmtId="49">
      <sharedItems/>
    </cacheField>
    <cacheField name="Nation (Uppercase)" numFmtId="0">
      <sharedItems/>
    </cacheField>
    <cacheField name="Position" numFmtId="0">
      <sharedItems/>
    </cacheField>
    <cacheField name="Main Position" numFmtId="0">
      <sharedItems count="4">
        <s v="MF"/>
        <s v="FW"/>
        <s v="DF"/>
        <s v="GK"/>
      </sharedItems>
    </cacheField>
    <cacheField name="Age" numFmtId="1">
      <sharedItems containsSemiMixedTypes="0" containsString="0" containsNumber="1" containsInteger="1" minValue="15" maxValue="38"/>
    </cacheField>
    <cacheField name="Age Category" numFmtId="1">
      <sharedItems count="5">
        <s v="Youngs"/>
        <s v="Prime Age"/>
        <s v="Experienced"/>
        <s v="Teenagers"/>
        <s v="Veterans"/>
      </sharedItems>
    </cacheField>
    <cacheField name="Matches Played" numFmtId="1">
      <sharedItems containsSemiMixedTypes="0" containsString="0" containsNumber="1" containsInteger="1" minValue="1" maxValue="38"/>
    </cacheField>
    <cacheField name="Starts" numFmtId="1">
      <sharedItems containsSemiMixedTypes="0" containsString="0" containsNumber="1" containsInteger="1" minValue="0" maxValue="38"/>
    </cacheField>
    <cacheField name="Minutes" numFmtId="164">
      <sharedItems containsSemiMixedTypes="0" containsString="0" containsNumber="1" containsInteger="1" minValue="1" maxValue="3420"/>
    </cacheField>
    <cacheField name="More Than 1000 Minutes" numFmtId="164">
      <sharedItems count="2">
        <s v="Less than 1000 minutes"/>
        <s v="More than 1000 minutes"/>
      </sharedItems>
    </cacheField>
    <cacheField name="90s Played" numFmtId="164">
      <sharedItems containsSemiMixedTypes="0" containsString="0" containsNumber="1" minValue="0" maxValue="38"/>
    </cacheField>
    <cacheField name="Goals" numFmtId="1">
      <sharedItems containsSemiMixedTypes="0" containsString="0" containsNumber="1" containsInteger="1" minValue="0" maxValue="27"/>
    </cacheField>
    <cacheField name="Assists" numFmtId="1">
      <sharedItems containsSemiMixedTypes="0" containsString="0" containsNumber="1" containsInteger="1" minValue="0" maxValue="13"/>
    </cacheField>
    <cacheField name="Goals+Assists" numFmtId="1">
      <sharedItems containsSemiMixedTypes="0" containsString="0" containsNumber="1" containsInteger="1" minValue="0" maxValue="33"/>
    </cacheField>
    <cacheField name="Goals Excluding Penalty" numFmtId="1">
      <sharedItems containsSemiMixedTypes="0" containsString="0" containsNumber="1" containsInteger="1" minValue="0" maxValue="20"/>
    </cacheField>
    <cacheField name="Penalty" numFmtId="1">
      <sharedItems containsSemiMixedTypes="0" containsString="0" containsNumber="1" containsInteger="1" minValue="0" maxValue="9"/>
    </cacheField>
    <cacheField name="Penalty Kicks Attempted" numFmtId="1">
      <sharedItems containsSemiMixedTypes="0" containsString="0" containsNumber="1" containsInteger="1" minValue="0" maxValue="9"/>
    </cacheField>
    <cacheField name="Yellow Cards" numFmtId="0">
      <sharedItems containsSemiMixedTypes="0" containsString="0" containsNumber="1" containsInteger="1" minValue="0" maxValue="13"/>
    </cacheField>
    <cacheField name="Red Cards" numFmtId="164">
      <sharedItems containsSemiMixedTypes="0" containsString="0" containsNumber="1" containsInteger="1" minValue="0" maxValue="2"/>
    </cacheField>
    <cacheField name="Expected Goals " numFmtId="164">
      <sharedItems containsSemiMixedTypes="0" containsString="0" containsNumber="1" minValue="0" maxValue="29.2"/>
    </cacheField>
    <cacheField name="Overperformers" numFmtId="164">
      <sharedItems containsSemiMixedTypes="0" containsString="0" containsNumber="1" minValue="-5.9" maxValue="8.6999999999999993"/>
    </cacheField>
    <cacheField name="Non-Penalty Expected Goals" numFmtId="164">
      <sharedItems containsSemiMixedTypes="0" containsString="0" containsNumber="1" minValue="0" maxValue="22.9"/>
    </cacheField>
    <cacheField name="Expected Assists" numFmtId="164">
      <sharedItems containsSemiMixedTypes="0" containsString="0" containsNumber="1" minValue="0" maxValue="11.8"/>
    </cacheField>
    <cacheField name="Non-Penalty xG + xAG" numFmtId="164">
      <sharedItems containsSemiMixedTypes="0" containsString="0" containsNumber="1" minValue="0" maxValue="27.3"/>
    </cacheField>
    <cacheField name="Progressive Carries" numFmtId="1">
      <sharedItems containsSemiMixedTypes="0" containsString="0" containsNumber="1" containsInteger="1" minValue="0" maxValue="218"/>
    </cacheField>
    <cacheField name="Progressive Passes" numFmtId="1">
      <sharedItems containsSemiMixedTypes="0" containsString="0" containsNumber="1" containsInteger="1" minValue="0" maxValue="376"/>
    </cacheField>
    <cacheField name="Progressive Runs" numFmtId="1">
      <sharedItems containsSemiMixedTypes="0" containsString="0" containsNumber="1" containsInteger="1" minValue="0" maxValue="508"/>
    </cacheField>
    <cacheField name="Goals/90 Minutes" numFmtId="2">
      <sharedItems containsSemiMixedTypes="0" containsString="0" containsNumber="1" minValue="0" maxValue="2.65"/>
    </cacheField>
    <cacheField name="Assists/90 Minutes" numFmtId="2">
      <sharedItems containsSemiMixedTypes="0" containsString="0" containsNumber="1" minValue="0" maxValue="1.7"/>
    </cacheField>
    <cacheField name="Goals+Assists/90 Minutes" numFmtId="2">
      <sharedItems containsSemiMixedTypes="0" containsString="0" containsNumber="1" minValue="0" maxValue="2.65"/>
    </cacheField>
    <cacheField name="Goals Excluding Penalty/90 Minutes" numFmtId="2">
      <sharedItems containsSemiMixedTypes="0" containsString="0" containsNumber="1" minValue="0" maxValue="2.65"/>
    </cacheField>
    <cacheField name="Goals+Assists-Penalty/90 Minutes" numFmtId="2">
      <sharedItems containsSemiMixedTypes="0" containsString="0" containsNumber="1" minValue="0" maxValue="2.65"/>
    </cacheField>
    <cacheField name="Expected Goals/90 Minutes" numFmtId="2">
      <sharedItems containsSemiMixedTypes="0" containsString="0" containsNumber="1" minValue="0" maxValue="3.23"/>
    </cacheField>
    <cacheField name="Expected Assists/90 Minutes" numFmtId="2">
      <sharedItems containsSemiMixedTypes="0" containsString="0" containsNumber="1" minValue="0" maxValue="4.4400000000000004"/>
    </cacheField>
    <cacheField name="Expected Goals+Assists/90 Minutes" numFmtId="2">
      <sharedItems containsSemiMixedTypes="0" containsString="0" containsNumber="1" minValue="0" maxValue="5.54"/>
    </cacheField>
    <cacheField name="Non-Penalty Expected Goals/90 Minutes" numFmtId="2">
      <sharedItems containsSemiMixedTypes="0" containsString="0" containsNumber="1" minValue="0" maxValue="3.23"/>
    </cacheField>
    <cacheField name="Non-Penalty xG + Expected Assists/90 Minutes" numFmtId="2">
      <sharedItems containsSemiMixedTypes="0" containsString="0" containsNumber="1" minValue="0" maxValue="5.54"/>
    </cacheField>
    <cacheField name="Team" numFmtId="0">
      <sharedItems count="20">
        <s v="Arsenal"/>
        <s v="Aston Villa"/>
        <s v="Bournemouth"/>
        <s v="Brentford"/>
        <s v="Brighton"/>
        <s v="Burnley"/>
        <s v="Chelsea"/>
        <s v="Crystal Palace"/>
        <s v="Everton"/>
        <s v="Fulham"/>
        <s v="Liverpool"/>
        <s v="Luton Town"/>
        <s v="Manchester City"/>
        <s v="Manchester United"/>
        <s v="Newcastle United"/>
        <s v="Nottingham Forest"/>
        <s v="Sheffield United"/>
        <s v="Tottenham Hotspur"/>
        <s v="West Ham United"/>
        <s v="Wolverhampton"/>
      </sharedItems>
    </cacheField>
  </cacheFields>
  <extLst>
    <ext xmlns:x14="http://schemas.microsoft.com/office/spreadsheetml/2009/9/main" uri="{725AE2AE-9491-48be-B2B4-4EB974FC3084}">
      <x14:pivotCacheDefinition pivotCacheId="14796691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">
  <r>
    <x v="0"/>
    <s v="pt POR"/>
    <s v="pt"/>
    <s v="POR"/>
    <s v="MF,FW"/>
    <x v="0"/>
    <n v="23"/>
    <x v="0"/>
    <n v="11"/>
    <n v="2"/>
    <n v="297"/>
    <x v="0"/>
    <n v="3.3"/>
    <n v="1"/>
    <n v="2"/>
    <n v="3"/>
    <n v="0"/>
    <n v="1"/>
    <n v="1"/>
    <n v="0"/>
    <n v="1"/>
    <n v="1.3"/>
    <n v="-0.30000000000000004"/>
    <n v="0.5"/>
    <n v="1.6"/>
    <n v="2.1"/>
    <n v="12"/>
    <n v="15"/>
    <n v="30"/>
    <n v="0.3"/>
    <n v="0.61"/>
    <n v="0.91"/>
    <n v="0"/>
    <n v="0.61"/>
    <n v="0.38"/>
    <n v="0.49"/>
    <n v="0.87"/>
    <n v="0.14000000000000001"/>
    <n v="0.64"/>
    <x v="0"/>
  </r>
  <r>
    <x v="1"/>
    <s v="eng ENG"/>
    <s v="eng"/>
    <s v="ENG"/>
    <s v="FW"/>
    <x v="1"/>
    <n v="21"/>
    <x v="0"/>
    <n v="35"/>
    <n v="35"/>
    <n v="2919"/>
    <x v="1"/>
    <n v="32.4"/>
    <n v="16"/>
    <n v="9"/>
    <n v="25"/>
    <n v="10"/>
    <n v="6"/>
    <n v="6"/>
    <n v="4"/>
    <n v="0"/>
    <n v="15.5"/>
    <n v="0.5"/>
    <n v="10.8"/>
    <n v="10.5"/>
    <n v="21.2"/>
    <n v="155"/>
    <n v="126"/>
    <n v="508"/>
    <n v="0.49"/>
    <n v="0.28000000000000003"/>
    <n v="0.77"/>
    <n v="0.31"/>
    <n v="0.59"/>
    <n v="0.48"/>
    <n v="0.32"/>
    <n v="0.8"/>
    <n v="0.33"/>
    <n v="0.65"/>
    <x v="0"/>
  </r>
  <r>
    <x v="2"/>
    <s v="be BEL"/>
    <s v="be"/>
    <s v="BEL"/>
    <s v="FW,MF"/>
    <x v="1"/>
    <n v="28"/>
    <x v="1"/>
    <n v="34"/>
    <n v="18"/>
    <n v="1649"/>
    <x v="1"/>
    <n v="18.3"/>
    <n v="12"/>
    <n v="1"/>
    <n v="13"/>
    <n v="12"/>
    <n v="0"/>
    <n v="0"/>
    <n v="2"/>
    <n v="0"/>
    <n v="7.9"/>
    <n v="4.0999999999999996"/>
    <n v="7.9"/>
    <n v="2.8"/>
    <n v="10.7"/>
    <n v="66"/>
    <n v="76"/>
    <n v="155"/>
    <n v="0.65"/>
    <n v="0.05"/>
    <n v="0.71"/>
    <n v="0.65"/>
    <n v="0.71"/>
    <n v="0.43"/>
    <n v="0.15"/>
    <n v="0.57999999999999996"/>
    <n v="0.43"/>
    <n v="0.57999999999999996"/>
    <x v="0"/>
  </r>
  <r>
    <x v="3"/>
    <s v="de GER"/>
    <s v="de"/>
    <s v="GER"/>
    <s v="MF,FW"/>
    <x v="0"/>
    <n v="24"/>
    <x v="1"/>
    <n v="37"/>
    <n v="30"/>
    <n v="2634"/>
    <x v="1"/>
    <n v="29.3"/>
    <n v="13"/>
    <n v="7"/>
    <n v="20"/>
    <n v="12"/>
    <n v="1"/>
    <n v="1"/>
    <n v="11"/>
    <n v="0"/>
    <n v="12.3"/>
    <n v="0.69999999999999929"/>
    <n v="11.6"/>
    <n v="4.4000000000000004"/>
    <n v="15.9"/>
    <n v="55"/>
    <n v="99"/>
    <n v="191"/>
    <n v="0.44"/>
    <n v="0.24"/>
    <n v="0.68"/>
    <n v="0.41"/>
    <n v="0.65"/>
    <n v="0.42"/>
    <n v="0.15"/>
    <n v="0.56999999999999995"/>
    <n v="0.39"/>
    <n v="0.54"/>
    <x v="0"/>
  </r>
  <r>
    <x v="4"/>
    <s v="eng ENG"/>
    <s v="eng"/>
    <s v="ENG"/>
    <s v="FW"/>
    <x v="1"/>
    <n v="24"/>
    <x v="1"/>
    <n v="27"/>
    <n v="10"/>
    <n v="1082"/>
    <x v="1"/>
    <n v="12"/>
    <n v="5"/>
    <n v="2"/>
    <n v="7"/>
    <n v="5"/>
    <n v="0"/>
    <n v="0"/>
    <n v="3"/>
    <n v="0"/>
    <n v="4.5"/>
    <n v="0.5"/>
    <n v="4.5"/>
    <n v="0.8"/>
    <n v="5.4"/>
    <n v="22"/>
    <n v="20"/>
    <n v="77"/>
    <n v="0.42"/>
    <n v="0.17"/>
    <n v="0.57999999999999996"/>
    <n v="0.42"/>
    <n v="0.57999999999999996"/>
    <n v="0.38"/>
    <n v="7.0000000000000007E-2"/>
    <n v="0.45"/>
    <n v="0.38"/>
    <n v="0.45"/>
    <x v="0"/>
  </r>
  <r>
    <x v="5"/>
    <s v="br BRA"/>
    <s v="br"/>
    <s v="BRA"/>
    <s v="FW"/>
    <x v="1"/>
    <n v="26"/>
    <x v="1"/>
    <n v="27"/>
    <n v="17"/>
    <n v="1478"/>
    <x v="1"/>
    <n v="16.399999999999999"/>
    <n v="4"/>
    <n v="5"/>
    <n v="9"/>
    <n v="4"/>
    <n v="0"/>
    <n v="0"/>
    <n v="6"/>
    <n v="0"/>
    <n v="6.3"/>
    <n v="-2.2999999999999998"/>
    <n v="6.3"/>
    <n v="3.8"/>
    <n v="10.1"/>
    <n v="38"/>
    <n v="42"/>
    <n v="155"/>
    <n v="0.24"/>
    <n v="0.3"/>
    <n v="0.55000000000000004"/>
    <n v="0.24"/>
    <n v="0.55000000000000004"/>
    <n v="0.39"/>
    <n v="0.23"/>
    <n v="0.62"/>
    <n v="0.39"/>
    <n v="0.62"/>
    <x v="0"/>
  </r>
  <r>
    <x v="6"/>
    <s v="no NOR"/>
    <s v="no"/>
    <s v="NOR"/>
    <s v="MF"/>
    <x v="0"/>
    <n v="24"/>
    <x v="1"/>
    <n v="35"/>
    <n v="35"/>
    <n v="3091"/>
    <x v="1"/>
    <n v="34.299999999999997"/>
    <n v="8"/>
    <n v="10"/>
    <n v="18"/>
    <n v="6"/>
    <n v="2"/>
    <n v="2"/>
    <n v="2"/>
    <n v="0"/>
    <n v="7.4"/>
    <n v="0.59999999999999964"/>
    <n v="5.8"/>
    <n v="9.6"/>
    <n v="15.5"/>
    <n v="91"/>
    <n v="344"/>
    <n v="202"/>
    <n v="0.23"/>
    <n v="0.28999999999999998"/>
    <n v="0.52"/>
    <n v="0.17"/>
    <n v="0.47"/>
    <n v="0.22"/>
    <n v="0.28000000000000003"/>
    <n v="0.5"/>
    <n v="0.17"/>
    <n v="0.45"/>
    <x v="0"/>
  </r>
  <r>
    <x v="7"/>
    <s v="br BRA"/>
    <s v="br"/>
    <s v="BRA"/>
    <s v="FW"/>
    <x v="1"/>
    <n v="22"/>
    <x v="0"/>
    <n v="35"/>
    <n v="24"/>
    <n v="2019"/>
    <x v="1"/>
    <n v="22.4"/>
    <n v="6"/>
    <n v="4"/>
    <n v="10"/>
    <n v="6"/>
    <n v="0"/>
    <n v="0"/>
    <n v="1"/>
    <n v="0"/>
    <n v="6.8"/>
    <n v="-0.79999999999999982"/>
    <n v="6.8"/>
    <n v="6.1"/>
    <n v="12.9"/>
    <n v="127"/>
    <n v="65"/>
    <n v="345"/>
    <n v="0.27"/>
    <n v="0.18"/>
    <n v="0.45"/>
    <n v="0.27"/>
    <n v="0.45"/>
    <n v="0.31"/>
    <n v="0.27"/>
    <n v="0.57999999999999996"/>
    <n v="0.31"/>
    <n v="0.57999999999999996"/>
    <x v="0"/>
  </r>
  <r>
    <x v="8"/>
    <s v="eng ENG"/>
    <s v="eng"/>
    <s v="ENG"/>
    <s v="MF"/>
    <x v="0"/>
    <n v="24"/>
    <x v="1"/>
    <n v="38"/>
    <n v="37"/>
    <n v="3225"/>
    <x v="1"/>
    <n v="35.799999999999997"/>
    <n v="7"/>
    <n v="8"/>
    <n v="15"/>
    <n v="7"/>
    <n v="0"/>
    <n v="0"/>
    <n v="5"/>
    <n v="0"/>
    <n v="3.3"/>
    <n v="3.7"/>
    <n v="3.3"/>
    <n v="5.3"/>
    <n v="8.6"/>
    <n v="75"/>
    <n v="278"/>
    <n v="64"/>
    <n v="0.2"/>
    <n v="0.22"/>
    <n v="0.42"/>
    <n v="0.2"/>
    <n v="0.42"/>
    <n v="0.09"/>
    <n v="0.15"/>
    <n v="0.24"/>
    <n v="0.09"/>
    <n v="0.24"/>
    <x v="0"/>
  </r>
  <r>
    <x v="9"/>
    <s v="pl POL"/>
    <s v="pl"/>
    <s v="POL"/>
    <s v="DF"/>
    <x v="2"/>
    <n v="23"/>
    <x v="0"/>
    <n v="20"/>
    <n v="11"/>
    <n v="946"/>
    <x v="0"/>
    <n v="10.5"/>
    <n v="1"/>
    <n v="3"/>
    <n v="4"/>
    <n v="1"/>
    <n v="0"/>
    <n v="0"/>
    <n v="1"/>
    <n v="0"/>
    <n v="0.8"/>
    <n v="0.19999999999999996"/>
    <n v="0.8"/>
    <n v="0.9"/>
    <n v="1.7"/>
    <n v="4"/>
    <n v="55"/>
    <n v="16"/>
    <n v="0.1"/>
    <n v="0.28999999999999998"/>
    <n v="0.38"/>
    <n v="0.1"/>
    <n v="0.38"/>
    <n v="0.08"/>
    <n v="0.09"/>
    <n v="0.16"/>
    <n v="0.08"/>
    <n v="0.16"/>
    <x v="0"/>
  </r>
  <r>
    <x v="10"/>
    <s v="eng ENG"/>
    <s v="eng"/>
    <s v="ENG"/>
    <s v="MF"/>
    <x v="0"/>
    <n v="23"/>
    <x v="0"/>
    <n v="13"/>
    <n v="3"/>
    <n v="353"/>
    <x v="0"/>
    <n v="3.9"/>
    <n v="0"/>
    <n v="1"/>
    <n v="1"/>
    <n v="0"/>
    <n v="0"/>
    <n v="0"/>
    <n v="0"/>
    <n v="0"/>
    <n v="2"/>
    <n v="-2"/>
    <n v="2"/>
    <n v="0.2"/>
    <n v="2.2000000000000002"/>
    <n v="11"/>
    <n v="23"/>
    <n v="18"/>
    <n v="0"/>
    <n v="0.25"/>
    <n v="0.25"/>
    <n v="0"/>
    <n v="0.25"/>
    <n v="0.5"/>
    <n v="0.06"/>
    <n v="0.56000000000000005"/>
    <n v="0.5"/>
    <n v="0.56000000000000005"/>
    <x v="0"/>
  </r>
  <r>
    <x v="11"/>
    <s v="eng ENG"/>
    <s v="eng"/>
    <s v="ENG"/>
    <s v="DF"/>
    <x v="2"/>
    <n v="25"/>
    <x v="1"/>
    <n v="37"/>
    <n v="35"/>
    <n v="2988"/>
    <x v="1"/>
    <n v="33.200000000000003"/>
    <n v="4"/>
    <n v="4"/>
    <n v="8"/>
    <n v="4"/>
    <n v="0"/>
    <n v="0"/>
    <n v="8"/>
    <n v="0"/>
    <n v="1.2"/>
    <n v="2.8"/>
    <n v="1.2"/>
    <n v="3.8"/>
    <n v="5"/>
    <n v="44"/>
    <n v="192"/>
    <n v="162"/>
    <n v="0.12"/>
    <n v="0.12"/>
    <n v="0.24"/>
    <n v="0.12"/>
    <n v="0.24"/>
    <n v="0.03"/>
    <n v="0.11"/>
    <n v="0.15"/>
    <n v="0.03"/>
    <n v="0.15"/>
    <x v="0"/>
  </r>
  <r>
    <x v="12"/>
    <s v="jp JPN"/>
    <s v="jp"/>
    <s v="JPN"/>
    <s v="DF"/>
    <x v="2"/>
    <n v="24"/>
    <x v="1"/>
    <n v="22"/>
    <n v="10"/>
    <n v="1149"/>
    <x v="1"/>
    <n v="12.8"/>
    <n v="2"/>
    <n v="1"/>
    <n v="3"/>
    <n v="2"/>
    <n v="0"/>
    <n v="0"/>
    <n v="2"/>
    <n v="1"/>
    <n v="1.5"/>
    <n v="0.5"/>
    <n v="1.5"/>
    <n v="0.4"/>
    <n v="1.9"/>
    <n v="17"/>
    <n v="72"/>
    <n v="37"/>
    <n v="0.16"/>
    <n v="0.08"/>
    <n v="0.23"/>
    <n v="0.16"/>
    <n v="0.23"/>
    <n v="0.12"/>
    <n v="0.03"/>
    <n v="0.15"/>
    <n v="0.12"/>
    <n v="0.15"/>
    <x v="0"/>
  </r>
  <r>
    <x v="13"/>
    <s v="it ITA"/>
    <s v="it"/>
    <s v="ITA"/>
    <s v="MF"/>
    <x v="0"/>
    <n v="31"/>
    <x v="2"/>
    <n v="24"/>
    <n v="10"/>
    <n v="921"/>
    <x v="0"/>
    <n v="10.199999999999999"/>
    <n v="0"/>
    <n v="2"/>
    <n v="2"/>
    <n v="0"/>
    <n v="0"/>
    <n v="0"/>
    <n v="1"/>
    <n v="0"/>
    <n v="0.1"/>
    <n v="-0.1"/>
    <n v="0.1"/>
    <n v="1.4"/>
    <n v="1.5"/>
    <n v="8"/>
    <n v="101"/>
    <n v="8"/>
    <n v="0"/>
    <n v="0.2"/>
    <n v="0.2"/>
    <n v="0"/>
    <n v="0.2"/>
    <n v="0.01"/>
    <n v="0.13"/>
    <n v="0.14000000000000001"/>
    <n v="0.01"/>
    <n v="0.14000000000000001"/>
    <x v="0"/>
  </r>
  <r>
    <x v="14"/>
    <s v="ua UKR"/>
    <s v="ua"/>
    <s v="UKR"/>
    <s v="DF"/>
    <x v="2"/>
    <n v="26"/>
    <x v="1"/>
    <n v="27"/>
    <n v="20"/>
    <n v="1722"/>
    <x v="1"/>
    <n v="19.100000000000001"/>
    <n v="1"/>
    <n v="2"/>
    <n v="3"/>
    <n v="1"/>
    <n v="0"/>
    <n v="0"/>
    <n v="2"/>
    <n v="0"/>
    <n v="0.6"/>
    <n v="0.4"/>
    <n v="0.6"/>
    <n v="2.5"/>
    <n v="3.1"/>
    <n v="40"/>
    <n v="229"/>
    <n v="58"/>
    <n v="0.05"/>
    <n v="0.1"/>
    <n v="0.16"/>
    <n v="0.05"/>
    <n v="0.16"/>
    <n v="0.03"/>
    <n v="0.13"/>
    <n v="0.16"/>
    <n v="0.03"/>
    <n v="0.16"/>
    <x v="0"/>
  </r>
  <r>
    <x v="15"/>
    <s v="br BRA"/>
    <s v="br"/>
    <s v="BRA"/>
    <s v="DF"/>
    <x v="2"/>
    <n v="25"/>
    <x v="1"/>
    <n v="36"/>
    <n v="34"/>
    <n v="3044"/>
    <x v="1"/>
    <n v="33.799999999999997"/>
    <n v="4"/>
    <n v="0"/>
    <n v="4"/>
    <n v="4"/>
    <n v="0"/>
    <n v="0"/>
    <n v="4"/>
    <n v="0"/>
    <n v="4.3"/>
    <n v="-0.29999999999999982"/>
    <n v="4.3"/>
    <n v="0.7"/>
    <n v="5"/>
    <n v="13"/>
    <n v="117"/>
    <n v="8"/>
    <n v="0.12"/>
    <n v="0"/>
    <n v="0.12"/>
    <n v="0.12"/>
    <n v="0.12"/>
    <n v="0.13"/>
    <n v="0.02"/>
    <n v="0.15"/>
    <n v="0.13"/>
    <n v="0.15"/>
    <x v="0"/>
  </r>
  <r>
    <x v="16"/>
    <s v="fr FRA"/>
    <s v="fr"/>
    <s v="FRA"/>
    <s v="DF"/>
    <x v="2"/>
    <n v="22"/>
    <x v="0"/>
    <n v="38"/>
    <n v="38"/>
    <n v="3420"/>
    <x v="1"/>
    <n v="38"/>
    <n v="2"/>
    <n v="1"/>
    <n v="3"/>
    <n v="2"/>
    <n v="0"/>
    <n v="0"/>
    <n v="4"/>
    <n v="0"/>
    <n v="1.6"/>
    <n v="0.39999999999999991"/>
    <n v="1.6"/>
    <n v="0.2"/>
    <n v="1.8"/>
    <n v="16"/>
    <n v="157"/>
    <n v="6"/>
    <n v="0.05"/>
    <n v="0.03"/>
    <n v="0.08"/>
    <n v="0.05"/>
    <n v="0.08"/>
    <n v="0.04"/>
    <n v="0.01"/>
    <n v="0.05"/>
    <n v="0.04"/>
    <n v="0.05"/>
    <x v="0"/>
  </r>
  <r>
    <x v="17"/>
    <s v="es ESP"/>
    <s v="es"/>
    <s v="ESP"/>
    <s v="GK"/>
    <x v="3"/>
    <n v="27"/>
    <x v="1"/>
    <n v="32"/>
    <n v="32"/>
    <n v="2880"/>
    <x v="1"/>
    <n v="32"/>
    <n v="0"/>
    <n v="0"/>
    <n v="0"/>
    <n v="0"/>
    <n v="0"/>
    <n v="0"/>
    <n v="2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x v="0"/>
  </r>
  <r>
    <x v="18"/>
    <s v="gh GHA"/>
    <s v="gh"/>
    <s v="GHA"/>
    <s v="MF,DF"/>
    <x v="0"/>
    <n v="30"/>
    <x v="2"/>
    <n v="14"/>
    <n v="9"/>
    <n v="788"/>
    <x v="0"/>
    <n v="8.8000000000000007"/>
    <n v="0"/>
    <n v="0"/>
    <n v="0"/>
    <n v="0"/>
    <n v="0"/>
    <n v="0"/>
    <n v="3"/>
    <n v="0"/>
    <n v="0.4"/>
    <n v="-0.4"/>
    <n v="0.4"/>
    <n v="0.3"/>
    <n v="0.7"/>
    <n v="15"/>
    <n v="72"/>
    <n v="10"/>
    <n v="0"/>
    <n v="0"/>
    <n v="0"/>
    <n v="0"/>
    <n v="0"/>
    <n v="0.05"/>
    <n v="0.03"/>
    <n v="0.08"/>
    <n v="0.05"/>
    <n v="0.08"/>
    <x v="0"/>
  </r>
  <r>
    <x v="19"/>
    <s v="eng ENG"/>
    <s v="eng"/>
    <s v="ENG"/>
    <s v="GK"/>
    <x v="3"/>
    <n v="25"/>
    <x v="1"/>
    <n v="6"/>
    <n v="6"/>
    <n v="540"/>
    <x v="0"/>
    <n v="6"/>
    <n v="0"/>
    <n v="0"/>
    <n v="0"/>
    <n v="0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x v="0"/>
  </r>
  <r>
    <x v="20"/>
    <s v="eng ENG"/>
    <s v="eng"/>
    <s v="ENG"/>
    <s v="FW"/>
    <x v="1"/>
    <n v="23"/>
    <x v="0"/>
    <n v="15"/>
    <n v="1"/>
    <n v="268"/>
    <x v="0"/>
    <n v="3"/>
    <n v="0"/>
    <n v="0"/>
    <n v="0"/>
    <n v="0"/>
    <n v="0"/>
    <n v="0"/>
    <n v="1"/>
    <n v="0"/>
    <n v="0.2"/>
    <n v="-0.2"/>
    <n v="0.2"/>
    <n v="0.6"/>
    <n v="0.8"/>
    <n v="9"/>
    <n v="5"/>
    <n v="26"/>
    <n v="0"/>
    <n v="0"/>
    <n v="0"/>
    <n v="0"/>
    <n v="0"/>
    <n v="7.0000000000000007E-2"/>
    <n v="0.2"/>
    <n v="0.27"/>
    <n v="7.0000000000000007E-2"/>
    <n v="0.27"/>
    <x v="0"/>
  </r>
  <r>
    <x v="21"/>
    <s v="nl NED"/>
    <s v="nl"/>
    <s v="NED"/>
    <s v="DF"/>
    <x v="2"/>
    <n v="22"/>
    <x v="0"/>
    <n v="2"/>
    <n v="1"/>
    <n v="71"/>
    <x v="0"/>
    <n v="0.8"/>
    <n v="0"/>
    <n v="0"/>
    <n v="0"/>
    <n v="0"/>
    <n v="0"/>
    <n v="0"/>
    <n v="2"/>
    <n v="0"/>
    <n v="0"/>
    <n v="0"/>
    <n v="0"/>
    <n v="0"/>
    <n v="0"/>
    <n v="0"/>
    <n v="8"/>
    <n v="5"/>
    <n v="0"/>
    <n v="0"/>
    <n v="0"/>
    <n v="0"/>
    <n v="0"/>
    <n v="0"/>
    <n v="0"/>
    <n v="0"/>
    <n v="0"/>
    <n v="0"/>
    <x v="0"/>
  </r>
  <r>
    <x v="22"/>
    <s v="pt POR"/>
    <s v="pt"/>
    <s v="POR"/>
    <s v="DF"/>
    <x v="2"/>
    <n v="31"/>
    <x v="2"/>
    <n v="3"/>
    <n v="0"/>
    <n v="62"/>
    <x v="0"/>
    <n v="0.7"/>
    <n v="0"/>
    <n v="0"/>
    <n v="0"/>
    <n v="0"/>
    <n v="0"/>
    <n v="0"/>
    <n v="0"/>
    <n v="0"/>
    <n v="0"/>
    <n v="0"/>
    <n v="0"/>
    <n v="0"/>
    <n v="0"/>
    <n v="0"/>
    <n v="3"/>
    <n v="6"/>
    <n v="0"/>
    <n v="0"/>
    <n v="0"/>
    <n v="0"/>
    <n v="0"/>
    <n v="0"/>
    <n v="0"/>
    <n v="0"/>
    <n v="0"/>
    <n v="0"/>
    <x v="0"/>
  </r>
  <r>
    <x v="23"/>
    <s v="eg EGY"/>
    <s v="eg"/>
    <s v="EGY"/>
    <s v="MF"/>
    <x v="0"/>
    <n v="31"/>
    <x v="2"/>
    <n v="3"/>
    <n v="0"/>
    <n v="28"/>
    <x v="0"/>
    <n v="0.3"/>
    <n v="0"/>
    <n v="0"/>
    <n v="0"/>
    <n v="0"/>
    <n v="0"/>
    <n v="0"/>
    <n v="0"/>
    <n v="0"/>
    <n v="0.1"/>
    <n v="-0.1"/>
    <n v="0.1"/>
    <n v="0"/>
    <n v="0.1"/>
    <n v="1"/>
    <n v="1"/>
    <n v="0"/>
    <n v="0"/>
    <n v="0"/>
    <n v="0"/>
    <n v="0"/>
    <n v="0"/>
    <n v="0.26"/>
    <n v="0"/>
    <n v="0.26"/>
    <n v="0.26"/>
    <n v="0.26"/>
    <x v="0"/>
  </r>
  <r>
    <x v="24"/>
    <s v="eng ENG"/>
    <s v="eng"/>
    <s v="ENG"/>
    <s v="FW"/>
    <x v="1"/>
    <n v="16"/>
    <x v="3"/>
    <n v="1"/>
    <n v="0"/>
    <n v="14"/>
    <x v="0"/>
    <n v="0.2"/>
    <n v="0"/>
    <n v="0"/>
    <n v="0"/>
    <n v="0"/>
    <n v="0"/>
    <n v="0"/>
    <n v="0"/>
    <n v="0"/>
    <n v="0"/>
    <n v="0"/>
    <n v="0"/>
    <n v="0"/>
    <n v="0"/>
    <n v="2"/>
    <n v="2"/>
    <n v="1"/>
    <n v="0"/>
    <n v="0"/>
    <n v="0"/>
    <n v="0"/>
    <n v="0"/>
    <n v="0"/>
    <n v="0.15"/>
    <n v="0.15"/>
    <n v="0"/>
    <n v="0.15"/>
    <x v="0"/>
  </r>
  <r>
    <x v="25"/>
    <s v="co COL"/>
    <s v="co"/>
    <s v="COL"/>
    <s v="FW,MF"/>
    <x v="1"/>
    <n v="19"/>
    <x v="3"/>
    <n v="23"/>
    <n v="3"/>
    <n v="475"/>
    <x v="0"/>
    <n v="5.3"/>
    <n v="5"/>
    <n v="0"/>
    <n v="5"/>
    <n v="5"/>
    <n v="0"/>
    <n v="0"/>
    <n v="5"/>
    <n v="0"/>
    <n v="2"/>
    <n v="3"/>
    <n v="2"/>
    <n v="0.3"/>
    <n v="2.2999999999999998"/>
    <n v="9"/>
    <n v="9"/>
    <n v="25"/>
    <n v="0.95"/>
    <n v="0"/>
    <n v="0.95"/>
    <n v="0.95"/>
    <n v="0.95"/>
    <n v="0.38"/>
    <n v="0.06"/>
    <n v="0.44"/>
    <n v="0.38"/>
    <n v="0.44"/>
    <x v="1"/>
  </r>
  <r>
    <x v="26"/>
    <s v="eng ENG"/>
    <s v="eng"/>
    <s v="ENG"/>
    <s v="FW"/>
    <x v="1"/>
    <n v="27"/>
    <x v="1"/>
    <n v="37"/>
    <n v="37"/>
    <n v="3217"/>
    <x v="1"/>
    <n v="35.700000000000003"/>
    <n v="19"/>
    <n v="13"/>
    <n v="32"/>
    <n v="19"/>
    <n v="0"/>
    <n v="0"/>
    <n v="4"/>
    <n v="0"/>
    <n v="16.8"/>
    <n v="2.1999999999999993"/>
    <n v="16.8"/>
    <n v="7.3"/>
    <n v="24.2"/>
    <n v="62"/>
    <n v="55"/>
    <n v="214"/>
    <n v="0.53"/>
    <n v="0.36"/>
    <n v="0.9"/>
    <n v="0.53"/>
    <n v="0.9"/>
    <n v="0.47"/>
    <n v="0.21"/>
    <n v="0.68"/>
    <n v="0.47"/>
    <n v="0.68"/>
    <x v="1"/>
  </r>
  <r>
    <x v="27"/>
    <s v="jm JAM"/>
    <s v="jm"/>
    <s v="JAM"/>
    <s v="MF,FW"/>
    <x v="0"/>
    <n v="25"/>
    <x v="1"/>
    <n v="35"/>
    <n v="22"/>
    <n v="2068"/>
    <x v="1"/>
    <n v="23"/>
    <n v="10"/>
    <n v="9"/>
    <n v="19"/>
    <n v="10"/>
    <n v="0"/>
    <n v="0"/>
    <n v="5"/>
    <n v="0"/>
    <n v="6.3"/>
    <n v="3.7"/>
    <n v="6.3"/>
    <n v="9.1999999999999993"/>
    <n v="15.5"/>
    <n v="102"/>
    <n v="82"/>
    <n v="226"/>
    <n v="0.44"/>
    <n v="0.39"/>
    <n v="0.83"/>
    <n v="0.44"/>
    <n v="0.83"/>
    <n v="0.27"/>
    <n v="0.4"/>
    <n v="0.67"/>
    <n v="0.27"/>
    <n v="0.67"/>
    <x v="1"/>
  </r>
  <r>
    <x v="28"/>
    <s v="be BEL"/>
    <s v="be"/>
    <s v="BEL"/>
    <s v="MF"/>
    <x v="0"/>
    <n v="28"/>
    <x v="1"/>
    <n v="8"/>
    <n v="1"/>
    <n v="119"/>
    <x v="0"/>
    <n v="1.3"/>
    <n v="1"/>
    <n v="0"/>
    <n v="1"/>
    <n v="1"/>
    <n v="0"/>
    <n v="0"/>
    <n v="0"/>
    <n v="0"/>
    <n v="0.7"/>
    <n v="0.30000000000000004"/>
    <n v="0.7"/>
    <n v="0"/>
    <n v="0.7"/>
    <n v="0"/>
    <n v="3"/>
    <n v="2"/>
    <n v="0.76"/>
    <n v="0"/>
    <n v="0.76"/>
    <n v="0.76"/>
    <n v="0.76"/>
    <n v="0.56000000000000005"/>
    <n v="0"/>
    <n v="0.56000000000000005"/>
    <n v="0.56000000000000005"/>
    <n v="0.56000000000000005"/>
    <x v="1"/>
  </r>
  <r>
    <x v="29"/>
    <s v="eng ENG"/>
    <s v="eng"/>
    <s v="ENG"/>
    <s v="MF,DF"/>
    <x v="0"/>
    <n v="28"/>
    <x v="1"/>
    <n v="5"/>
    <n v="1"/>
    <n v="152"/>
    <x v="0"/>
    <n v="1.7"/>
    <n v="0"/>
    <n v="1"/>
    <n v="1"/>
    <n v="0"/>
    <n v="0"/>
    <n v="0"/>
    <n v="1"/>
    <n v="0"/>
    <n v="0"/>
    <n v="0"/>
    <n v="0"/>
    <n v="0.1"/>
    <n v="0.1"/>
    <n v="0"/>
    <n v="5"/>
    <n v="1"/>
    <n v="0"/>
    <n v="0.59"/>
    <n v="0.59"/>
    <n v="0"/>
    <n v="0.59"/>
    <n v="0"/>
    <n v="0.06"/>
    <n v="0.06"/>
    <n v="0"/>
    <n v="0.06"/>
    <x v="1"/>
  </r>
  <r>
    <x v="30"/>
    <s v="fr FRA"/>
    <s v="fr"/>
    <s v="FRA"/>
    <s v="FW,MF"/>
    <x v="1"/>
    <n v="24"/>
    <x v="1"/>
    <n v="38"/>
    <n v="25"/>
    <n v="2174"/>
    <x v="1"/>
    <n v="24.2"/>
    <n v="6"/>
    <n v="8"/>
    <n v="14"/>
    <n v="6"/>
    <n v="0"/>
    <n v="0"/>
    <n v="1"/>
    <n v="0"/>
    <n v="7"/>
    <n v="-1"/>
    <n v="7"/>
    <n v="6.6"/>
    <n v="13.6"/>
    <n v="94"/>
    <n v="72"/>
    <n v="183"/>
    <n v="0.25"/>
    <n v="0.33"/>
    <n v="0.57999999999999996"/>
    <n v="0.25"/>
    <n v="0.57999999999999996"/>
    <n v="0.28999999999999998"/>
    <n v="0.27"/>
    <n v="0.56000000000000005"/>
    <n v="0.28999999999999998"/>
    <n v="0.56000000000000005"/>
    <x v="1"/>
  </r>
  <r>
    <x v="31"/>
    <s v="eng ENG"/>
    <s v="eng"/>
    <s v="ENG"/>
    <s v="MF,FW"/>
    <x v="0"/>
    <n v="21"/>
    <x v="0"/>
    <n v="11"/>
    <n v="8"/>
    <n v="638"/>
    <x v="0"/>
    <n v="7.1"/>
    <n v="3"/>
    <n v="1"/>
    <n v="4"/>
    <n v="3"/>
    <n v="0"/>
    <n v="0"/>
    <n v="3"/>
    <n v="0"/>
    <n v="1.4"/>
    <n v="1.6"/>
    <n v="1.4"/>
    <n v="0.6"/>
    <n v="2"/>
    <n v="22"/>
    <n v="28"/>
    <n v="30"/>
    <n v="0.42"/>
    <n v="0.14000000000000001"/>
    <n v="0.56000000000000005"/>
    <n v="0.42"/>
    <n v="0.56000000000000005"/>
    <n v="0.19"/>
    <n v="0.09"/>
    <n v="0.28000000000000003"/>
    <n v="0.19"/>
    <n v="0.28000000000000003"/>
    <x v="1"/>
  </r>
  <r>
    <x v="32"/>
    <s v="be BEL"/>
    <s v="be"/>
    <s v="BEL"/>
    <s v="MF,FW"/>
    <x v="0"/>
    <n v="26"/>
    <x v="1"/>
    <n v="32"/>
    <n v="17"/>
    <n v="1622"/>
    <x v="1"/>
    <n v="18"/>
    <n v="2"/>
    <n v="6"/>
    <n v="8"/>
    <n v="2"/>
    <n v="0"/>
    <n v="0"/>
    <n v="3"/>
    <n v="0"/>
    <n v="1.3"/>
    <n v="0.7"/>
    <n v="1.3"/>
    <n v="2.6"/>
    <n v="3.9"/>
    <n v="23"/>
    <n v="128"/>
    <n v="46"/>
    <n v="0.11"/>
    <n v="0.33"/>
    <n v="0.44"/>
    <n v="0.11"/>
    <n v="0.44"/>
    <n v="7.0000000000000007E-2"/>
    <n v="0.14000000000000001"/>
    <n v="0.21"/>
    <n v="7.0000000000000007E-2"/>
    <n v="0.21"/>
    <x v="1"/>
  </r>
  <r>
    <x v="33"/>
    <s v="br BRA"/>
    <s v="br"/>
    <s v="BRA"/>
    <s v="MF"/>
    <x v="0"/>
    <n v="25"/>
    <x v="1"/>
    <n v="35"/>
    <n v="35"/>
    <n v="2993"/>
    <x v="1"/>
    <n v="33.299999999999997"/>
    <n v="9"/>
    <n v="5"/>
    <n v="14"/>
    <n v="5"/>
    <n v="4"/>
    <n v="4"/>
    <n v="12"/>
    <n v="0"/>
    <n v="6.9"/>
    <n v="2.0999999999999996"/>
    <n v="3.8"/>
    <n v="5.4"/>
    <n v="9.1999999999999993"/>
    <n v="60"/>
    <n v="168"/>
    <n v="50"/>
    <n v="0.27"/>
    <n v="0.15"/>
    <n v="0.42"/>
    <n v="0.15"/>
    <n v="0.3"/>
    <n v="0.21"/>
    <n v="0.16"/>
    <n v="0.37"/>
    <n v="0.11"/>
    <n v="0.28000000000000003"/>
    <x v="1"/>
  </r>
  <r>
    <x v="34"/>
    <s v="sct SCO"/>
    <s v="sct"/>
    <s v="SCO"/>
    <s v="MF,FW"/>
    <x v="0"/>
    <n v="28"/>
    <x v="1"/>
    <n v="35"/>
    <n v="35"/>
    <n v="2999"/>
    <x v="1"/>
    <n v="33.299999999999997"/>
    <n v="6"/>
    <n v="4"/>
    <n v="10"/>
    <n v="6"/>
    <n v="0"/>
    <n v="0"/>
    <n v="9"/>
    <n v="1"/>
    <n v="5"/>
    <n v="1"/>
    <n v="5"/>
    <n v="4.5999999999999996"/>
    <n v="9.6"/>
    <n v="59"/>
    <n v="189"/>
    <n v="84"/>
    <n v="0.18"/>
    <n v="0.12"/>
    <n v="0.3"/>
    <n v="0.18"/>
    <n v="0.3"/>
    <n v="0.15"/>
    <n v="0.14000000000000001"/>
    <n v="0.28999999999999998"/>
    <n v="0.15"/>
    <n v="0.28999999999999998"/>
    <x v="1"/>
  </r>
  <r>
    <x v="35"/>
    <s v="it ITA"/>
    <s v="it"/>
    <s v="ITA"/>
    <s v="FW,MF"/>
    <x v="1"/>
    <n v="24"/>
    <x v="1"/>
    <n v="25"/>
    <n v="9"/>
    <n v="839"/>
    <x v="0"/>
    <n v="9.3000000000000007"/>
    <n v="2"/>
    <n v="0"/>
    <n v="2"/>
    <n v="2"/>
    <n v="0"/>
    <n v="0"/>
    <n v="7"/>
    <n v="0"/>
    <n v="2.6"/>
    <n v="-0.60000000000000009"/>
    <n v="2.6"/>
    <n v="1"/>
    <n v="3.6"/>
    <n v="35"/>
    <n v="30"/>
    <n v="60"/>
    <n v="0.21"/>
    <n v="0"/>
    <n v="0.21"/>
    <n v="0.21"/>
    <n v="0.21"/>
    <n v="0.28000000000000003"/>
    <n v="0.11"/>
    <n v="0.39"/>
    <n v="0.28000000000000003"/>
    <n v="0.39"/>
    <x v="1"/>
  </r>
  <r>
    <x v="36"/>
    <s v="eng ENG"/>
    <s v="eng"/>
    <s v="ENG"/>
    <s v="FW,MF"/>
    <x v="1"/>
    <n v="22"/>
    <x v="0"/>
    <n v="16"/>
    <n v="8"/>
    <n v="853"/>
    <x v="0"/>
    <n v="9.5"/>
    <n v="1"/>
    <n v="1"/>
    <n v="2"/>
    <n v="1"/>
    <n v="0"/>
    <n v="0"/>
    <n v="2"/>
    <n v="0"/>
    <n v="2.2000000000000002"/>
    <n v="-1.2000000000000002"/>
    <n v="2.2000000000000002"/>
    <n v="1"/>
    <n v="3.2"/>
    <n v="33"/>
    <n v="28"/>
    <n v="69"/>
    <n v="0.11"/>
    <n v="0.11"/>
    <n v="0.21"/>
    <n v="0.11"/>
    <n v="0.21"/>
    <n v="0.23"/>
    <n v="0.11"/>
    <n v="0.34"/>
    <n v="0.23"/>
    <n v="0.34"/>
    <x v="1"/>
  </r>
  <r>
    <x v="37"/>
    <s v="pl POL"/>
    <s v="pl"/>
    <s v="POL"/>
    <s v="DF"/>
    <x v="2"/>
    <n v="25"/>
    <x v="1"/>
    <n v="29"/>
    <n v="23"/>
    <n v="2142"/>
    <x v="1"/>
    <n v="23.8"/>
    <n v="2"/>
    <n v="2"/>
    <n v="4"/>
    <n v="2"/>
    <n v="0"/>
    <n v="0"/>
    <n v="8"/>
    <n v="0"/>
    <n v="4.2"/>
    <n v="-2.2000000000000002"/>
    <n v="4.2"/>
    <n v="2.2999999999999998"/>
    <n v="6.5"/>
    <n v="62"/>
    <n v="88"/>
    <n v="101"/>
    <n v="0.08"/>
    <n v="0.08"/>
    <n v="0.17"/>
    <n v="0.08"/>
    <n v="0.17"/>
    <n v="0.18"/>
    <n v="0.1"/>
    <n v="0.27"/>
    <n v="0.18"/>
    <n v="0.27"/>
    <x v="1"/>
  </r>
  <r>
    <x v="38"/>
    <s v="es ESP"/>
    <s v="es"/>
    <s v="ESP"/>
    <s v="DF"/>
    <x v="2"/>
    <n v="30"/>
    <x v="2"/>
    <n v="21"/>
    <n v="11"/>
    <n v="1031"/>
    <x v="1"/>
    <n v="11.5"/>
    <n v="2"/>
    <n v="0"/>
    <n v="2"/>
    <n v="2"/>
    <n v="0"/>
    <n v="0"/>
    <n v="2"/>
    <n v="0"/>
    <n v="1.1000000000000001"/>
    <n v="0.89999999999999991"/>
    <n v="1.1000000000000001"/>
    <n v="1.1000000000000001"/>
    <n v="2.2999999999999998"/>
    <n v="32"/>
    <n v="24"/>
    <n v="83"/>
    <n v="0.17"/>
    <n v="0"/>
    <n v="0.17"/>
    <n v="0.17"/>
    <n v="0.17"/>
    <n v="0.1"/>
    <n v="0.1"/>
    <n v="0.2"/>
    <n v="0.1"/>
    <n v="0.2"/>
    <x v="1"/>
  </r>
  <r>
    <x v="39"/>
    <s v="fr FRA"/>
    <s v="fr"/>
    <s v="FRA"/>
    <s v="DF"/>
    <x v="2"/>
    <n v="30"/>
    <x v="2"/>
    <n v="33"/>
    <n v="27"/>
    <n v="2410"/>
    <x v="1"/>
    <n v="26.8"/>
    <n v="1"/>
    <n v="3"/>
    <n v="4"/>
    <n v="1"/>
    <n v="0"/>
    <n v="0"/>
    <n v="7"/>
    <n v="0"/>
    <n v="1.1000000000000001"/>
    <n v="-0.10000000000000009"/>
    <n v="1.1000000000000001"/>
    <n v="4.0999999999999996"/>
    <n v="5.2"/>
    <n v="42"/>
    <n v="77"/>
    <n v="200"/>
    <n v="0.04"/>
    <n v="0.11"/>
    <n v="0.15"/>
    <n v="0.04"/>
    <n v="0.15"/>
    <n v="0.04"/>
    <n v="0.15"/>
    <n v="0.19"/>
    <n v="0.04"/>
    <n v="0.19"/>
    <x v="1"/>
  </r>
  <r>
    <x v="40"/>
    <s v="fr FRA"/>
    <s v="fr"/>
    <s v="FRA"/>
    <s v="DF"/>
    <x v="2"/>
    <n v="28"/>
    <x v="1"/>
    <n v="14"/>
    <n v="14"/>
    <n v="1153"/>
    <x v="1"/>
    <n v="12.8"/>
    <n v="0"/>
    <n v="1"/>
    <n v="1"/>
    <n v="0"/>
    <n v="0"/>
    <n v="0"/>
    <n v="3"/>
    <n v="0"/>
    <n v="0.9"/>
    <n v="-0.9"/>
    <n v="0.9"/>
    <n v="0.8"/>
    <n v="1.6"/>
    <n v="26"/>
    <n v="51"/>
    <n v="1"/>
    <n v="0"/>
    <n v="0.08"/>
    <n v="0.08"/>
    <n v="0"/>
    <n v="0.08"/>
    <n v="7.0000000000000007E-2"/>
    <n v="0.06"/>
    <n v="0.13"/>
    <n v="7.0000000000000007E-2"/>
    <n v="0.13"/>
    <x v="1"/>
  </r>
  <r>
    <x v="41"/>
    <s v="es ESP"/>
    <s v="es"/>
    <s v="ESP"/>
    <s v="DF"/>
    <x v="2"/>
    <n v="26"/>
    <x v="1"/>
    <n v="29"/>
    <n v="27"/>
    <n v="2464"/>
    <x v="1"/>
    <n v="27.4"/>
    <n v="2"/>
    <n v="0"/>
    <n v="2"/>
    <n v="2"/>
    <n v="0"/>
    <n v="0"/>
    <n v="1"/>
    <n v="0"/>
    <n v="1"/>
    <n v="1"/>
    <n v="1"/>
    <n v="0.4"/>
    <n v="1.4"/>
    <n v="42"/>
    <n v="128"/>
    <n v="16"/>
    <n v="7.0000000000000007E-2"/>
    <n v="0"/>
    <n v="7.0000000000000007E-2"/>
    <n v="7.0000000000000007E-2"/>
    <n v="7.0000000000000007E-2"/>
    <n v="0.04"/>
    <n v="0.02"/>
    <n v="0.05"/>
    <n v="0.04"/>
    <n v="0.05"/>
    <x v="1"/>
  </r>
  <r>
    <x v="42"/>
    <s v="fr FRA"/>
    <s v="fr"/>
    <s v="FRA"/>
    <s v="MF"/>
    <x v="0"/>
    <n v="23"/>
    <x v="0"/>
    <n v="20"/>
    <n v="20"/>
    <n v="1652"/>
    <x v="1"/>
    <n v="18.399999999999999"/>
    <n v="0"/>
    <n v="1"/>
    <n v="1"/>
    <n v="0"/>
    <n v="0"/>
    <n v="0"/>
    <n v="7"/>
    <n v="1"/>
    <n v="0.1"/>
    <n v="-0.1"/>
    <n v="0.1"/>
    <n v="1.3"/>
    <n v="1.4"/>
    <n v="19"/>
    <n v="83"/>
    <n v="10"/>
    <n v="0"/>
    <n v="0.05"/>
    <n v="0.05"/>
    <n v="0"/>
    <n v="0.05"/>
    <n v="0.01"/>
    <n v="7.0000000000000007E-2"/>
    <n v="0.08"/>
    <n v="0.01"/>
    <n v="0.08"/>
    <x v="1"/>
  </r>
  <r>
    <x v="43"/>
    <s v="eng ENG"/>
    <s v="eng"/>
    <s v="ENG"/>
    <s v="DF"/>
    <x v="2"/>
    <n v="25"/>
    <x v="1"/>
    <n v="35"/>
    <n v="35"/>
    <n v="3069"/>
    <x v="1"/>
    <n v="34.1"/>
    <n v="1"/>
    <n v="0"/>
    <n v="1"/>
    <n v="1"/>
    <n v="0"/>
    <n v="0"/>
    <n v="5"/>
    <n v="0"/>
    <n v="2.5"/>
    <n v="-1.5"/>
    <n v="2.5"/>
    <n v="0.5"/>
    <n v="3"/>
    <n v="37"/>
    <n v="136"/>
    <n v="33"/>
    <n v="0.03"/>
    <n v="0"/>
    <n v="0.03"/>
    <n v="0.03"/>
    <n v="0.03"/>
    <n v="7.0000000000000007E-2"/>
    <n v="0.02"/>
    <n v="0.09"/>
    <n v="7.0000000000000007E-2"/>
    <n v="0.09"/>
    <x v="1"/>
  </r>
  <r>
    <x v="44"/>
    <s v="ar ARG"/>
    <s v="ar"/>
    <s v="ARG"/>
    <s v="GK"/>
    <x v="3"/>
    <n v="30"/>
    <x v="2"/>
    <n v="34"/>
    <n v="34"/>
    <n v="3015"/>
    <x v="1"/>
    <n v="33.5"/>
    <n v="0"/>
    <n v="0"/>
    <n v="0"/>
    <n v="0"/>
    <n v="0"/>
    <n v="0"/>
    <n v="4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x v="1"/>
  </r>
  <r>
    <x v="45"/>
    <s v="br BRA"/>
    <s v="br"/>
    <s v="BRA"/>
    <s v="DF"/>
    <x v="2"/>
    <n v="30"/>
    <x v="2"/>
    <n v="27"/>
    <n v="20"/>
    <n v="1816"/>
    <x v="1"/>
    <n v="20.2"/>
    <n v="0"/>
    <n v="0"/>
    <n v="0"/>
    <n v="0"/>
    <n v="0"/>
    <n v="0"/>
    <n v="4"/>
    <n v="0"/>
    <n v="1.9"/>
    <n v="-1.9"/>
    <n v="1.9"/>
    <n v="0.1"/>
    <n v="2"/>
    <n v="4"/>
    <n v="59"/>
    <n v="1"/>
    <n v="0"/>
    <n v="0"/>
    <n v="0"/>
    <n v="0"/>
    <n v="0"/>
    <n v="0.1"/>
    <n v="0"/>
    <n v="0.1"/>
    <n v="0.1"/>
    <n v="0.1"/>
    <x v="1"/>
  </r>
  <r>
    <x v="46"/>
    <s v="se SWE"/>
    <s v="se"/>
    <s v="SWE"/>
    <s v="GK"/>
    <x v="3"/>
    <n v="33"/>
    <x v="2"/>
    <n v="5"/>
    <n v="4"/>
    <n v="405"/>
    <x v="0"/>
    <n v="4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</r>
  <r>
    <x v="47"/>
    <s v="eng ENG"/>
    <s v="eng"/>
    <s v="ENG"/>
    <s v="MF"/>
    <x v="0"/>
    <n v="20"/>
    <x v="0"/>
    <n v="9"/>
    <n v="1"/>
    <n v="164"/>
    <x v="0"/>
    <n v="1.8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0"/>
    <n v="0"/>
    <x v="1"/>
  </r>
  <r>
    <x v="48"/>
    <s v="eng ENG"/>
    <s v="eng"/>
    <s v="ENG"/>
    <s v="DF"/>
    <x v="2"/>
    <n v="30"/>
    <x v="2"/>
    <n v="1"/>
    <n v="1"/>
    <n v="30"/>
    <x v="0"/>
    <n v="0.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7.0000000000000007E-2"/>
    <n v="0.09"/>
    <n v="0.02"/>
    <n v="0.09"/>
    <x v="1"/>
  </r>
  <r>
    <x v="49"/>
    <s v="eng ENG"/>
    <s v="eng"/>
    <s v="ENG"/>
    <s v="FW"/>
    <x v="1"/>
    <n v="17"/>
    <x v="3"/>
    <n v="2"/>
    <n v="0"/>
    <n v="37"/>
    <x v="0"/>
    <n v="0.4"/>
    <n v="0"/>
    <n v="0"/>
    <n v="0"/>
    <n v="0"/>
    <n v="0"/>
    <n v="0"/>
    <n v="0"/>
    <n v="0"/>
    <n v="0.1"/>
    <n v="-0.1"/>
    <n v="0.1"/>
    <n v="0"/>
    <n v="0.1"/>
    <n v="1"/>
    <n v="0"/>
    <n v="0"/>
    <n v="0"/>
    <n v="0"/>
    <n v="0"/>
    <n v="0"/>
    <n v="0"/>
    <n v="0.17"/>
    <n v="0"/>
    <n v="0.17"/>
    <n v="0.17"/>
    <n v="0.17"/>
    <x v="1"/>
  </r>
  <r>
    <x v="50"/>
    <s v="br BRA"/>
    <s v="br"/>
    <s v="BRA"/>
    <s v="MF,FW"/>
    <x v="0"/>
    <n v="31"/>
    <x v="2"/>
    <n v="2"/>
    <n v="0"/>
    <n v="25"/>
    <x v="0"/>
    <n v="0.3"/>
    <n v="0"/>
    <n v="0"/>
    <n v="0"/>
    <n v="0"/>
    <n v="0"/>
    <n v="0"/>
    <n v="0"/>
    <n v="0"/>
    <n v="0.1"/>
    <n v="-0.1"/>
    <n v="0.1"/>
    <n v="0"/>
    <n v="0.1"/>
    <n v="5"/>
    <n v="5"/>
    <n v="2"/>
    <n v="0"/>
    <n v="0"/>
    <n v="0"/>
    <n v="0"/>
    <n v="0"/>
    <n v="0.52"/>
    <n v="0"/>
    <n v="0.52"/>
    <n v="0.52"/>
    <n v="0.52"/>
    <x v="1"/>
  </r>
  <r>
    <x v="51"/>
    <s v="bf BFA"/>
    <s v="bf"/>
    <s v="BFA"/>
    <s v="DF,FW"/>
    <x v="2"/>
    <n v="27"/>
    <x v="1"/>
    <n v="2"/>
    <n v="0"/>
    <n v="11"/>
    <x v="0"/>
    <n v="0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</r>
  <r>
    <x v="52"/>
    <s v="eng ENG"/>
    <s v="eng"/>
    <s v="ENG"/>
    <s v="MF"/>
    <x v="0"/>
    <n v="22"/>
    <x v="0"/>
    <n v="1"/>
    <n v="0"/>
    <n v="6"/>
    <x v="0"/>
    <n v="0.1"/>
    <n v="0"/>
    <n v="0"/>
    <n v="0"/>
    <n v="0"/>
    <n v="0"/>
    <n v="0"/>
    <n v="1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x v="1"/>
  </r>
  <r>
    <x v="53"/>
    <s v="eng ENG"/>
    <s v="eng"/>
    <s v="ENG"/>
    <s v="MF,DF"/>
    <x v="0"/>
    <n v="20"/>
    <x v="0"/>
    <n v="3"/>
    <n v="0"/>
    <n v="6"/>
    <x v="0"/>
    <n v="0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</r>
  <r>
    <x v="54"/>
    <s v="eng ENG"/>
    <s v="eng"/>
    <s v="ENG"/>
    <s v="MF"/>
    <x v="0"/>
    <n v="18"/>
    <x v="3"/>
    <n v="1"/>
    <n v="0"/>
    <n v="4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</r>
  <r>
    <x v="55"/>
    <s v="eng ENG"/>
    <s v="eng"/>
    <s v="ENG"/>
    <s v="FW"/>
    <x v="1"/>
    <n v="21"/>
    <x v="0"/>
    <n v="1"/>
    <n v="0"/>
    <n v="4"/>
    <x v="0"/>
    <n v="0"/>
    <n v="0"/>
    <n v="0"/>
    <n v="0"/>
    <n v="0"/>
    <n v="0"/>
    <n v="0"/>
    <n v="0"/>
    <n v="0"/>
    <n v="0"/>
    <n v="0"/>
    <n v="0"/>
    <n v="0"/>
    <n v="0"/>
    <n v="2"/>
    <n v="0"/>
    <n v="1"/>
    <n v="0"/>
    <n v="0"/>
    <n v="0"/>
    <n v="0"/>
    <n v="0"/>
    <n v="0"/>
    <n v="0"/>
    <n v="0"/>
    <n v="0"/>
    <n v="0"/>
    <x v="1"/>
  </r>
  <r>
    <x v="56"/>
    <s v="tr TUR"/>
    <s v="tr"/>
    <s v="TUR"/>
    <s v="FW,MF"/>
    <x v="1"/>
    <n v="26"/>
    <x v="1"/>
    <n v="16"/>
    <n v="2"/>
    <n v="328"/>
    <x v="0"/>
    <n v="3.6"/>
    <n v="2"/>
    <n v="2"/>
    <n v="4"/>
    <n v="2"/>
    <n v="0"/>
    <n v="0"/>
    <n v="1"/>
    <n v="0"/>
    <n v="2.9"/>
    <n v="-0.89999999999999991"/>
    <n v="2.9"/>
    <n v="1"/>
    <n v="3.9"/>
    <n v="4"/>
    <n v="7"/>
    <n v="28"/>
    <n v="0.55000000000000004"/>
    <n v="0.55000000000000004"/>
    <n v="1.1000000000000001"/>
    <n v="0.55000000000000004"/>
    <n v="1.1000000000000001"/>
    <n v="0.8"/>
    <n v="0.28000000000000003"/>
    <n v="1.07"/>
    <n v="0.8"/>
    <n v="1.07"/>
    <x v="2"/>
  </r>
  <r>
    <x v="57"/>
    <s v="wls WAL"/>
    <s v="wls"/>
    <s v="WAL"/>
    <s v="FW,MF"/>
    <x v="1"/>
    <n v="30"/>
    <x v="2"/>
    <n v="8"/>
    <n v="0"/>
    <n v="108"/>
    <x v="0"/>
    <n v="1.2"/>
    <n v="1"/>
    <n v="0"/>
    <n v="1"/>
    <n v="1"/>
    <n v="0"/>
    <n v="0"/>
    <n v="0"/>
    <n v="0"/>
    <n v="1.5"/>
    <n v="-0.5"/>
    <n v="1.5"/>
    <n v="0.2"/>
    <n v="1.7"/>
    <n v="2"/>
    <n v="4"/>
    <n v="15"/>
    <n v="0.83"/>
    <n v="0"/>
    <n v="0.83"/>
    <n v="0.83"/>
    <n v="0.83"/>
    <n v="1.23"/>
    <n v="0.2"/>
    <n v="1.44"/>
    <n v="1.23"/>
    <n v="1.44"/>
    <x v="2"/>
  </r>
  <r>
    <x v="58"/>
    <s v="wls WAL"/>
    <s v="wls"/>
    <s v="WAL"/>
    <s v="FW,MF"/>
    <x v="1"/>
    <n v="26"/>
    <x v="1"/>
    <n v="13"/>
    <n v="2"/>
    <n v="282"/>
    <x v="0"/>
    <n v="3.1"/>
    <n v="1"/>
    <n v="1"/>
    <n v="2"/>
    <n v="1"/>
    <n v="0"/>
    <n v="0"/>
    <n v="1"/>
    <n v="0"/>
    <n v="2.2000000000000002"/>
    <n v="-1.2000000000000002"/>
    <n v="2.2000000000000002"/>
    <n v="1"/>
    <n v="3.2"/>
    <n v="8"/>
    <n v="21"/>
    <n v="27"/>
    <n v="0.32"/>
    <n v="0.32"/>
    <n v="0.64"/>
    <n v="0.32"/>
    <n v="0.64"/>
    <n v="0.7"/>
    <n v="0.33"/>
    <n v="1.03"/>
    <n v="0.7"/>
    <n v="1.03"/>
    <x v="2"/>
  </r>
  <r>
    <x v="59"/>
    <s v="eng ENG"/>
    <s v="eng"/>
    <s v="ENG"/>
    <s v="FW"/>
    <x v="1"/>
    <n v="25"/>
    <x v="1"/>
    <n v="38"/>
    <n v="37"/>
    <n v="3325"/>
    <x v="1"/>
    <n v="36.9"/>
    <n v="19"/>
    <n v="3"/>
    <n v="22"/>
    <n v="17"/>
    <n v="2"/>
    <n v="3"/>
    <n v="3"/>
    <n v="0"/>
    <n v="19.600000000000001"/>
    <n v="-0.60000000000000142"/>
    <n v="17.2"/>
    <n v="3"/>
    <n v="20.3"/>
    <n v="52"/>
    <n v="60"/>
    <n v="184"/>
    <n v="0.51"/>
    <n v="0.08"/>
    <n v="0.6"/>
    <n v="0.46"/>
    <n v="0.54"/>
    <n v="0.53"/>
    <n v="0.08"/>
    <n v="0.61"/>
    <n v="0.47"/>
    <n v="0.55000000000000004"/>
    <x v="2"/>
  </r>
  <r>
    <x v="60"/>
    <s v="co COL"/>
    <s v="co"/>
    <s v="COL"/>
    <s v="FW,MF"/>
    <x v="1"/>
    <n v="24"/>
    <x v="1"/>
    <n v="20"/>
    <n v="7"/>
    <n v="699"/>
    <x v="0"/>
    <n v="7.8"/>
    <n v="2"/>
    <n v="2"/>
    <n v="4"/>
    <n v="2"/>
    <n v="0"/>
    <n v="0"/>
    <n v="0"/>
    <n v="0"/>
    <n v="2.5"/>
    <n v="-0.5"/>
    <n v="2.5"/>
    <n v="2.4"/>
    <n v="5"/>
    <n v="51"/>
    <n v="38"/>
    <n v="85"/>
    <n v="0.26"/>
    <n v="0.26"/>
    <n v="0.52"/>
    <n v="0.26"/>
    <n v="0.52"/>
    <n v="0.33"/>
    <n v="0.31"/>
    <n v="0.64"/>
    <n v="0.33"/>
    <n v="0.64"/>
    <x v="2"/>
  </r>
  <r>
    <x v="61"/>
    <s v="gh GHA"/>
    <s v="gh"/>
    <s v="GHA"/>
    <s v="FW"/>
    <x v="1"/>
    <n v="23"/>
    <x v="0"/>
    <n v="33"/>
    <n v="25"/>
    <n v="2105"/>
    <x v="1"/>
    <n v="23.4"/>
    <n v="8"/>
    <n v="2"/>
    <n v="10"/>
    <n v="8"/>
    <n v="0"/>
    <n v="0"/>
    <n v="6"/>
    <n v="0"/>
    <n v="4.5999999999999996"/>
    <n v="3.4000000000000004"/>
    <n v="4.5999999999999996"/>
    <n v="3.2"/>
    <n v="7.8"/>
    <n v="89"/>
    <n v="64"/>
    <n v="188"/>
    <n v="0.34"/>
    <n v="0.09"/>
    <n v="0.43"/>
    <n v="0.34"/>
    <n v="0.43"/>
    <n v="0.2"/>
    <n v="0.14000000000000001"/>
    <n v="0.34"/>
    <n v="0.2"/>
    <n v="0.34"/>
    <x v="2"/>
  </r>
  <r>
    <x v="62"/>
    <s v="nl NED"/>
    <s v="nl"/>
    <s v="NED"/>
    <s v="MF,FW"/>
    <x v="0"/>
    <n v="24"/>
    <x v="1"/>
    <n v="32"/>
    <n v="26"/>
    <n v="1916"/>
    <x v="1"/>
    <n v="21.3"/>
    <n v="7"/>
    <n v="1"/>
    <n v="8"/>
    <n v="7"/>
    <n v="0"/>
    <n v="0"/>
    <n v="5"/>
    <n v="0"/>
    <n v="6.2"/>
    <n v="0.79999999999999982"/>
    <n v="6.2"/>
    <n v="1.9"/>
    <n v="8.1"/>
    <n v="65"/>
    <n v="50"/>
    <n v="114"/>
    <n v="0.33"/>
    <n v="0.05"/>
    <n v="0.38"/>
    <n v="0.33"/>
    <n v="0.38"/>
    <n v="0.28999999999999998"/>
    <n v="0.09"/>
    <n v="0.38"/>
    <n v="0.28999999999999998"/>
    <n v="0.38"/>
    <x v="2"/>
  </r>
  <r>
    <x v="63"/>
    <s v="ar ARG"/>
    <s v="ar"/>
    <s v="ARG"/>
    <s v="DF"/>
    <x v="2"/>
    <n v="26"/>
    <x v="1"/>
    <n v="31"/>
    <n v="26"/>
    <n v="2242"/>
    <x v="1"/>
    <n v="24.9"/>
    <n v="4"/>
    <n v="5"/>
    <n v="9"/>
    <n v="4"/>
    <n v="0"/>
    <n v="0"/>
    <n v="13"/>
    <n v="0"/>
    <n v="2"/>
    <n v="2"/>
    <n v="2"/>
    <n v="1.7"/>
    <n v="3.7"/>
    <n v="31"/>
    <n v="127"/>
    <n v="4"/>
    <n v="0.16"/>
    <n v="0.2"/>
    <n v="0.36"/>
    <n v="0.16"/>
    <n v="0.36"/>
    <n v="0.08"/>
    <n v="7.0000000000000007E-2"/>
    <n v="0.15"/>
    <n v="0.08"/>
    <n v="0.15"/>
    <x v="2"/>
  </r>
  <r>
    <x v="64"/>
    <s v="eng ENG"/>
    <s v="eng"/>
    <s v="ENG"/>
    <s v="FW"/>
    <x v="1"/>
    <n v="24"/>
    <x v="1"/>
    <n v="30"/>
    <n v="25"/>
    <n v="2118"/>
    <x v="1"/>
    <n v="23.5"/>
    <n v="3"/>
    <n v="4"/>
    <n v="7"/>
    <n v="3"/>
    <n v="0"/>
    <n v="0"/>
    <n v="3"/>
    <n v="0"/>
    <n v="3.9"/>
    <n v="-0.89999999999999991"/>
    <n v="3.9"/>
    <n v="5.2"/>
    <n v="9.1"/>
    <n v="79"/>
    <n v="84"/>
    <n v="171"/>
    <n v="0.13"/>
    <n v="0.17"/>
    <n v="0.3"/>
    <n v="0.13"/>
    <n v="0.3"/>
    <n v="0.17"/>
    <n v="0.22"/>
    <n v="0.39"/>
    <n v="0.17"/>
    <n v="0.39"/>
    <x v="2"/>
  </r>
  <r>
    <x v="65"/>
    <s v="dk DEN"/>
    <s v="dk"/>
    <s v="DEN"/>
    <s v="MF"/>
    <x v="0"/>
    <n v="27"/>
    <x v="1"/>
    <n v="29"/>
    <n v="13"/>
    <n v="1398"/>
    <x v="1"/>
    <n v="15.5"/>
    <n v="2"/>
    <n v="2"/>
    <n v="4"/>
    <n v="2"/>
    <n v="0"/>
    <n v="0"/>
    <n v="3"/>
    <n v="1"/>
    <n v="2.5"/>
    <n v="-0.5"/>
    <n v="2.5"/>
    <n v="3.2"/>
    <n v="5.7"/>
    <n v="22"/>
    <n v="53"/>
    <n v="63"/>
    <n v="0.13"/>
    <n v="0.13"/>
    <n v="0.26"/>
    <n v="0.13"/>
    <n v="0.26"/>
    <n v="0.16"/>
    <n v="0.21"/>
    <n v="0.36"/>
    <n v="0.16"/>
    <n v="0.36"/>
    <x v="2"/>
  </r>
  <r>
    <x v="66"/>
    <s v="bf BFA"/>
    <s v="bf"/>
    <s v="BFA"/>
    <s v="FW,DF"/>
    <x v="1"/>
    <n v="21"/>
    <x v="0"/>
    <n v="30"/>
    <n v="12"/>
    <n v="1229"/>
    <x v="1"/>
    <n v="13.7"/>
    <n v="1"/>
    <n v="2"/>
    <n v="3"/>
    <n v="1"/>
    <n v="0"/>
    <n v="0"/>
    <n v="3"/>
    <n v="0"/>
    <n v="2.6"/>
    <n v="-1.6"/>
    <n v="2.6"/>
    <n v="1.5"/>
    <n v="4.0999999999999996"/>
    <n v="47"/>
    <n v="35"/>
    <n v="90"/>
    <n v="7.0000000000000007E-2"/>
    <n v="0.15"/>
    <n v="0.22"/>
    <n v="7.0000000000000007E-2"/>
    <n v="0.22"/>
    <n v="0.19"/>
    <n v="0.11"/>
    <n v="0.3"/>
    <n v="0.19"/>
    <n v="0.3"/>
    <x v="2"/>
  </r>
  <r>
    <x v="67"/>
    <s v="eng ENG"/>
    <s v="eng"/>
    <s v="ENG"/>
    <s v="MF"/>
    <x v="0"/>
    <n v="19"/>
    <x v="3"/>
    <n v="23"/>
    <n v="11"/>
    <n v="1014"/>
    <x v="1"/>
    <n v="11.3"/>
    <n v="1"/>
    <n v="1"/>
    <n v="2"/>
    <n v="1"/>
    <n v="0"/>
    <n v="0"/>
    <n v="3"/>
    <n v="0"/>
    <n v="0.7"/>
    <n v="0.30000000000000004"/>
    <n v="0.7"/>
    <n v="1.7"/>
    <n v="2.4"/>
    <n v="24"/>
    <n v="50"/>
    <n v="35"/>
    <n v="0.09"/>
    <n v="0.09"/>
    <n v="0.18"/>
    <n v="0.09"/>
    <n v="0.18"/>
    <n v="0.06"/>
    <n v="0.15"/>
    <n v="0.22"/>
    <n v="0.06"/>
    <n v="0.22"/>
    <x v="2"/>
  </r>
  <r>
    <x v="68"/>
    <s v="sct SCO"/>
    <s v="sct"/>
    <s v="SCO"/>
    <s v="MF"/>
    <x v="0"/>
    <n v="28"/>
    <x v="1"/>
    <n v="37"/>
    <n v="35"/>
    <n v="2907"/>
    <x v="1"/>
    <n v="32.299999999999997"/>
    <n v="0"/>
    <n v="5"/>
    <n v="5"/>
    <n v="0"/>
    <n v="0"/>
    <n v="0"/>
    <n v="6"/>
    <n v="0"/>
    <n v="2.2999999999999998"/>
    <n v="-2.2999999999999998"/>
    <n v="2.2999999999999998"/>
    <n v="5.4"/>
    <n v="7.7"/>
    <n v="60"/>
    <n v="167"/>
    <n v="78"/>
    <n v="0"/>
    <n v="0.15"/>
    <n v="0.15"/>
    <n v="0"/>
    <n v="0.15"/>
    <n v="7.0000000000000007E-2"/>
    <n v="0.17"/>
    <n v="0.24"/>
    <n v="7.0000000000000007E-2"/>
    <n v="0.24"/>
    <x v="2"/>
  </r>
  <r>
    <x v="69"/>
    <s v="wls WAL"/>
    <s v="wls"/>
    <s v="WAL"/>
    <s v="DF"/>
    <x v="2"/>
    <n v="25"/>
    <x v="1"/>
    <n v="10"/>
    <n v="6"/>
    <n v="617"/>
    <x v="0"/>
    <n v="6.9"/>
    <n v="0"/>
    <n v="1"/>
    <n v="1"/>
    <n v="0"/>
    <n v="0"/>
    <n v="0"/>
    <n v="2"/>
    <n v="0"/>
    <n v="0.1"/>
    <n v="-0.1"/>
    <n v="0.1"/>
    <n v="0.4"/>
    <n v="0.5"/>
    <n v="4"/>
    <n v="25"/>
    <n v="1"/>
    <n v="0"/>
    <n v="0.15"/>
    <n v="0.15"/>
    <n v="0"/>
    <n v="0.15"/>
    <n v="0.01"/>
    <n v="0.06"/>
    <n v="7.0000000000000007E-2"/>
    <n v="0.01"/>
    <n v="7.0000000000000007E-2"/>
    <x v="2"/>
  </r>
  <r>
    <x v="70"/>
    <s v="eng ENG"/>
    <s v="eng"/>
    <s v="ENG"/>
    <s v="MF"/>
    <x v="0"/>
    <n v="26"/>
    <x v="1"/>
    <n v="33"/>
    <n v="32"/>
    <n v="2786"/>
    <x v="1"/>
    <n v="31"/>
    <n v="0"/>
    <n v="3"/>
    <n v="3"/>
    <n v="0"/>
    <n v="0"/>
    <n v="0"/>
    <n v="5"/>
    <n v="1"/>
    <n v="0.4"/>
    <n v="-0.4"/>
    <n v="0.4"/>
    <n v="4.3"/>
    <n v="4.5999999999999996"/>
    <n v="22"/>
    <n v="142"/>
    <n v="15"/>
    <n v="0"/>
    <n v="0.1"/>
    <n v="0.1"/>
    <n v="0"/>
    <n v="0.1"/>
    <n v="0.01"/>
    <n v="0.14000000000000001"/>
    <n v="0.15"/>
    <n v="0.01"/>
    <n v="0.15"/>
    <x v="2"/>
  </r>
  <r>
    <x v="71"/>
    <s v="eng ENG"/>
    <s v="eng"/>
    <s v="ENG"/>
    <s v="DF"/>
    <x v="2"/>
    <n v="32"/>
    <x v="2"/>
    <n v="28"/>
    <n v="25"/>
    <n v="2150"/>
    <x v="1"/>
    <n v="23.9"/>
    <n v="0"/>
    <n v="2"/>
    <n v="2"/>
    <n v="0"/>
    <n v="0"/>
    <n v="0"/>
    <n v="6"/>
    <n v="0"/>
    <n v="0.1"/>
    <n v="-0.1"/>
    <n v="0.1"/>
    <n v="1.3"/>
    <n v="1.4"/>
    <n v="24"/>
    <n v="89"/>
    <n v="28"/>
    <n v="0"/>
    <n v="0.08"/>
    <n v="0.08"/>
    <n v="0"/>
    <n v="0.08"/>
    <n v="0"/>
    <n v="0.05"/>
    <n v="0.06"/>
    <n v="0"/>
    <n v="0.06"/>
    <x v="2"/>
  </r>
  <r>
    <x v="72"/>
    <s v="eng ENG"/>
    <s v="eng"/>
    <s v="ENG"/>
    <s v="DF"/>
    <x v="2"/>
    <n v="23"/>
    <x v="0"/>
    <n v="20"/>
    <n v="13"/>
    <n v="1237"/>
    <x v="1"/>
    <n v="13.7"/>
    <n v="0"/>
    <n v="1"/>
    <n v="1"/>
    <n v="0"/>
    <n v="0"/>
    <n v="0"/>
    <n v="1"/>
    <n v="0"/>
    <n v="0"/>
    <n v="0"/>
    <n v="0"/>
    <n v="0.8"/>
    <n v="0.9"/>
    <n v="22"/>
    <n v="43"/>
    <n v="26"/>
    <n v="0"/>
    <n v="7.0000000000000007E-2"/>
    <n v="7.0000000000000007E-2"/>
    <n v="0"/>
    <n v="7.0000000000000007E-2"/>
    <n v="0"/>
    <n v="0.06"/>
    <n v="0.06"/>
    <n v="0"/>
    <n v="0.06"/>
    <x v="2"/>
  </r>
  <r>
    <x v="73"/>
    <s v="eng ENG"/>
    <s v="eng"/>
    <s v="ENG"/>
    <s v="DF"/>
    <x v="2"/>
    <n v="24"/>
    <x v="1"/>
    <n v="23"/>
    <n v="17"/>
    <n v="1559"/>
    <x v="1"/>
    <n v="17.3"/>
    <n v="0"/>
    <n v="1"/>
    <n v="1"/>
    <n v="0"/>
    <n v="0"/>
    <n v="0"/>
    <n v="2"/>
    <n v="0"/>
    <n v="0.3"/>
    <n v="-0.3"/>
    <n v="0.3"/>
    <n v="1.2"/>
    <n v="1.6"/>
    <n v="15"/>
    <n v="56"/>
    <n v="28"/>
    <n v="0"/>
    <n v="0.06"/>
    <n v="0.06"/>
    <n v="0"/>
    <n v="0.06"/>
    <n v="0.02"/>
    <n v="7.0000000000000007E-2"/>
    <n v="0.09"/>
    <n v="0.02"/>
    <n v="0.09"/>
    <x v="2"/>
  </r>
  <r>
    <x v="74"/>
    <s v="hu HUN"/>
    <s v="hu"/>
    <s v="HUN"/>
    <s v="DF"/>
    <x v="2"/>
    <n v="19"/>
    <x v="3"/>
    <n v="28"/>
    <n v="22"/>
    <n v="1970"/>
    <x v="1"/>
    <n v="21.9"/>
    <n v="0"/>
    <n v="1"/>
    <n v="1"/>
    <n v="0"/>
    <n v="0"/>
    <n v="0"/>
    <n v="4"/>
    <n v="1"/>
    <n v="1.2"/>
    <n v="-1.2"/>
    <n v="1.2"/>
    <n v="0.8"/>
    <n v="2"/>
    <n v="46"/>
    <n v="44"/>
    <n v="93"/>
    <n v="0"/>
    <n v="0.05"/>
    <n v="0.05"/>
    <n v="0"/>
    <n v="0.05"/>
    <n v="0.06"/>
    <n v="0.04"/>
    <n v="0.09"/>
    <n v="0.06"/>
    <n v="0.09"/>
    <x v="2"/>
  </r>
  <r>
    <x v="75"/>
    <s v="ua UKR"/>
    <s v="ua"/>
    <s v="UKR"/>
    <s v="DF"/>
    <x v="2"/>
    <n v="20"/>
    <x v="0"/>
    <n v="37"/>
    <n v="37"/>
    <n v="3330"/>
    <x v="1"/>
    <n v="37"/>
    <n v="1"/>
    <n v="0"/>
    <n v="1"/>
    <n v="1"/>
    <n v="0"/>
    <n v="0"/>
    <n v="5"/>
    <n v="0"/>
    <n v="1.1000000000000001"/>
    <n v="-0.10000000000000009"/>
    <n v="1.1000000000000001"/>
    <n v="0.4"/>
    <n v="1.5"/>
    <n v="24"/>
    <n v="109"/>
    <n v="1"/>
    <n v="0.03"/>
    <n v="0"/>
    <n v="0.03"/>
    <n v="0.03"/>
    <n v="0.03"/>
    <n v="0.03"/>
    <n v="0.01"/>
    <n v="0.04"/>
    <n v="0.03"/>
    <n v="0.04"/>
    <x v="2"/>
  </r>
  <r>
    <x v="76"/>
    <s v="br BRA"/>
    <s v="br"/>
    <s v="BRA"/>
    <s v="GK"/>
    <x v="3"/>
    <n v="34"/>
    <x v="2"/>
    <n v="32"/>
    <n v="32"/>
    <n v="2880"/>
    <x v="1"/>
    <n v="32"/>
    <n v="0"/>
    <n v="0"/>
    <n v="0"/>
    <n v="0"/>
    <n v="0"/>
    <n v="0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</r>
  <r>
    <x v="77"/>
    <s v="ie IRL"/>
    <s v="ie"/>
    <s v="IRL"/>
    <s v="GK"/>
    <x v="3"/>
    <n v="24"/>
    <x v="1"/>
    <n v="4"/>
    <n v="4"/>
    <n v="360"/>
    <x v="0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</r>
  <r>
    <x v="78"/>
    <s v="eng ENG"/>
    <s v="eng"/>
    <s v="ENG"/>
    <s v="MF"/>
    <x v="0"/>
    <n v="28"/>
    <x v="1"/>
    <n v="11"/>
    <n v="3"/>
    <n v="386"/>
    <x v="0"/>
    <n v="4.3"/>
    <n v="0"/>
    <n v="0"/>
    <n v="0"/>
    <n v="0"/>
    <n v="0"/>
    <n v="0"/>
    <n v="0"/>
    <n v="0"/>
    <n v="0.1"/>
    <n v="-0.1"/>
    <n v="0.1"/>
    <n v="0.2"/>
    <n v="0.3"/>
    <n v="6"/>
    <n v="20"/>
    <n v="3"/>
    <n v="0"/>
    <n v="0"/>
    <n v="0"/>
    <n v="0"/>
    <n v="0"/>
    <n v="0.02"/>
    <n v="0.06"/>
    <n v="0.08"/>
    <n v="0.02"/>
    <n v="0.08"/>
    <x v="2"/>
  </r>
  <r>
    <x v="79"/>
    <s v="ro ROU"/>
    <s v="ro"/>
    <s v="ROU"/>
    <s v="GK"/>
    <x v="3"/>
    <n v="26"/>
    <x v="1"/>
    <n v="2"/>
    <n v="2"/>
    <n v="180"/>
    <x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</r>
  <r>
    <x v="80"/>
    <s v="eng ENG"/>
    <s v="eng"/>
    <s v="ENG"/>
    <s v="FW"/>
    <x v="1"/>
    <n v="23"/>
    <x v="0"/>
    <n v="3"/>
    <n v="2"/>
    <n v="152"/>
    <x v="0"/>
    <n v="1.7"/>
    <n v="0"/>
    <n v="0"/>
    <n v="0"/>
    <n v="0"/>
    <n v="0"/>
    <n v="0"/>
    <n v="1"/>
    <n v="0"/>
    <n v="0.1"/>
    <n v="-0.1"/>
    <n v="0.1"/>
    <n v="0"/>
    <n v="0.1"/>
    <n v="2"/>
    <n v="8"/>
    <n v="9"/>
    <n v="0"/>
    <n v="0"/>
    <n v="0"/>
    <n v="0"/>
    <n v="0"/>
    <n v="0.04"/>
    <n v="0"/>
    <n v="0.04"/>
    <n v="0.04"/>
    <n v="0.04"/>
    <x v="2"/>
  </r>
  <r>
    <x v="81"/>
    <s v="us USA"/>
    <s v="us"/>
    <s v="USA"/>
    <s v="MF"/>
    <x v="0"/>
    <n v="24"/>
    <x v="1"/>
    <n v="3"/>
    <n v="1"/>
    <n v="121"/>
    <x v="0"/>
    <n v="1.3"/>
    <n v="0"/>
    <n v="0"/>
    <n v="0"/>
    <n v="0"/>
    <n v="0"/>
    <n v="0"/>
    <n v="0"/>
    <n v="0"/>
    <n v="0"/>
    <n v="0"/>
    <n v="0"/>
    <n v="0.1"/>
    <n v="0.1"/>
    <n v="4"/>
    <n v="5"/>
    <n v="1"/>
    <n v="0"/>
    <n v="0"/>
    <n v="0"/>
    <n v="0"/>
    <n v="0"/>
    <n v="0"/>
    <n v="0.06"/>
    <n v="0.06"/>
    <n v="0"/>
    <n v="0.06"/>
    <x v="2"/>
  </r>
  <r>
    <x v="82"/>
    <s v="eng ENG"/>
    <s v="eng"/>
    <s v="ENG"/>
    <s v="DF"/>
    <x v="2"/>
    <n v="21"/>
    <x v="0"/>
    <n v="5"/>
    <n v="1"/>
    <n v="76"/>
    <x v="0"/>
    <n v="0.8"/>
    <n v="0"/>
    <n v="0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0"/>
    <n v="0"/>
    <n v="0"/>
    <n v="0"/>
    <x v="2"/>
  </r>
  <r>
    <x v="83"/>
    <s v="ci CIV"/>
    <s v="ci"/>
    <s v="CIV"/>
    <s v="MF"/>
    <x v="0"/>
    <n v="23"/>
    <x v="0"/>
    <n v="3"/>
    <n v="0"/>
    <n v="47"/>
    <x v="0"/>
    <n v="0.5"/>
    <n v="0"/>
    <n v="0"/>
    <n v="0"/>
    <n v="0"/>
    <n v="0"/>
    <n v="0"/>
    <n v="0"/>
    <n v="0"/>
    <n v="0.2"/>
    <n v="-0.2"/>
    <n v="0.2"/>
    <n v="0"/>
    <n v="0.2"/>
    <n v="2"/>
    <n v="3"/>
    <n v="4"/>
    <n v="0"/>
    <n v="0"/>
    <n v="0"/>
    <n v="0"/>
    <n v="0"/>
    <n v="0.34"/>
    <n v="7.0000000000000007E-2"/>
    <n v="0.41"/>
    <n v="0.34"/>
    <n v="0.41"/>
    <x v="2"/>
  </r>
  <r>
    <x v="84"/>
    <s v="fr FRA"/>
    <s v="fr"/>
    <s v="FRA"/>
    <s v="MF,FW"/>
    <x v="0"/>
    <n v="25"/>
    <x v="1"/>
    <n v="5"/>
    <n v="0"/>
    <n v="41"/>
    <x v="0"/>
    <n v="0.5"/>
    <n v="0"/>
    <n v="0"/>
    <n v="0"/>
    <n v="0"/>
    <n v="0"/>
    <n v="0"/>
    <n v="1"/>
    <n v="0"/>
    <n v="0.2"/>
    <n v="-0.2"/>
    <n v="0.2"/>
    <n v="0"/>
    <n v="0.2"/>
    <n v="4"/>
    <n v="5"/>
    <n v="4"/>
    <n v="0"/>
    <n v="0"/>
    <n v="0"/>
    <n v="0"/>
    <n v="0"/>
    <n v="0.34"/>
    <n v="0"/>
    <n v="0.34"/>
    <n v="0.34"/>
    <n v="0.34"/>
    <x v="2"/>
  </r>
  <r>
    <x v="85"/>
    <s v="eng ENG"/>
    <s v="eng"/>
    <s v="ENG"/>
    <s v="FW"/>
    <x v="1"/>
    <n v="19"/>
    <x v="3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</r>
  <r>
    <x v="86"/>
    <s v="de GER"/>
    <s v="de"/>
    <s v="GER"/>
    <s v="FW,MF"/>
    <x v="1"/>
    <n v="21"/>
    <x v="0"/>
    <n v="11"/>
    <n v="3"/>
    <n v="333"/>
    <x v="0"/>
    <n v="3.7"/>
    <n v="2"/>
    <n v="1"/>
    <n v="3"/>
    <n v="2"/>
    <n v="0"/>
    <n v="0"/>
    <n v="0"/>
    <n v="0"/>
    <n v="1.2"/>
    <n v="0.8"/>
    <n v="1.2"/>
    <n v="0.7"/>
    <n v="1.9"/>
    <n v="8"/>
    <n v="9"/>
    <n v="23"/>
    <n v="0.54"/>
    <n v="0.27"/>
    <n v="0.81"/>
    <n v="0.54"/>
    <n v="0.81"/>
    <n v="0.32"/>
    <n v="0.19"/>
    <n v="0.52"/>
    <n v="0.32"/>
    <n v="0.52"/>
    <x v="3"/>
  </r>
  <r>
    <x v="87"/>
    <s v="gd GRN"/>
    <s v="gd"/>
    <s v="GRN"/>
    <s v="MF"/>
    <x v="0"/>
    <n v="25"/>
    <x v="1"/>
    <n v="10"/>
    <n v="2"/>
    <n v="229"/>
    <x v="0"/>
    <n v="2.5"/>
    <n v="1"/>
    <n v="1"/>
    <n v="2"/>
    <n v="1"/>
    <n v="0"/>
    <n v="0"/>
    <n v="1"/>
    <n v="0"/>
    <n v="0.9"/>
    <n v="9.9999999999999978E-2"/>
    <n v="0.9"/>
    <n v="0.2"/>
    <n v="1.1000000000000001"/>
    <n v="3"/>
    <n v="5"/>
    <n v="1"/>
    <n v="0.39"/>
    <n v="0.39"/>
    <n v="0.79"/>
    <n v="0.39"/>
    <n v="0.79"/>
    <n v="0.35"/>
    <n v="0.08"/>
    <n v="0.43"/>
    <n v="0.35"/>
    <n v="0.43"/>
    <x v="3"/>
  </r>
  <r>
    <x v="88"/>
    <s v="cm CMR"/>
    <s v="cm"/>
    <s v="CMR"/>
    <s v="FW"/>
    <x v="1"/>
    <n v="23"/>
    <x v="0"/>
    <n v="25"/>
    <n v="22"/>
    <n v="1960"/>
    <x v="1"/>
    <n v="21.8"/>
    <n v="9"/>
    <n v="6"/>
    <n v="15"/>
    <n v="6"/>
    <n v="3"/>
    <n v="3"/>
    <n v="2"/>
    <n v="0"/>
    <n v="9.8000000000000007"/>
    <n v="-0.80000000000000071"/>
    <n v="7.4"/>
    <n v="4.5999999999999996"/>
    <n v="12.1"/>
    <n v="74"/>
    <n v="88"/>
    <n v="195"/>
    <n v="0.41"/>
    <n v="0.28000000000000003"/>
    <n v="0.69"/>
    <n v="0.28000000000000003"/>
    <n v="0.55000000000000004"/>
    <n v="0.45"/>
    <n v="0.21"/>
    <n v="0.66"/>
    <n v="0.34"/>
    <n v="0.55000000000000004"/>
    <x v="3"/>
  </r>
  <r>
    <x v="89"/>
    <s v="fr FRA"/>
    <s v="fr"/>
    <s v="FRA"/>
    <s v="FW"/>
    <x v="1"/>
    <n v="26"/>
    <x v="1"/>
    <n v="29"/>
    <n v="13"/>
    <n v="1321"/>
    <x v="1"/>
    <n v="14.7"/>
    <n v="6"/>
    <n v="3"/>
    <n v="9"/>
    <n v="6"/>
    <n v="0"/>
    <n v="0"/>
    <n v="8"/>
    <n v="0"/>
    <n v="5.7"/>
    <n v="0.29999999999999982"/>
    <n v="5.7"/>
    <n v="2.2999999999999998"/>
    <n v="8.1"/>
    <n v="21"/>
    <n v="37"/>
    <n v="91"/>
    <n v="0.41"/>
    <n v="0.2"/>
    <n v="0.61"/>
    <n v="0.41"/>
    <n v="0.61"/>
    <n v="0.39"/>
    <n v="0.16"/>
    <n v="0.55000000000000004"/>
    <n v="0.39"/>
    <n v="0.55000000000000004"/>
    <x v="3"/>
  </r>
  <r>
    <x v="90"/>
    <s v="cd COD"/>
    <s v="cd"/>
    <s v="COD"/>
    <s v="FW"/>
    <x v="1"/>
    <n v="26"/>
    <x v="1"/>
    <n v="34"/>
    <n v="29"/>
    <n v="2493"/>
    <x v="1"/>
    <n v="27.7"/>
    <n v="12"/>
    <n v="3"/>
    <n v="15"/>
    <n v="12"/>
    <n v="0"/>
    <n v="0"/>
    <n v="7"/>
    <n v="0"/>
    <n v="10.6"/>
    <n v="1.4000000000000004"/>
    <n v="10.6"/>
    <n v="3.9"/>
    <n v="14.5"/>
    <n v="45"/>
    <n v="48"/>
    <n v="150"/>
    <n v="0.43"/>
    <n v="0.11"/>
    <n v="0.54"/>
    <n v="0.43"/>
    <n v="0.54"/>
    <n v="0.38"/>
    <n v="0.14000000000000001"/>
    <n v="0.52"/>
    <n v="0.38"/>
    <n v="0.52"/>
    <x v="3"/>
  </r>
  <r>
    <x v="91"/>
    <s v="eng ENG"/>
    <s v="eng"/>
    <s v="ENG"/>
    <s v="FW"/>
    <x v="1"/>
    <n v="27"/>
    <x v="1"/>
    <n v="17"/>
    <n v="16"/>
    <n v="1450"/>
    <x v="1"/>
    <n v="16.100000000000001"/>
    <n v="4"/>
    <n v="2"/>
    <n v="6"/>
    <n v="4"/>
    <n v="0"/>
    <n v="0"/>
    <n v="5"/>
    <n v="0"/>
    <n v="6"/>
    <n v="-2"/>
    <n v="6"/>
    <n v="1.5"/>
    <n v="7.4"/>
    <n v="23"/>
    <n v="40"/>
    <n v="98"/>
    <n v="0.25"/>
    <n v="0.12"/>
    <n v="0.37"/>
    <n v="0.25"/>
    <n v="0.37"/>
    <n v="0.37"/>
    <n v="0.09"/>
    <n v="0.46"/>
    <n v="0.37"/>
    <n v="0.46"/>
    <x v="3"/>
  </r>
  <r>
    <x v="92"/>
    <s v="es ESP"/>
    <s v="es"/>
    <s v="ESP"/>
    <s v="DF"/>
    <x v="2"/>
    <n v="26"/>
    <x v="1"/>
    <n v="16"/>
    <n v="14"/>
    <n v="1118"/>
    <x v="1"/>
    <n v="12.4"/>
    <n v="0"/>
    <n v="4"/>
    <n v="4"/>
    <n v="0"/>
    <n v="0"/>
    <n v="0"/>
    <n v="4"/>
    <n v="1"/>
    <n v="0.8"/>
    <n v="-0.8"/>
    <n v="0.8"/>
    <n v="2.8"/>
    <n v="3.6"/>
    <n v="34"/>
    <n v="38"/>
    <n v="40"/>
    <n v="0"/>
    <n v="0.32"/>
    <n v="0.32"/>
    <n v="0"/>
    <n v="0.32"/>
    <n v="0.06"/>
    <n v="0.23"/>
    <n v="0.28999999999999998"/>
    <n v="0.06"/>
    <n v="0.28999999999999998"/>
    <x v="3"/>
  </r>
  <r>
    <x v="93"/>
    <s v="dk DEN"/>
    <s v="dk"/>
    <s v="DEN"/>
    <s v="MF"/>
    <x v="0"/>
    <n v="27"/>
    <x v="1"/>
    <n v="32"/>
    <n v="27"/>
    <n v="2204"/>
    <x v="1"/>
    <n v="24.5"/>
    <n v="3"/>
    <n v="3"/>
    <n v="6"/>
    <n v="3"/>
    <n v="0"/>
    <n v="0"/>
    <n v="5"/>
    <n v="0"/>
    <n v="0.7"/>
    <n v="2.2999999999999998"/>
    <n v="0.7"/>
    <n v="4"/>
    <n v="4.7"/>
    <n v="19"/>
    <n v="123"/>
    <n v="66"/>
    <n v="0.12"/>
    <n v="0.12"/>
    <n v="0.25"/>
    <n v="0.12"/>
    <n v="0.25"/>
    <n v="0.03"/>
    <n v="0.16"/>
    <n v="0.19"/>
    <n v="0.03"/>
    <n v="0.19"/>
    <x v="3"/>
  </r>
  <r>
    <x v="94"/>
    <s v="eng ENG"/>
    <s v="eng"/>
    <s v="ENG"/>
    <s v="FW,DF"/>
    <x v="1"/>
    <n v="22"/>
    <x v="0"/>
    <n v="30"/>
    <n v="15"/>
    <n v="1441"/>
    <x v="1"/>
    <n v="16"/>
    <n v="3"/>
    <n v="1"/>
    <n v="4"/>
    <n v="3"/>
    <n v="0"/>
    <n v="0"/>
    <n v="0"/>
    <n v="0"/>
    <n v="6.3"/>
    <n v="-3.3"/>
    <n v="6.3"/>
    <n v="1.7"/>
    <n v="8"/>
    <n v="56"/>
    <n v="32"/>
    <n v="135"/>
    <n v="0.19"/>
    <n v="0.06"/>
    <n v="0.25"/>
    <n v="0.19"/>
    <n v="0.25"/>
    <n v="0.39"/>
    <n v="0.11"/>
    <n v="0.5"/>
    <n v="0.39"/>
    <n v="0.5"/>
    <x v="3"/>
  </r>
  <r>
    <x v="95"/>
    <s v="ng NGA"/>
    <s v="ng"/>
    <s v="NGA"/>
    <s v="MF"/>
    <x v="0"/>
    <n v="25"/>
    <x v="1"/>
    <n v="26"/>
    <n v="11"/>
    <n v="1161"/>
    <x v="1"/>
    <n v="12.9"/>
    <n v="1"/>
    <n v="2"/>
    <n v="3"/>
    <n v="1"/>
    <n v="0"/>
    <n v="0"/>
    <n v="8"/>
    <n v="0"/>
    <n v="2.2000000000000002"/>
    <n v="-1.2000000000000002"/>
    <n v="2.2000000000000002"/>
    <n v="1.8"/>
    <n v="4"/>
    <n v="17"/>
    <n v="33"/>
    <n v="39"/>
    <n v="0.08"/>
    <n v="0.16"/>
    <n v="0.23"/>
    <n v="0.08"/>
    <n v="0.23"/>
    <n v="0.17"/>
    <n v="0.14000000000000001"/>
    <n v="0.31"/>
    <n v="0.17"/>
    <n v="0.31"/>
    <x v="3"/>
  </r>
  <r>
    <x v="96"/>
    <s v="eng ENG"/>
    <s v="eng"/>
    <s v="ENG"/>
    <s v="DF"/>
    <x v="2"/>
    <n v="26"/>
    <x v="1"/>
    <n v="5"/>
    <n v="5"/>
    <n v="401"/>
    <x v="0"/>
    <n v="4.5"/>
    <n v="0"/>
    <n v="1"/>
    <n v="1"/>
    <n v="0"/>
    <n v="0"/>
    <n v="0"/>
    <n v="1"/>
    <n v="0"/>
    <n v="0.1"/>
    <n v="-0.1"/>
    <n v="0.1"/>
    <n v="1"/>
    <n v="1.1000000000000001"/>
    <n v="13"/>
    <n v="20"/>
    <n v="12"/>
    <n v="0"/>
    <n v="0.22"/>
    <n v="0.22"/>
    <n v="0"/>
    <n v="0.22"/>
    <n v="0.02"/>
    <n v="0.22"/>
    <n v="0.24"/>
    <n v="0.02"/>
    <n v="0.24"/>
    <x v="3"/>
  </r>
  <r>
    <x v="97"/>
    <s v="dk DEN"/>
    <s v="dk"/>
    <s v="DEN"/>
    <s v="MF"/>
    <x v="0"/>
    <n v="23"/>
    <x v="0"/>
    <n v="23"/>
    <n v="7"/>
    <n v="842"/>
    <x v="0"/>
    <n v="9.4"/>
    <n v="0"/>
    <n v="2"/>
    <n v="2"/>
    <n v="0"/>
    <n v="0"/>
    <n v="0"/>
    <n v="2"/>
    <n v="0"/>
    <n v="0.9"/>
    <n v="-0.9"/>
    <n v="0.9"/>
    <n v="1.4"/>
    <n v="2.4"/>
    <n v="16"/>
    <n v="61"/>
    <n v="32"/>
    <n v="0"/>
    <n v="0.21"/>
    <n v="0.21"/>
    <n v="0"/>
    <n v="0.21"/>
    <n v="0.1"/>
    <n v="0.16"/>
    <n v="0.25"/>
    <n v="0.1"/>
    <n v="0.25"/>
    <x v="3"/>
  </r>
  <r>
    <x v="98"/>
    <s v="no NOR"/>
    <s v="no"/>
    <s v="NOR"/>
    <s v="DF"/>
    <x v="2"/>
    <n v="25"/>
    <x v="1"/>
    <n v="28"/>
    <n v="21"/>
    <n v="1832"/>
    <x v="1"/>
    <n v="20.399999999999999"/>
    <n v="2"/>
    <n v="1"/>
    <n v="3"/>
    <n v="2"/>
    <n v="0"/>
    <n v="0"/>
    <n v="5"/>
    <n v="0"/>
    <n v="1.3"/>
    <n v="0.7"/>
    <n v="1.3"/>
    <n v="2.2999999999999998"/>
    <n v="3.6"/>
    <n v="22"/>
    <n v="61"/>
    <n v="31"/>
    <n v="0.1"/>
    <n v="0.05"/>
    <n v="0.15"/>
    <n v="0.1"/>
    <n v="0.15"/>
    <n v="0.06"/>
    <n v="0.11"/>
    <n v="0.18"/>
    <n v="0.06"/>
    <n v="0.18"/>
    <x v="3"/>
  </r>
  <r>
    <x v="99"/>
    <s v="dk DEN"/>
    <s v="dk"/>
    <s v="DEN"/>
    <s v="DF"/>
    <x v="2"/>
    <n v="24"/>
    <x v="1"/>
    <n v="34"/>
    <n v="22"/>
    <n v="1985"/>
    <x v="1"/>
    <n v="22.1"/>
    <n v="1"/>
    <n v="2"/>
    <n v="3"/>
    <n v="1"/>
    <n v="0"/>
    <n v="0"/>
    <n v="1"/>
    <n v="0"/>
    <n v="0.9"/>
    <n v="9.9999999999999978E-2"/>
    <n v="0.9"/>
    <n v="1.8"/>
    <n v="2.7"/>
    <n v="18"/>
    <n v="43"/>
    <n v="90"/>
    <n v="0.05"/>
    <n v="0.09"/>
    <n v="0.14000000000000001"/>
    <n v="0.05"/>
    <n v="0.14000000000000001"/>
    <n v="0.04"/>
    <n v="0.08"/>
    <n v="0.12"/>
    <n v="0.04"/>
    <n v="0.12"/>
    <x v="3"/>
  </r>
  <r>
    <x v="100"/>
    <s v="eng ENG"/>
    <s v="eng"/>
    <s v="ENG"/>
    <s v="DF"/>
    <x v="2"/>
    <n v="33"/>
    <x v="2"/>
    <n v="16"/>
    <n v="15"/>
    <n v="1272"/>
    <x v="1"/>
    <n v="14.1"/>
    <n v="2"/>
    <n v="0"/>
    <n v="2"/>
    <n v="2"/>
    <n v="0"/>
    <n v="0"/>
    <n v="1"/>
    <n v="1"/>
    <n v="1.5"/>
    <n v="0.5"/>
    <n v="1.5"/>
    <n v="0.3"/>
    <n v="1.8"/>
    <n v="11"/>
    <n v="49"/>
    <n v="9"/>
    <n v="0.14000000000000001"/>
    <n v="0"/>
    <n v="0.14000000000000001"/>
    <n v="0.14000000000000001"/>
    <n v="0.14000000000000001"/>
    <n v="0.1"/>
    <n v="0.02"/>
    <n v="0.13"/>
    <n v="0.1"/>
    <n v="0.13"/>
    <x v="3"/>
  </r>
  <r>
    <x v="101"/>
    <s v="de GER"/>
    <s v="de"/>
    <s v="GER"/>
    <s v="MF,DF"/>
    <x v="0"/>
    <n v="25"/>
    <x v="1"/>
    <n v="38"/>
    <n v="37"/>
    <n v="3054"/>
    <x v="1"/>
    <n v="33.9"/>
    <n v="1"/>
    <n v="3"/>
    <n v="4"/>
    <n v="1"/>
    <n v="0"/>
    <n v="0"/>
    <n v="8"/>
    <n v="0"/>
    <n v="1.8"/>
    <n v="-0.8"/>
    <n v="1.8"/>
    <n v="4.8"/>
    <n v="6.5"/>
    <n v="25"/>
    <n v="123"/>
    <n v="81"/>
    <n v="0.03"/>
    <n v="0.09"/>
    <n v="0.12"/>
    <n v="0.03"/>
    <n v="0.12"/>
    <n v="0.05"/>
    <n v="0.14000000000000001"/>
    <n v="0.19"/>
    <n v="0.05"/>
    <n v="0.19"/>
    <x v="3"/>
  </r>
  <r>
    <x v="102"/>
    <s v="ir IRN"/>
    <s v="ir"/>
    <s v="IRN"/>
    <s v="DF"/>
    <x v="2"/>
    <n v="29"/>
    <x v="1"/>
    <n v="19"/>
    <n v="7"/>
    <n v="739"/>
    <x v="0"/>
    <n v="8.1999999999999993"/>
    <n v="1"/>
    <n v="0"/>
    <n v="1"/>
    <n v="1"/>
    <n v="0"/>
    <n v="0"/>
    <n v="5"/>
    <n v="0"/>
    <n v="0.3"/>
    <n v="0.7"/>
    <n v="0.3"/>
    <n v="1.1000000000000001"/>
    <n v="1.4"/>
    <n v="22"/>
    <n v="36"/>
    <n v="31"/>
    <n v="0.12"/>
    <n v="0"/>
    <n v="0.12"/>
    <n v="0.12"/>
    <n v="0.12"/>
    <n v="0.04"/>
    <n v="0.13"/>
    <n v="0.17"/>
    <n v="0.04"/>
    <n v="0.17"/>
    <x v="3"/>
  </r>
  <r>
    <x v="103"/>
    <s v="dk DEN"/>
    <s v="dk"/>
    <s v="DEN"/>
    <s v="MF"/>
    <x v="0"/>
    <n v="29"/>
    <x v="1"/>
    <n v="31"/>
    <n v="30"/>
    <n v="2505"/>
    <x v="1"/>
    <n v="27.8"/>
    <n v="2"/>
    <n v="1"/>
    <n v="3"/>
    <n v="2"/>
    <n v="0"/>
    <n v="0"/>
    <n v="8"/>
    <n v="0"/>
    <n v="3.5"/>
    <n v="-1.5"/>
    <n v="3.5"/>
    <n v="1.9"/>
    <n v="5.4"/>
    <n v="15"/>
    <n v="161"/>
    <n v="42"/>
    <n v="7.0000000000000007E-2"/>
    <n v="0.04"/>
    <n v="0.11"/>
    <n v="7.0000000000000007E-2"/>
    <n v="0.11"/>
    <n v="0.12"/>
    <n v="7.0000000000000007E-2"/>
    <n v="0.19"/>
    <n v="0.12"/>
    <n v="0.19"/>
    <x v="3"/>
  </r>
  <r>
    <x v="104"/>
    <s v="dk DEN"/>
    <s v="dk"/>
    <s v="DEN"/>
    <s v="DF"/>
    <x v="2"/>
    <n v="33"/>
    <x v="2"/>
    <n v="14"/>
    <n v="12"/>
    <n v="1087"/>
    <x v="1"/>
    <n v="12.1"/>
    <n v="1"/>
    <n v="0"/>
    <n v="1"/>
    <n v="1"/>
    <n v="0"/>
    <n v="0"/>
    <n v="4"/>
    <n v="0"/>
    <n v="0.7"/>
    <n v="0.30000000000000004"/>
    <n v="0.7"/>
    <n v="0.9"/>
    <n v="1.7"/>
    <n v="5"/>
    <n v="50"/>
    <n v="4"/>
    <n v="0.08"/>
    <n v="0"/>
    <n v="0.08"/>
    <n v="0.08"/>
    <n v="0.08"/>
    <n v="0.06"/>
    <n v="0.08"/>
    <n v="0.14000000000000001"/>
    <n v="0.06"/>
    <n v="0.14000000000000001"/>
    <x v="3"/>
  </r>
  <r>
    <x v="105"/>
    <s v="ie IRL"/>
    <s v="ie"/>
    <s v="IRL"/>
    <s v="DF"/>
    <x v="2"/>
    <n v="22"/>
    <x v="0"/>
    <n v="32"/>
    <n v="29"/>
    <n v="2652"/>
    <x v="1"/>
    <n v="29.5"/>
    <n v="1"/>
    <n v="1"/>
    <n v="2"/>
    <n v="1"/>
    <n v="0"/>
    <n v="0"/>
    <n v="3"/>
    <n v="0"/>
    <n v="1.7"/>
    <n v="-0.7"/>
    <n v="1.7"/>
    <n v="2.2000000000000002"/>
    <n v="3.9"/>
    <n v="11"/>
    <n v="97"/>
    <n v="18"/>
    <n v="0.03"/>
    <n v="0.03"/>
    <n v="7.0000000000000007E-2"/>
    <n v="0.03"/>
    <n v="7.0000000000000007E-2"/>
    <n v="0.06"/>
    <n v="7.0000000000000007E-2"/>
    <n v="0.13"/>
    <n v="0.06"/>
    <n v="0.13"/>
    <x v="3"/>
  </r>
  <r>
    <x v="106"/>
    <s v="jm JAM"/>
    <s v="jm"/>
    <s v="JAM"/>
    <s v="DF"/>
    <x v="2"/>
    <n v="30"/>
    <x v="2"/>
    <n v="29"/>
    <n v="28"/>
    <n v="2521"/>
    <x v="1"/>
    <n v="28"/>
    <n v="2"/>
    <n v="0"/>
    <n v="2"/>
    <n v="2"/>
    <n v="0"/>
    <n v="0"/>
    <n v="1"/>
    <n v="0"/>
    <n v="2"/>
    <n v="0"/>
    <n v="2"/>
    <n v="1"/>
    <n v="3"/>
    <n v="11"/>
    <n v="61"/>
    <n v="16"/>
    <n v="7.0000000000000007E-2"/>
    <n v="0"/>
    <n v="7.0000000000000007E-2"/>
    <n v="7.0000000000000007E-2"/>
    <n v="7.0000000000000007E-2"/>
    <n v="7.0000000000000007E-2"/>
    <n v="0.04"/>
    <n v="0.11"/>
    <n v="7.0000000000000007E-2"/>
    <n v="0.11"/>
    <x v="3"/>
  </r>
  <r>
    <x v="107"/>
    <s v="nl NED"/>
    <s v="nl"/>
    <s v="NED"/>
    <s v="GK"/>
    <x v="3"/>
    <n v="30"/>
    <x v="2"/>
    <n v="37"/>
    <n v="37"/>
    <n v="3285"/>
    <x v="1"/>
    <n v="36.5"/>
    <n v="0"/>
    <n v="1"/>
    <n v="1"/>
    <n v="0"/>
    <n v="0"/>
    <n v="0"/>
    <n v="3"/>
    <n v="0"/>
    <n v="0"/>
    <n v="0"/>
    <n v="0"/>
    <n v="0.5"/>
    <n v="0.5"/>
    <n v="0"/>
    <n v="5"/>
    <n v="0"/>
    <n v="0"/>
    <n v="0.03"/>
    <n v="0.03"/>
    <n v="0"/>
    <n v="0.03"/>
    <n v="0"/>
    <n v="0.01"/>
    <n v="0.01"/>
    <n v="0"/>
    <n v="0.01"/>
    <x v="3"/>
  </r>
  <r>
    <x v="108"/>
    <s v="sct SCO"/>
    <s v="sct"/>
    <s v="SCO"/>
    <s v="DF"/>
    <x v="2"/>
    <n v="21"/>
    <x v="0"/>
    <n v="9"/>
    <n v="9"/>
    <n v="713"/>
    <x v="0"/>
    <n v="7.9"/>
    <n v="0"/>
    <n v="0"/>
    <n v="0"/>
    <n v="0"/>
    <n v="0"/>
    <n v="0"/>
    <n v="5"/>
    <n v="0"/>
    <n v="0.2"/>
    <n v="-0.2"/>
    <n v="0.2"/>
    <n v="0.1"/>
    <n v="0.3"/>
    <n v="9"/>
    <n v="21"/>
    <n v="13"/>
    <n v="0"/>
    <n v="0"/>
    <n v="0"/>
    <n v="0"/>
    <n v="0"/>
    <n v="0.03"/>
    <n v="0.01"/>
    <n v="0.04"/>
    <n v="0.03"/>
    <n v="0.04"/>
    <x v="3"/>
  </r>
  <r>
    <x v="109"/>
    <s v="ua UKR"/>
    <s v="ua"/>
    <s v="UKR"/>
    <s v="MF"/>
    <x v="0"/>
    <n v="19"/>
    <x v="3"/>
    <n v="27"/>
    <n v="6"/>
    <n v="688"/>
    <x v="0"/>
    <n v="7.6"/>
    <n v="0"/>
    <n v="0"/>
    <n v="0"/>
    <n v="0"/>
    <n v="0"/>
    <n v="0"/>
    <n v="2"/>
    <n v="0"/>
    <n v="1"/>
    <n v="-1"/>
    <n v="1"/>
    <n v="0.1"/>
    <n v="1.1000000000000001"/>
    <n v="13"/>
    <n v="35"/>
    <n v="36"/>
    <n v="0"/>
    <n v="0"/>
    <n v="0"/>
    <n v="0"/>
    <n v="0"/>
    <n v="0.13"/>
    <n v="0.01"/>
    <n v="0.14000000000000001"/>
    <n v="0.13"/>
    <n v="0.14000000000000001"/>
    <x v="3"/>
  </r>
  <r>
    <x v="110"/>
    <s v="al ALB"/>
    <s v="al"/>
    <s v="ALB"/>
    <s v="GK"/>
    <x v="3"/>
    <n v="28"/>
    <x v="1"/>
    <n v="2"/>
    <n v="1"/>
    <n v="135"/>
    <x v="0"/>
    <n v="1.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"/>
  </r>
  <r>
    <x v="111"/>
    <s v="eng ENG"/>
    <s v="eng"/>
    <s v="ENG"/>
    <s v="DF,FW"/>
    <x v="2"/>
    <n v="19"/>
    <x v="3"/>
    <n v="8"/>
    <n v="0"/>
    <n v="59"/>
    <x v="0"/>
    <n v="0.7"/>
    <n v="0"/>
    <n v="0"/>
    <n v="0"/>
    <n v="0"/>
    <n v="0"/>
    <n v="0"/>
    <n v="0"/>
    <n v="0"/>
    <n v="0.1"/>
    <n v="-0.1"/>
    <n v="0.1"/>
    <n v="0"/>
    <n v="0.1"/>
    <n v="10"/>
    <n v="4"/>
    <n v="17"/>
    <n v="0"/>
    <n v="0"/>
    <n v="0"/>
    <n v="0"/>
    <n v="0"/>
    <n v="0.18"/>
    <n v="0"/>
    <n v="0.18"/>
    <n v="0.18"/>
    <n v="0.18"/>
    <x v="3"/>
  </r>
  <r>
    <x v="112"/>
    <s v="eng ENG"/>
    <s v="eng"/>
    <s v="ENG"/>
    <s v="DF,FW"/>
    <x v="2"/>
    <n v="24"/>
    <x v="1"/>
    <n v="3"/>
    <n v="0"/>
    <n v="24"/>
    <x v="0"/>
    <n v="0.3"/>
    <n v="0"/>
    <n v="0"/>
    <n v="0"/>
    <n v="0"/>
    <n v="0"/>
    <n v="0"/>
    <n v="0"/>
    <n v="0"/>
    <n v="0"/>
    <n v="0"/>
    <n v="0"/>
    <n v="0.2"/>
    <n v="0.2"/>
    <n v="2"/>
    <n v="2"/>
    <n v="5"/>
    <n v="0"/>
    <n v="0"/>
    <n v="0"/>
    <n v="0"/>
    <n v="0"/>
    <n v="0"/>
    <n v="0.72"/>
    <n v="0.72"/>
    <n v="0"/>
    <n v="0.72"/>
    <x v="3"/>
  </r>
  <r>
    <x v="113"/>
    <s v="eng ENG"/>
    <s v="eng"/>
    <s v="ENG"/>
    <s v="DF,MF"/>
    <x v="2"/>
    <n v="20"/>
    <x v="0"/>
    <n v="3"/>
    <n v="0"/>
    <n v="13"/>
    <x v="0"/>
    <n v="0.1"/>
    <n v="0"/>
    <n v="0"/>
    <n v="0"/>
    <n v="0"/>
    <n v="0"/>
    <n v="0"/>
    <n v="0"/>
    <n v="0"/>
    <n v="0"/>
    <n v="0"/>
    <n v="0"/>
    <n v="0"/>
    <n v="0"/>
    <n v="2"/>
    <n v="1"/>
    <n v="1"/>
    <n v="0"/>
    <n v="0"/>
    <n v="0"/>
    <n v="0"/>
    <n v="0"/>
    <n v="0"/>
    <n v="0.12"/>
    <n v="0.12"/>
    <n v="0"/>
    <n v="0.12"/>
    <x v="3"/>
  </r>
  <r>
    <x v="114"/>
    <s v="eng ENG"/>
    <s v="eng"/>
    <s v="ENG"/>
    <s v="FW,DF"/>
    <x v="1"/>
    <n v="29"/>
    <x v="1"/>
    <n v="7"/>
    <n v="7"/>
    <n v="554"/>
    <x v="0"/>
    <n v="6.2"/>
    <n v="3"/>
    <n v="1"/>
    <n v="4"/>
    <n v="3"/>
    <n v="0"/>
    <n v="0"/>
    <n v="1"/>
    <n v="0"/>
    <n v="2"/>
    <n v="1"/>
    <n v="2"/>
    <n v="1"/>
    <n v="2.9"/>
    <n v="14"/>
    <n v="24"/>
    <n v="44"/>
    <n v="0.49"/>
    <n v="0.16"/>
    <n v="0.65"/>
    <n v="0.49"/>
    <n v="0.65"/>
    <n v="0.32"/>
    <n v="0.16"/>
    <n v="0.47"/>
    <n v="0.32"/>
    <n v="0.47"/>
    <x v="4"/>
  </r>
  <r>
    <x v="115"/>
    <s v="br BRA"/>
    <s v="br"/>
    <s v="BRA"/>
    <s v="FW,MF"/>
    <x v="1"/>
    <n v="21"/>
    <x v="0"/>
    <n v="31"/>
    <n v="19"/>
    <n v="2045"/>
    <x v="1"/>
    <n v="22.7"/>
    <n v="9"/>
    <n v="3"/>
    <n v="12"/>
    <n v="5"/>
    <n v="4"/>
    <n v="5"/>
    <n v="2"/>
    <n v="0"/>
    <n v="11.9"/>
    <n v="-2.9000000000000004"/>
    <n v="7.9"/>
    <n v="3.8"/>
    <n v="11.7"/>
    <n v="83"/>
    <n v="92"/>
    <n v="205"/>
    <n v="0.4"/>
    <n v="0.13"/>
    <n v="0.53"/>
    <n v="0.22"/>
    <n v="0.35"/>
    <n v="0.53"/>
    <n v="0.17"/>
    <n v="0.69"/>
    <n v="0.35"/>
    <n v="0.51"/>
    <x v="4"/>
  </r>
  <r>
    <x v="116"/>
    <s v="jp JPN"/>
    <s v="jp"/>
    <s v="JPN"/>
    <s v="FW"/>
    <x v="1"/>
    <n v="26"/>
    <x v="1"/>
    <n v="19"/>
    <n v="15"/>
    <n v="1486"/>
    <x v="1"/>
    <n v="16.5"/>
    <n v="3"/>
    <n v="4"/>
    <n v="7"/>
    <n v="3"/>
    <n v="0"/>
    <n v="0"/>
    <n v="4"/>
    <n v="0"/>
    <n v="3.5"/>
    <n v="-0.5"/>
    <n v="3.5"/>
    <n v="2.7"/>
    <n v="6.2"/>
    <n v="121"/>
    <n v="64"/>
    <n v="239"/>
    <n v="0.18"/>
    <n v="0.24"/>
    <n v="0.42"/>
    <n v="0.18"/>
    <n v="0.42"/>
    <n v="0.21"/>
    <n v="0.16"/>
    <n v="0.37"/>
    <n v="0.21"/>
    <n v="0.37"/>
    <x v="4"/>
  </r>
  <r>
    <x v="117"/>
    <s v="de GER"/>
    <s v="de"/>
    <s v="GER"/>
    <s v="MF,DF"/>
    <x v="0"/>
    <n v="32"/>
    <x v="2"/>
    <n v="36"/>
    <n v="34"/>
    <n v="3114"/>
    <x v="1"/>
    <n v="34.6"/>
    <n v="4"/>
    <n v="10"/>
    <n v="14"/>
    <n v="3"/>
    <n v="1"/>
    <n v="1"/>
    <n v="6"/>
    <n v="0"/>
    <n v="6.5"/>
    <n v="-2.5"/>
    <n v="5.7"/>
    <n v="8.1"/>
    <n v="13.8"/>
    <n v="83"/>
    <n v="302"/>
    <n v="180"/>
    <n v="0.12"/>
    <n v="0.28999999999999998"/>
    <n v="0.4"/>
    <n v="0.09"/>
    <n v="0.38"/>
    <n v="0.19"/>
    <n v="0.24"/>
    <n v="0.42"/>
    <n v="0.16"/>
    <n v="0.4"/>
    <x v="4"/>
  </r>
  <r>
    <x v="118"/>
    <s v="ie IRL"/>
    <s v="ie"/>
    <s v="IRL"/>
    <s v="FW"/>
    <x v="1"/>
    <n v="18"/>
    <x v="3"/>
    <n v="27"/>
    <n v="15"/>
    <n v="1367"/>
    <x v="1"/>
    <n v="15.2"/>
    <n v="6"/>
    <n v="0"/>
    <n v="6"/>
    <n v="6"/>
    <n v="0"/>
    <n v="0"/>
    <n v="1"/>
    <n v="0"/>
    <n v="4.5999999999999996"/>
    <n v="1.4000000000000004"/>
    <n v="4.5999999999999996"/>
    <n v="0.5"/>
    <n v="5.0999999999999996"/>
    <n v="13"/>
    <n v="15"/>
    <n v="62"/>
    <n v="0.4"/>
    <n v="0"/>
    <n v="0.4"/>
    <n v="0.4"/>
    <n v="0.4"/>
    <n v="0.3"/>
    <n v="0.04"/>
    <n v="0.34"/>
    <n v="0.3"/>
    <n v="0.34"/>
    <x v="4"/>
  </r>
  <r>
    <x v="119"/>
    <s v="py PAR"/>
    <s v="py"/>
    <s v="PAR"/>
    <s v="MF,FW"/>
    <x v="0"/>
    <n v="19"/>
    <x v="3"/>
    <n v="12"/>
    <n v="5"/>
    <n v="475"/>
    <x v="0"/>
    <n v="5.3"/>
    <n v="0"/>
    <n v="2"/>
    <n v="2"/>
    <n v="0"/>
    <n v="0"/>
    <n v="0"/>
    <n v="2"/>
    <n v="0"/>
    <n v="1.4"/>
    <n v="-1.4"/>
    <n v="1.4"/>
    <n v="1.7"/>
    <n v="3.2"/>
    <n v="28"/>
    <n v="21"/>
    <n v="29"/>
    <n v="0"/>
    <n v="0.38"/>
    <n v="0.38"/>
    <n v="0"/>
    <n v="0.38"/>
    <n v="0.27"/>
    <n v="0.32"/>
    <n v="0.59"/>
    <n v="0.27"/>
    <n v="0.59"/>
    <x v="4"/>
  </r>
  <r>
    <x v="120"/>
    <s v="ec ECU"/>
    <s v="ec"/>
    <s v="ECU"/>
    <s v="DF"/>
    <x v="2"/>
    <n v="25"/>
    <x v="1"/>
    <n v="19"/>
    <n v="15"/>
    <n v="1243"/>
    <x v="1"/>
    <n v="13.8"/>
    <n v="2"/>
    <n v="3"/>
    <n v="5"/>
    <n v="2"/>
    <n v="0"/>
    <n v="0"/>
    <n v="4"/>
    <n v="0"/>
    <n v="1"/>
    <n v="1"/>
    <n v="1"/>
    <n v="3.5"/>
    <n v="4.4000000000000004"/>
    <n v="47"/>
    <n v="83"/>
    <n v="88"/>
    <n v="0.14000000000000001"/>
    <n v="0.22"/>
    <n v="0.36"/>
    <n v="0.14000000000000001"/>
    <n v="0.36"/>
    <n v="7.0000000000000007E-2"/>
    <n v="0.25"/>
    <n v="0.32"/>
    <n v="7.0000000000000007E-2"/>
    <n v="0.32"/>
    <x v="4"/>
  </r>
  <r>
    <x v="121"/>
    <s v="es ESP"/>
    <s v="es"/>
    <s v="ESP"/>
    <s v="MF,FW"/>
    <x v="0"/>
    <n v="20"/>
    <x v="0"/>
    <n v="19"/>
    <n v="3"/>
    <n v="521"/>
    <x v="0"/>
    <n v="5.8"/>
    <n v="2"/>
    <n v="0"/>
    <n v="2"/>
    <n v="2"/>
    <n v="0"/>
    <n v="0"/>
    <n v="2"/>
    <n v="0"/>
    <n v="3.4"/>
    <n v="-1.4"/>
    <n v="3.4"/>
    <n v="0.8"/>
    <n v="4.2"/>
    <n v="16"/>
    <n v="28"/>
    <n v="50"/>
    <n v="0.35"/>
    <n v="0"/>
    <n v="0.35"/>
    <n v="0.35"/>
    <n v="0.35"/>
    <n v="0.59"/>
    <n v="0.14000000000000001"/>
    <n v="0.73"/>
    <n v="0.59"/>
    <n v="0.73"/>
    <x v="4"/>
  </r>
  <r>
    <x v="122"/>
    <s v="eng ENG"/>
    <s v="eng"/>
    <s v="ENG"/>
    <s v="FW,MF"/>
    <x v="1"/>
    <n v="32"/>
    <x v="2"/>
    <n v="29"/>
    <n v="21"/>
    <n v="1693"/>
    <x v="1"/>
    <n v="18.8"/>
    <n v="5"/>
    <n v="1"/>
    <n v="6"/>
    <n v="5"/>
    <n v="0"/>
    <n v="0"/>
    <n v="4"/>
    <n v="0"/>
    <n v="5.3"/>
    <n v="-0.29999999999999982"/>
    <n v="5.3"/>
    <n v="1.7"/>
    <n v="7"/>
    <n v="32"/>
    <n v="44"/>
    <n v="100"/>
    <n v="0.27"/>
    <n v="0.05"/>
    <n v="0.32"/>
    <n v="0.27"/>
    <n v="0.32"/>
    <n v="0.28000000000000003"/>
    <n v="0.09"/>
    <n v="0.37"/>
    <n v="0.28000000000000003"/>
    <n v="0.37"/>
    <x v="4"/>
  </r>
  <r>
    <x v="123"/>
    <s v="eng ENG"/>
    <s v="eng"/>
    <s v="ENG"/>
    <s v="DF"/>
    <x v="2"/>
    <n v="18"/>
    <x v="3"/>
    <n v="12"/>
    <n v="8"/>
    <n v="869"/>
    <x v="0"/>
    <n v="9.6999999999999993"/>
    <n v="3"/>
    <n v="0"/>
    <n v="3"/>
    <n v="3"/>
    <n v="0"/>
    <n v="0"/>
    <n v="1"/>
    <n v="0"/>
    <n v="1.9"/>
    <n v="1.1000000000000001"/>
    <n v="1.9"/>
    <n v="0.7"/>
    <n v="2.5"/>
    <n v="16"/>
    <n v="19"/>
    <n v="38"/>
    <n v="0.31"/>
    <n v="0"/>
    <n v="0.31"/>
    <n v="0.31"/>
    <n v="0.31"/>
    <n v="0.19"/>
    <n v="7.0000000000000007E-2"/>
    <n v="0.26"/>
    <n v="0.19"/>
    <n v="0.26"/>
    <x v="4"/>
  </r>
  <r>
    <x v="124"/>
    <s v="gh GHA"/>
    <s v="gh"/>
    <s v="GHA"/>
    <s v="DF,FW"/>
    <x v="2"/>
    <n v="22"/>
    <x v="0"/>
    <n v="19"/>
    <n v="10"/>
    <n v="914"/>
    <x v="0"/>
    <n v="10.199999999999999"/>
    <n v="0"/>
    <n v="3"/>
    <n v="3"/>
    <n v="0"/>
    <n v="0"/>
    <n v="0"/>
    <n v="3"/>
    <n v="0"/>
    <n v="0.4"/>
    <n v="-0.4"/>
    <n v="0.4"/>
    <n v="1.2"/>
    <n v="1.7"/>
    <n v="39"/>
    <n v="17"/>
    <n v="64"/>
    <n v="0"/>
    <n v="0.3"/>
    <n v="0.3"/>
    <n v="0"/>
    <n v="0.3"/>
    <n v="0.04"/>
    <n v="0.12"/>
    <n v="0.16"/>
    <n v="0.04"/>
    <n v="0.16"/>
    <x v="4"/>
  </r>
  <r>
    <x v="125"/>
    <s v="ci CIV"/>
    <s v="ci"/>
    <s v="CIV"/>
    <s v="FW"/>
    <x v="1"/>
    <n v="21"/>
    <x v="0"/>
    <n v="31"/>
    <n v="25"/>
    <n v="2222"/>
    <x v="1"/>
    <n v="24.7"/>
    <n v="6"/>
    <n v="1"/>
    <n v="7"/>
    <n v="6"/>
    <n v="0"/>
    <n v="0"/>
    <n v="3"/>
    <n v="0"/>
    <n v="4.3"/>
    <n v="1.7000000000000002"/>
    <n v="4.3"/>
    <n v="3.7"/>
    <n v="8"/>
    <n v="111"/>
    <n v="50"/>
    <n v="278"/>
    <n v="0.24"/>
    <n v="0.04"/>
    <n v="0.28000000000000003"/>
    <n v="0.24"/>
    <n v="0.28000000000000003"/>
    <n v="0.17"/>
    <n v="0.15"/>
    <n v="0.32"/>
    <n v="0.17"/>
    <n v="0.32"/>
    <x v="4"/>
  </r>
  <r>
    <x v="126"/>
    <s v="ar ARG"/>
    <s v="ar"/>
    <s v="ARG"/>
    <s v="FW,MF"/>
    <x v="1"/>
    <n v="18"/>
    <x v="3"/>
    <n v="27"/>
    <n v="17"/>
    <n v="1364"/>
    <x v="1"/>
    <n v="15.2"/>
    <n v="3"/>
    <n v="1"/>
    <n v="4"/>
    <n v="3"/>
    <n v="0"/>
    <n v="0"/>
    <n v="7"/>
    <n v="0"/>
    <n v="2.4"/>
    <n v="0.60000000000000009"/>
    <n v="2.4"/>
    <n v="1.8"/>
    <n v="4.2"/>
    <n v="23"/>
    <n v="42"/>
    <n v="69"/>
    <n v="0.2"/>
    <n v="7.0000000000000007E-2"/>
    <n v="0.26"/>
    <n v="0.2"/>
    <n v="0.26"/>
    <n v="0.16"/>
    <n v="0.12"/>
    <n v="0.28000000000000003"/>
    <n v="0.16"/>
    <n v="0.28000000000000003"/>
    <x v="4"/>
  </r>
  <r>
    <x v="127"/>
    <s v="eng ENG"/>
    <s v="eng"/>
    <s v="ENG"/>
    <s v="DF,MF"/>
    <x v="2"/>
    <n v="37"/>
    <x v="4"/>
    <n v="15"/>
    <n v="11"/>
    <n v="773"/>
    <x v="0"/>
    <n v="8.6"/>
    <n v="0"/>
    <n v="2"/>
    <n v="2"/>
    <n v="0"/>
    <n v="0"/>
    <n v="0"/>
    <n v="3"/>
    <n v="0"/>
    <n v="0.3"/>
    <n v="-0.3"/>
    <n v="0.3"/>
    <n v="1.8"/>
    <n v="2"/>
    <n v="11"/>
    <n v="69"/>
    <n v="73"/>
    <n v="0"/>
    <n v="0.23"/>
    <n v="0.23"/>
    <n v="0"/>
    <n v="0.23"/>
    <n v="0.03"/>
    <n v="0.21"/>
    <n v="0.24"/>
    <n v="0.03"/>
    <n v="0.24"/>
    <x v="4"/>
  </r>
  <r>
    <x v="128"/>
    <s v="de GER"/>
    <s v="de"/>
    <s v="GER"/>
    <s v="MF"/>
    <x v="0"/>
    <n v="27"/>
    <x v="1"/>
    <n v="9"/>
    <n v="6"/>
    <n v="452"/>
    <x v="0"/>
    <n v="5"/>
    <n v="0"/>
    <n v="1"/>
    <n v="1"/>
    <n v="0"/>
    <n v="0"/>
    <n v="0"/>
    <n v="1"/>
    <n v="1"/>
    <n v="0.2"/>
    <n v="-0.2"/>
    <n v="0.2"/>
    <n v="0.9"/>
    <n v="1.1000000000000001"/>
    <n v="4"/>
    <n v="11"/>
    <n v="6"/>
    <n v="0"/>
    <n v="0.2"/>
    <n v="0.2"/>
    <n v="0"/>
    <n v="0.2"/>
    <n v="0.04"/>
    <n v="0.18"/>
    <n v="0.22"/>
    <n v="0.04"/>
    <n v="0.22"/>
    <x v="4"/>
  </r>
  <r>
    <x v="129"/>
    <s v="eng ENG"/>
    <s v="eng"/>
    <s v="ENG"/>
    <s v="DF"/>
    <x v="2"/>
    <n v="31"/>
    <x v="2"/>
    <n v="33"/>
    <n v="33"/>
    <n v="2869"/>
    <x v="1"/>
    <n v="31.9"/>
    <n v="3"/>
    <n v="1"/>
    <n v="4"/>
    <n v="3"/>
    <n v="0"/>
    <n v="0"/>
    <n v="7"/>
    <n v="1"/>
    <n v="3.1"/>
    <n v="-0.10000000000000009"/>
    <n v="3.1"/>
    <n v="0.9"/>
    <n v="4"/>
    <n v="33"/>
    <n v="152"/>
    <n v="13"/>
    <n v="0.09"/>
    <n v="0.03"/>
    <n v="0.13"/>
    <n v="0.09"/>
    <n v="0.13"/>
    <n v="0.1"/>
    <n v="0.03"/>
    <n v="0.12"/>
    <n v="0.1"/>
    <n v="0.12"/>
    <x v="4"/>
  </r>
  <r>
    <x v="130"/>
    <s v="nl NED"/>
    <s v="nl"/>
    <s v="NED"/>
    <s v="DF"/>
    <x v="2"/>
    <n v="31"/>
    <x v="2"/>
    <n v="27"/>
    <n v="17"/>
    <n v="1588"/>
    <x v="1"/>
    <n v="17.600000000000001"/>
    <n v="1"/>
    <n v="1"/>
    <n v="2"/>
    <n v="1"/>
    <n v="0"/>
    <n v="0"/>
    <n v="4"/>
    <n v="0"/>
    <n v="0.4"/>
    <n v="0.6"/>
    <n v="0.4"/>
    <n v="0.5"/>
    <n v="0.9"/>
    <n v="24"/>
    <n v="85"/>
    <n v="54"/>
    <n v="0.06"/>
    <n v="0.06"/>
    <n v="0.11"/>
    <n v="0.06"/>
    <n v="0.11"/>
    <n v="0.02"/>
    <n v="0.03"/>
    <n v="0.05"/>
    <n v="0.02"/>
    <n v="0.05"/>
    <x v="4"/>
  </r>
  <r>
    <x v="131"/>
    <s v="eng ENG"/>
    <s v="eng"/>
    <s v="ENG"/>
    <s v="MF,FW"/>
    <x v="0"/>
    <n v="35"/>
    <x v="4"/>
    <n v="25"/>
    <n v="13"/>
    <n v="850"/>
    <x v="0"/>
    <n v="9.4"/>
    <n v="0"/>
    <n v="1"/>
    <n v="1"/>
    <n v="0"/>
    <n v="0"/>
    <n v="0"/>
    <n v="2"/>
    <n v="0"/>
    <n v="0.8"/>
    <n v="-0.8"/>
    <n v="0.8"/>
    <n v="1.7"/>
    <n v="2.5"/>
    <n v="9"/>
    <n v="39"/>
    <n v="55"/>
    <n v="0"/>
    <n v="0.11"/>
    <n v="0.11"/>
    <n v="0"/>
    <n v="0.11"/>
    <n v="0.09"/>
    <n v="0.18"/>
    <n v="0.27"/>
    <n v="0.09"/>
    <n v="0.27"/>
    <x v="4"/>
  </r>
  <r>
    <x v="132"/>
    <s v="sct SCO"/>
    <s v="sct"/>
    <s v="SCO"/>
    <s v="MF"/>
    <x v="0"/>
    <n v="22"/>
    <x v="0"/>
    <n v="30"/>
    <n v="24"/>
    <n v="2120"/>
    <x v="1"/>
    <n v="23.6"/>
    <n v="0"/>
    <n v="1"/>
    <n v="1"/>
    <n v="0"/>
    <n v="0"/>
    <n v="0"/>
    <n v="8"/>
    <n v="1"/>
    <n v="1"/>
    <n v="-1"/>
    <n v="1"/>
    <n v="2"/>
    <n v="3"/>
    <n v="39"/>
    <n v="193"/>
    <n v="33"/>
    <n v="0"/>
    <n v="0.04"/>
    <n v="0.04"/>
    <n v="0"/>
    <n v="0.04"/>
    <n v="0.04"/>
    <n v="0.09"/>
    <n v="0.13"/>
    <n v="0.04"/>
    <n v="0.13"/>
    <x v="4"/>
  </r>
  <r>
    <x v="133"/>
    <s v="nl NED"/>
    <s v="nl"/>
    <s v="NED"/>
    <s v="DF"/>
    <x v="2"/>
    <n v="23"/>
    <x v="0"/>
    <n v="28"/>
    <n v="26"/>
    <n v="2369"/>
    <x v="1"/>
    <n v="26.3"/>
    <n v="0"/>
    <n v="0"/>
    <n v="0"/>
    <n v="0"/>
    <n v="0"/>
    <n v="0"/>
    <n v="4"/>
    <n v="0"/>
    <n v="1.2"/>
    <n v="-1.2"/>
    <n v="1.2"/>
    <n v="0.9"/>
    <n v="2.1"/>
    <n v="25"/>
    <n v="147"/>
    <n v="7"/>
    <n v="0"/>
    <n v="0"/>
    <n v="0"/>
    <n v="0"/>
    <n v="0"/>
    <n v="0.05"/>
    <n v="0.03"/>
    <n v="0.08"/>
    <n v="0.05"/>
    <n v="0.08"/>
    <x v="4"/>
  </r>
  <r>
    <x v="134"/>
    <s v="nl NED"/>
    <s v="nl"/>
    <s v="NED"/>
    <s v="GK"/>
    <x v="3"/>
    <n v="20"/>
    <x v="0"/>
    <n v="21"/>
    <n v="21"/>
    <n v="1890"/>
    <x v="1"/>
    <n v="21"/>
    <n v="0"/>
    <n v="0"/>
    <n v="0"/>
    <n v="0"/>
    <n v="0"/>
    <n v="0"/>
    <n v="3"/>
    <n v="0"/>
    <n v="0"/>
    <n v="0"/>
    <n v="0"/>
    <n v="0"/>
    <n v="0"/>
    <n v="0"/>
    <n v="3"/>
    <n v="0"/>
    <n v="0"/>
    <n v="0"/>
    <n v="0"/>
    <n v="0"/>
    <n v="0"/>
    <n v="0"/>
    <n v="0"/>
    <n v="0"/>
    <n v="0"/>
    <n v="0"/>
    <x v="4"/>
  </r>
  <r>
    <x v="135"/>
    <s v="br BRA"/>
    <s v="br"/>
    <s v="BRA"/>
    <s v="DF"/>
    <x v="2"/>
    <n v="25"/>
    <x v="1"/>
    <n v="24"/>
    <n v="17"/>
    <n v="1637"/>
    <x v="1"/>
    <n v="18.2"/>
    <n v="0"/>
    <n v="0"/>
    <n v="0"/>
    <n v="0"/>
    <n v="0"/>
    <n v="0"/>
    <n v="4"/>
    <n v="0"/>
    <n v="0.3"/>
    <n v="-0.3"/>
    <n v="0.3"/>
    <n v="0.7"/>
    <n v="1"/>
    <n v="30"/>
    <n v="107"/>
    <n v="12"/>
    <n v="0"/>
    <n v="0"/>
    <n v="0"/>
    <n v="0"/>
    <n v="0"/>
    <n v="0.02"/>
    <n v="0.04"/>
    <n v="0.05"/>
    <n v="0.02"/>
    <n v="0.05"/>
    <x v="4"/>
  </r>
  <r>
    <x v="136"/>
    <s v="eng ENG"/>
    <s v="eng"/>
    <s v="ENG"/>
    <s v="GK"/>
    <x v="3"/>
    <n v="32"/>
    <x v="2"/>
    <n v="17"/>
    <n v="17"/>
    <n v="1530"/>
    <x v="1"/>
    <n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"/>
  </r>
  <r>
    <x v="137"/>
    <s v="cm CMR"/>
    <s v="cm"/>
    <s v="CMR"/>
    <s v="MF"/>
    <x v="0"/>
    <n v="19"/>
    <x v="3"/>
    <n v="27"/>
    <n v="15"/>
    <n v="1325"/>
    <x v="1"/>
    <n v="14.7"/>
    <n v="0"/>
    <n v="0"/>
    <n v="0"/>
    <n v="0"/>
    <n v="0"/>
    <n v="0"/>
    <n v="7"/>
    <n v="0"/>
    <n v="0.8"/>
    <n v="-0.8"/>
    <n v="0.8"/>
    <n v="0.3"/>
    <n v="1.1000000000000001"/>
    <n v="19"/>
    <n v="50"/>
    <n v="9"/>
    <n v="0"/>
    <n v="0"/>
    <n v="0"/>
    <n v="0"/>
    <n v="0"/>
    <n v="0.06"/>
    <n v="0.02"/>
    <n v="0.08"/>
    <n v="0.06"/>
    <n v="0.08"/>
    <x v="4"/>
  </r>
  <r>
    <x v="138"/>
    <s v="eng ENG"/>
    <s v="eng"/>
    <s v="ENG"/>
    <s v="DF"/>
    <x v="2"/>
    <n v="28"/>
    <x v="1"/>
    <n v="15"/>
    <n v="13"/>
    <n v="1144"/>
    <x v="1"/>
    <n v="12.7"/>
    <n v="0"/>
    <n v="0"/>
    <n v="0"/>
    <n v="0"/>
    <n v="0"/>
    <n v="0"/>
    <n v="2"/>
    <n v="0"/>
    <n v="0.4"/>
    <n v="-0.4"/>
    <n v="0.4"/>
    <n v="0.1"/>
    <n v="0.6"/>
    <n v="16"/>
    <n v="80"/>
    <n v="2"/>
    <n v="0"/>
    <n v="0"/>
    <n v="0"/>
    <n v="0"/>
    <n v="0"/>
    <n v="0.03"/>
    <n v="0.01"/>
    <n v="0.05"/>
    <n v="0.03"/>
    <n v="0.05"/>
    <x v="4"/>
  </r>
  <r>
    <x v="139"/>
    <s v="pl POL"/>
    <s v="pl"/>
    <s v="POL"/>
    <s v="MF,DF"/>
    <x v="0"/>
    <n v="24"/>
    <x v="1"/>
    <n v="17"/>
    <n v="6"/>
    <n v="618"/>
    <x v="0"/>
    <n v="6.9"/>
    <n v="0"/>
    <n v="0"/>
    <n v="0"/>
    <n v="0"/>
    <n v="0"/>
    <n v="0"/>
    <n v="2"/>
    <n v="0"/>
    <n v="0.6"/>
    <n v="-0.6"/>
    <n v="0.6"/>
    <n v="0.8"/>
    <n v="1.3"/>
    <n v="10"/>
    <n v="23"/>
    <n v="26"/>
    <n v="0"/>
    <n v="0"/>
    <n v="0"/>
    <n v="0"/>
    <n v="0"/>
    <n v="0.08"/>
    <n v="0.11"/>
    <n v="0.2"/>
    <n v="0.08"/>
    <n v="0.2"/>
    <x v="4"/>
  </r>
  <r>
    <x v="140"/>
    <s v="ar ARG"/>
    <s v="ar"/>
    <s v="ARG"/>
    <s v="DF,FW"/>
    <x v="2"/>
    <n v="19"/>
    <x v="3"/>
    <n v="6"/>
    <n v="3"/>
    <n v="307"/>
    <x v="0"/>
    <n v="3.4"/>
    <n v="0"/>
    <n v="0"/>
    <n v="0"/>
    <n v="0"/>
    <n v="0"/>
    <n v="0"/>
    <n v="1"/>
    <n v="0"/>
    <n v="0.2"/>
    <n v="-0.2"/>
    <n v="0.2"/>
    <n v="0.2"/>
    <n v="0.4"/>
    <n v="8"/>
    <n v="14"/>
    <n v="20"/>
    <n v="0"/>
    <n v="0"/>
    <n v="0"/>
    <n v="0"/>
    <n v="0"/>
    <n v="0.05"/>
    <n v="7.0000000000000007E-2"/>
    <n v="0.13"/>
    <n v="0.05"/>
    <n v="0.13"/>
    <x v="4"/>
  </r>
  <r>
    <x v="141"/>
    <s v="eng ENG"/>
    <s v="eng"/>
    <s v="ENG"/>
    <s v="DF"/>
    <x v="2"/>
    <n v="20"/>
    <x v="0"/>
    <n v="4"/>
    <n v="1"/>
    <n v="128"/>
    <x v="0"/>
    <n v="1.4"/>
    <n v="0"/>
    <n v="0"/>
    <n v="0"/>
    <n v="0"/>
    <n v="0"/>
    <n v="0"/>
    <n v="0"/>
    <n v="0"/>
    <n v="0"/>
    <n v="0"/>
    <n v="0"/>
    <n v="0"/>
    <n v="0"/>
    <n v="9"/>
    <n v="4"/>
    <n v="9"/>
    <n v="0"/>
    <n v="0"/>
    <n v="0"/>
    <n v="0"/>
    <n v="0"/>
    <n v="0"/>
    <n v="0"/>
    <n v="0"/>
    <n v="0"/>
    <n v="0"/>
    <x v="4"/>
  </r>
  <r>
    <x v="142"/>
    <s v="ie IRL"/>
    <s v="ie"/>
    <s v="IRL"/>
    <s v="FW"/>
    <x v="1"/>
    <n v="18"/>
    <x v="3"/>
    <n v="3"/>
    <n v="1"/>
    <n v="63"/>
    <x v="0"/>
    <n v="0.7"/>
    <n v="0"/>
    <n v="0"/>
    <n v="0"/>
    <n v="0"/>
    <n v="0"/>
    <n v="0"/>
    <n v="1"/>
    <n v="0"/>
    <n v="0.1"/>
    <n v="-0.1"/>
    <n v="0.1"/>
    <n v="0"/>
    <n v="0.1"/>
    <n v="0"/>
    <n v="0"/>
    <n v="0"/>
    <n v="0"/>
    <n v="0"/>
    <n v="0"/>
    <n v="0"/>
    <n v="0"/>
    <n v="0.08"/>
    <n v="0"/>
    <n v="0.08"/>
    <n v="0.08"/>
    <n v="0.08"/>
    <x v="4"/>
  </r>
  <r>
    <x v="143"/>
    <s v="eng ENG"/>
    <s v="eng"/>
    <s v="ENG"/>
    <s v="FW,DF"/>
    <x v="1"/>
    <n v="19"/>
    <x v="3"/>
    <n v="5"/>
    <n v="0"/>
    <n v="40"/>
    <x v="0"/>
    <n v="0.4"/>
    <n v="0"/>
    <n v="0"/>
    <n v="0"/>
    <n v="0"/>
    <n v="0"/>
    <n v="0"/>
    <n v="1"/>
    <n v="0"/>
    <n v="0"/>
    <n v="0"/>
    <n v="0"/>
    <n v="0.1"/>
    <n v="0.1"/>
    <n v="1"/>
    <n v="2"/>
    <n v="2"/>
    <n v="0"/>
    <n v="0"/>
    <n v="0"/>
    <n v="0"/>
    <n v="0"/>
    <n v="0.05"/>
    <n v="0.13"/>
    <n v="0.19"/>
    <n v="0.05"/>
    <n v="0.19"/>
    <x v="4"/>
  </r>
  <r>
    <x v="144"/>
    <s v="ci CIV"/>
    <s v="ci"/>
    <s v="CIV"/>
    <s v="FW"/>
    <x v="1"/>
    <n v="20"/>
    <x v="0"/>
    <n v="15"/>
    <n v="10"/>
    <n v="879"/>
    <x v="0"/>
    <n v="9.8000000000000007"/>
    <n v="4"/>
    <n v="1"/>
    <n v="5"/>
    <n v="4"/>
    <n v="0"/>
    <n v="0"/>
    <n v="1"/>
    <n v="0"/>
    <n v="4.5"/>
    <n v="-0.5"/>
    <n v="4.5"/>
    <n v="1.8"/>
    <n v="6.4"/>
    <n v="21"/>
    <n v="15"/>
    <n v="39"/>
    <n v="0.41"/>
    <n v="0.1"/>
    <n v="0.51"/>
    <n v="0.41"/>
    <n v="0.51"/>
    <n v="0.46"/>
    <n v="0.19"/>
    <n v="0.65"/>
    <n v="0.46"/>
    <n v="0.65"/>
    <x v="5"/>
  </r>
  <r>
    <x v="145"/>
    <s v="dk DEN"/>
    <s v="dk"/>
    <s v="DEN"/>
    <s v="MF,FW"/>
    <x v="0"/>
    <n v="24"/>
    <x v="1"/>
    <n v="32"/>
    <n v="16"/>
    <n v="1249"/>
    <x v="1"/>
    <n v="13.9"/>
    <n v="6"/>
    <n v="0"/>
    <n v="6"/>
    <n v="5"/>
    <n v="1"/>
    <n v="1"/>
    <n v="1"/>
    <n v="0"/>
    <n v="5"/>
    <n v="1"/>
    <n v="4.2"/>
    <n v="1.5"/>
    <n v="5.7"/>
    <n v="61"/>
    <n v="38"/>
    <n v="146"/>
    <n v="0.43"/>
    <n v="0"/>
    <n v="0.43"/>
    <n v="0.36"/>
    <n v="0.36"/>
    <n v="0.36"/>
    <n v="0.1"/>
    <n v="0.46"/>
    <n v="0.3"/>
    <n v="0.41"/>
    <x v="5"/>
  </r>
  <r>
    <x v="146"/>
    <s v="za RSA"/>
    <s v="za"/>
    <s v="RSA"/>
    <s v="FW,MF"/>
    <x v="1"/>
    <n v="22"/>
    <x v="0"/>
    <n v="24"/>
    <n v="22"/>
    <n v="1899"/>
    <x v="1"/>
    <n v="21.1"/>
    <n v="5"/>
    <n v="3"/>
    <n v="8"/>
    <n v="5"/>
    <n v="0"/>
    <n v="0"/>
    <n v="0"/>
    <n v="1"/>
    <n v="4.5"/>
    <n v="0.5"/>
    <n v="4.5"/>
    <n v="1.9"/>
    <n v="6.4"/>
    <n v="55"/>
    <n v="37"/>
    <n v="104"/>
    <n v="0.24"/>
    <n v="0.14000000000000001"/>
    <n v="0.38"/>
    <n v="0.24"/>
    <n v="0.38"/>
    <n v="0.21"/>
    <n v="0.09"/>
    <n v="0.3"/>
    <n v="0.21"/>
    <n v="0.3"/>
    <x v="5"/>
  </r>
  <r>
    <x v="147"/>
    <s v="eng ENG"/>
    <s v="eng"/>
    <s v="ENG"/>
    <s v="FW"/>
    <x v="1"/>
    <n v="34"/>
    <x v="2"/>
    <n v="21"/>
    <n v="7"/>
    <n v="822"/>
    <x v="0"/>
    <n v="9.1"/>
    <n v="2"/>
    <n v="1"/>
    <n v="3"/>
    <n v="1"/>
    <n v="1"/>
    <n v="1"/>
    <n v="0"/>
    <n v="0"/>
    <n v="3.5"/>
    <n v="-1.5"/>
    <n v="2.7"/>
    <n v="0.2"/>
    <n v="2.9"/>
    <n v="2"/>
    <n v="17"/>
    <n v="28"/>
    <n v="0.22"/>
    <n v="0.11"/>
    <n v="0.33"/>
    <n v="0.11"/>
    <n v="0.22"/>
    <n v="0.38"/>
    <n v="0.02"/>
    <n v="0.4"/>
    <n v="0.3"/>
    <n v="0.32"/>
    <x v="5"/>
  </r>
  <r>
    <x v="148"/>
    <s v="is ISL"/>
    <s v="is"/>
    <s v="ISL"/>
    <s v="MF,FW"/>
    <x v="0"/>
    <n v="32"/>
    <x v="2"/>
    <n v="26"/>
    <n v="12"/>
    <n v="1192"/>
    <x v="1"/>
    <n v="13.2"/>
    <n v="1"/>
    <n v="3"/>
    <n v="4"/>
    <n v="1"/>
    <n v="0"/>
    <n v="0"/>
    <n v="2"/>
    <n v="0"/>
    <n v="1.9"/>
    <n v="-0.89999999999999991"/>
    <n v="1.9"/>
    <n v="2.7"/>
    <n v="4.5"/>
    <n v="13"/>
    <n v="59"/>
    <n v="69"/>
    <n v="0.08"/>
    <n v="0.23"/>
    <n v="0.3"/>
    <n v="0.08"/>
    <n v="0.3"/>
    <n v="0.14000000000000001"/>
    <n v="0.2"/>
    <n v="0.34"/>
    <n v="0.14000000000000001"/>
    <n v="0.34"/>
    <x v="5"/>
  </r>
  <r>
    <x v="149"/>
    <s v="ch SUI"/>
    <s v="ch"/>
    <s v="SUI"/>
    <s v="FW"/>
    <x v="1"/>
    <n v="22"/>
    <x v="0"/>
    <n v="34"/>
    <n v="27"/>
    <n v="1953"/>
    <x v="1"/>
    <n v="21.7"/>
    <n v="5"/>
    <n v="1"/>
    <n v="6"/>
    <n v="4"/>
    <n v="1"/>
    <n v="1"/>
    <n v="2"/>
    <n v="0"/>
    <n v="5.8"/>
    <n v="-0.79999999999999982"/>
    <n v="5"/>
    <n v="1.4"/>
    <n v="6.5"/>
    <n v="63"/>
    <n v="49"/>
    <n v="93"/>
    <n v="0.23"/>
    <n v="0.05"/>
    <n v="0.28000000000000003"/>
    <n v="0.18"/>
    <n v="0.23"/>
    <n v="0.27"/>
    <n v="7.0000000000000007E-2"/>
    <n v="0.33"/>
    <n v="0.23"/>
    <n v="0.3"/>
    <x v="5"/>
  </r>
  <r>
    <x v="150"/>
    <s v="eng ENG"/>
    <s v="eng"/>
    <s v="ENG"/>
    <s v="MF"/>
    <x v="0"/>
    <n v="27"/>
    <x v="1"/>
    <n v="33"/>
    <n v="23"/>
    <n v="2252"/>
    <x v="1"/>
    <n v="25"/>
    <n v="4"/>
    <n v="2"/>
    <n v="6"/>
    <n v="4"/>
    <n v="0"/>
    <n v="0"/>
    <n v="4"/>
    <n v="1"/>
    <n v="1.9"/>
    <n v="2.1"/>
    <n v="1.9"/>
    <n v="2.1"/>
    <n v="4"/>
    <n v="19"/>
    <n v="90"/>
    <n v="36"/>
    <n v="0.16"/>
    <n v="0.08"/>
    <n v="0.24"/>
    <n v="0.16"/>
    <n v="0.24"/>
    <n v="0.08"/>
    <n v="0.08"/>
    <n v="0.16"/>
    <n v="0.08"/>
    <n v="0.16"/>
    <x v="5"/>
  </r>
  <r>
    <x v="151"/>
    <s v="ie IRL"/>
    <s v="ie"/>
    <s v="IRL"/>
    <s v="DF"/>
    <x v="2"/>
    <n v="24"/>
    <x v="1"/>
    <n v="33"/>
    <n v="32"/>
    <n v="2892"/>
    <x v="1"/>
    <n v="32.1"/>
    <n v="3"/>
    <n v="4"/>
    <n v="7"/>
    <n v="3"/>
    <n v="0"/>
    <n v="0"/>
    <n v="5"/>
    <n v="1"/>
    <n v="0.7"/>
    <n v="2.2999999999999998"/>
    <n v="0.7"/>
    <n v="2"/>
    <n v="2.7"/>
    <n v="32"/>
    <n v="122"/>
    <n v="10"/>
    <n v="0.09"/>
    <n v="0.12"/>
    <n v="0.22"/>
    <n v="0.09"/>
    <n v="0.22"/>
    <n v="0.02"/>
    <n v="0.06"/>
    <n v="0.08"/>
    <n v="0.02"/>
    <n v="0.08"/>
    <x v="5"/>
  </r>
  <r>
    <x v="152"/>
    <s v="ie IRL"/>
    <s v="ie"/>
    <s v="IRL"/>
    <s v="MF"/>
    <x v="0"/>
    <n v="27"/>
    <x v="1"/>
    <n v="25"/>
    <n v="23"/>
    <n v="2057"/>
    <x v="1"/>
    <n v="22.9"/>
    <n v="2"/>
    <n v="3"/>
    <n v="5"/>
    <n v="2"/>
    <n v="0"/>
    <n v="0"/>
    <n v="9"/>
    <n v="0"/>
    <n v="0.6"/>
    <n v="1.4"/>
    <n v="0.6"/>
    <n v="1.8"/>
    <n v="2.4"/>
    <n v="22"/>
    <n v="123"/>
    <n v="22"/>
    <n v="0.09"/>
    <n v="0.13"/>
    <n v="0.22"/>
    <n v="0.09"/>
    <n v="0.22"/>
    <n v="0.03"/>
    <n v="0.08"/>
    <n v="0.11"/>
    <n v="0.03"/>
    <n v="0.11"/>
    <x v="5"/>
  </r>
  <r>
    <x v="153"/>
    <s v="tg TOG"/>
    <s v="tg"/>
    <s v="TOG"/>
    <s v="DF"/>
    <x v="2"/>
    <n v="23"/>
    <x v="0"/>
    <n v="15"/>
    <n v="15"/>
    <n v="1234"/>
    <x v="1"/>
    <n v="13.7"/>
    <n v="1"/>
    <n v="2"/>
    <n v="3"/>
    <n v="1"/>
    <n v="0"/>
    <n v="0"/>
    <n v="5"/>
    <n v="1"/>
    <n v="0.4"/>
    <n v="0.6"/>
    <n v="0.4"/>
    <n v="2.6"/>
    <n v="3"/>
    <n v="38"/>
    <n v="34"/>
    <n v="57"/>
    <n v="7.0000000000000007E-2"/>
    <n v="0.15"/>
    <n v="0.22"/>
    <n v="7.0000000000000007E-2"/>
    <n v="0.22"/>
    <n v="0.03"/>
    <n v="0.19"/>
    <n v="0.22"/>
    <n v="0.03"/>
    <n v="0.22"/>
    <x v="5"/>
  </r>
  <r>
    <x v="154"/>
    <s v="fr FRA"/>
    <s v="fr"/>
    <s v="FRA"/>
    <s v="MF,FW"/>
    <x v="0"/>
    <n v="18"/>
    <x v="3"/>
    <n v="29"/>
    <n v="25"/>
    <n v="2098"/>
    <x v="1"/>
    <n v="23.3"/>
    <n v="3"/>
    <n v="2"/>
    <n v="5"/>
    <n v="3"/>
    <n v="0"/>
    <n v="0"/>
    <n v="3"/>
    <n v="0"/>
    <n v="2.8"/>
    <n v="0.20000000000000018"/>
    <n v="2.8"/>
    <n v="3.3"/>
    <n v="6.1"/>
    <n v="102"/>
    <n v="58"/>
    <n v="123"/>
    <n v="0.13"/>
    <n v="0.09"/>
    <n v="0.21"/>
    <n v="0.13"/>
    <n v="0.21"/>
    <n v="0.12"/>
    <n v="0.14000000000000001"/>
    <n v="0.26"/>
    <n v="0.12"/>
    <n v="0.26"/>
    <x v="5"/>
  </r>
  <r>
    <x v="155"/>
    <s v="it ITA"/>
    <s v="it"/>
    <s v="ITA"/>
    <s v="MF,FW"/>
    <x v="0"/>
    <n v="18"/>
    <x v="3"/>
    <n v="15"/>
    <n v="13"/>
    <n v="974"/>
    <x v="0"/>
    <n v="10.8"/>
    <n v="1"/>
    <n v="1"/>
    <n v="2"/>
    <n v="1"/>
    <n v="0"/>
    <n v="0"/>
    <n v="0"/>
    <n v="0"/>
    <n v="2"/>
    <n v="-1"/>
    <n v="2"/>
    <n v="1.3"/>
    <n v="3.3"/>
    <n v="53"/>
    <n v="19"/>
    <n v="82"/>
    <n v="0.09"/>
    <n v="0.09"/>
    <n v="0.18"/>
    <n v="0.09"/>
    <n v="0.18"/>
    <n v="0.18"/>
    <n v="0.12"/>
    <n v="0.3"/>
    <n v="0.18"/>
    <n v="0.3"/>
    <x v="5"/>
  </r>
  <r>
    <x v="156"/>
    <s v="wls WAL"/>
    <s v="wls"/>
    <s v="WAL"/>
    <s v="DF"/>
    <x v="2"/>
    <n v="27"/>
    <x v="1"/>
    <n v="14"/>
    <n v="8"/>
    <n v="823"/>
    <x v="0"/>
    <n v="9.1"/>
    <n v="0"/>
    <n v="1"/>
    <n v="1"/>
    <n v="0"/>
    <n v="0"/>
    <n v="0"/>
    <n v="5"/>
    <n v="1"/>
    <n v="0"/>
    <n v="0"/>
    <n v="0"/>
    <n v="0.2"/>
    <n v="0.2"/>
    <n v="6"/>
    <n v="38"/>
    <n v="13"/>
    <n v="0"/>
    <n v="0.11"/>
    <n v="0.11"/>
    <n v="0"/>
    <n v="0.11"/>
    <n v="0"/>
    <n v="0.02"/>
    <n v="0.02"/>
    <n v="0"/>
    <n v="0.02"/>
    <x v="5"/>
  </r>
  <r>
    <x v="157"/>
    <s v="no NOR"/>
    <s v="no"/>
    <s v="NOR"/>
    <s v="MF"/>
    <x v="0"/>
    <n v="25"/>
    <x v="1"/>
    <n v="37"/>
    <n v="34"/>
    <n v="3005"/>
    <x v="1"/>
    <n v="33.4"/>
    <n v="1"/>
    <n v="2"/>
    <n v="3"/>
    <n v="1"/>
    <n v="0"/>
    <n v="0"/>
    <n v="10"/>
    <n v="1"/>
    <n v="1.9"/>
    <n v="-0.89999999999999991"/>
    <n v="1.9"/>
    <n v="2.4"/>
    <n v="4.3"/>
    <n v="64"/>
    <n v="164"/>
    <n v="29"/>
    <n v="0.03"/>
    <n v="0.06"/>
    <n v="0.09"/>
    <n v="0.03"/>
    <n v="0.09"/>
    <n v="0.06"/>
    <n v="7.0000000000000007E-2"/>
    <n v="0.13"/>
    <n v="0.06"/>
    <n v="0.13"/>
    <x v="5"/>
  </r>
  <r>
    <x v="158"/>
    <s v="be BEL"/>
    <s v="be"/>
    <s v="BEL"/>
    <s v="DF"/>
    <x v="2"/>
    <n v="21"/>
    <x v="0"/>
    <n v="13"/>
    <n v="12"/>
    <n v="1056"/>
    <x v="1"/>
    <n v="11.7"/>
    <n v="1"/>
    <n v="0"/>
    <n v="1"/>
    <n v="1"/>
    <n v="0"/>
    <n v="0"/>
    <n v="1"/>
    <n v="0"/>
    <n v="1.3"/>
    <n v="-0.30000000000000004"/>
    <n v="1.3"/>
    <n v="0.1"/>
    <n v="1.4"/>
    <n v="7"/>
    <n v="35"/>
    <n v="9"/>
    <n v="0.09"/>
    <n v="0"/>
    <n v="0.09"/>
    <n v="0.09"/>
    <n v="0.09"/>
    <n v="0.11"/>
    <n v="0.01"/>
    <n v="0.12"/>
    <n v="0.11"/>
    <n v="0.12"/>
    <x v="5"/>
  </r>
  <r>
    <x v="159"/>
    <s v="br BRA"/>
    <s v="br"/>
    <s v="BRA"/>
    <s v="DF,MF"/>
    <x v="2"/>
    <n v="24"/>
    <x v="1"/>
    <n v="32"/>
    <n v="26"/>
    <n v="2314"/>
    <x v="1"/>
    <n v="25.7"/>
    <n v="0"/>
    <n v="2"/>
    <n v="2"/>
    <n v="0"/>
    <n v="0"/>
    <n v="0"/>
    <n v="1"/>
    <n v="0"/>
    <n v="1.6"/>
    <n v="-1.6"/>
    <n v="1.6"/>
    <n v="1.3"/>
    <n v="2.9"/>
    <n v="59"/>
    <n v="66"/>
    <n v="110"/>
    <n v="0"/>
    <n v="0.08"/>
    <n v="0.08"/>
    <n v="0"/>
    <n v="0.08"/>
    <n v="0.06"/>
    <n v="0.05"/>
    <n v="0.11"/>
    <n v="0.06"/>
    <n v="0.11"/>
    <x v="5"/>
  </r>
  <r>
    <x v="160"/>
    <s v="eng ENG"/>
    <s v="eng"/>
    <s v="ENG"/>
    <s v="DF"/>
    <x v="2"/>
    <n v="29"/>
    <x v="1"/>
    <n v="28"/>
    <n v="25"/>
    <n v="2331"/>
    <x v="1"/>
    <n v="25.9"/>
    <n v="1"/>
    <n v="1"/>
    <n v="2"/>
    <n v="1"/>
    <n v="0"/>
    <n v="0"/>
    <n v="8"/>
    <n v="0"/>
    <n v="0.2"/>
    <n v="0.8"/>
    <n v="0.2"/>
    <n v="1.2"/>
    <n v="1.5"/>
    <n v="36"/>
    <n v="82"/>
    <n v="81"/>
    <n v="0.04"/>
    <n v="0.04"/>
    <n v="0.08"/>
    <n v="0.04"/>
    <n v="0.08"/>
    <n v="0.01"/>
    <n v="0.05"/>
    <n v="0.06"/>
    <n v="0.01"/>
    <n v="0.06"/>
    <x v="5"/>
  </r>
  <r>
    <x v="161"/>
    <s v="de GER"/>
    <s v="de"/>
    <s v="GER"/>
    <s v="DF"/>
    <x v="2"/>
    <n v="23"/>
    <x v="0"/>
    <n v="15"/>
    <n v="15"/>
    <n v="1234"/>
    <x v="1"/>
    <n v="13.7"/>
    <n v="0"/>
    <n v="1"/>
    <n v="1"/>
    <n v="0"/>
    <n v="0"/>
    <n v="0"/>
    <n v="6"/>
    <n v="0"/>
    <n v="0.5"/>
    <n v="-0.5"/>
    <n v="0.5"/>
    <n v="0.3"/>
    <n v="0.8"/>
    <n v="9"/>
    <n v="25"/>
    <n v="1"/>
    <n v="0"/>
    <n v="7.0000000000000007E-2"/>
    <n v="7.0000000000000007E-2"/>
    <n v="0"/>
    <n v="7.0000000000000007E-2"/>
    <n v="0.04"/>
    <n v="0.02"/>
    <n v="0.06"/>
    <n v="0.04"/>
    <n v="0.06"/>
    <x v="5"/>
  </r>
  <r>
    <x v="162"/>
    <s v="eng ENG"/>
    <s v="eng"/>
    <s v="ENG"/>
    <s v="GK"/>
    <x v="3"/>
    <n v="20"/>
    <x v="0"/>
    <n v="28"/>
    <n v="28"/>
    <n v="2520"/>
    <x v="1"/>
    <n v="28"/>
    <n v="0"/>
    <n v="0"/>
    <n v="0"/>
    <n v="0"/>
    <n v="0"/>
    <n v="0"/>
    <n v="2"/>
    <n v="0"/>
    <n v="0"/>
    <n v="0"/>
    <n v="0"/>
    <n v="0"/>
    <n v="0"/>
    <n v="0"/>
    <n v="6"/>
    <n v="0"/>
    <n v="0"/>
    <n v="0"/>
    <n v="0"/>
    <n v="0"/>
    <n v="0"/>
    <n v="0"/>
    <n v="0"/>
    <n v="0"/>
    <n v="0"/>
    <n v="0"/>
    <x v="5"/>
  </r>
  <r>
    <x v="163"/>
    <s v="fr FRA"/>
    <s v="fr"/>
    <s v="FRA"/>
    <s v="DF"/>
    <x v="2"/>
    <n v="21"/>
    <x v="0"/>
    <n v="16"/>
    <n v="15"/>
    <n v="1309"/>
    <x v="1"/>
    <n v="14.5"/>
    <n v="0"/>
    <n v="0"/>
    <n v="0"/>
    <n v="0"/>
    <n v="0"/>
    <n v="0"/>
    <n v="6"/>
    <n v="0"/>
    <n v="0.3"/>
    <n v="-0.3"/>
    <n v="0.3"/>
    <n v="0"/>
    <n v="0.3"/>
    <n v="15"/>
    <n v="40"/>
    <n v="3"/>
    <n v="0"/>
    <n v="0"/>
    <n v="0"/>
    <n v="0"/>
    <n v="0"/>
    <n v="0.02"/>
    <n v="0"/>
    <n v="0.02"/>
    <n v="0.02"/>
    <n v="0.02"/>
    <x v="5"/>
  </r>
  <r>
    <x v="164"/>
    <s v="xk KVX"/>
    <s v="xk"/>
    <s v="KVX"/>
    <s v="GK"/>
    <x v="3"/>
    <n v="24"/>
    <x v="1"/>
    <n v="10"/>
    <n v="10"/>
    <n v="900"/>
    <x v="0"/>
    <n v="10"/>
    <n v="0"/>
    <n v="0"/>
    <n v="0"/>
    <n v="0"/>
    <n v="0"/>
    <n v="0"/>
    <n v="0"/>
    <n v="0"/>
    <n v="0"/>
    <n v="0"/>
    <n v="0"/>
    <n v="0.2"/>
    <n v="0.2"/>
    <n v="0"/>
    <n v="1"/>
    <n v="0"/>
    <n v="0"/>
    <n v="0"/>
    <n v="0"/>
    <n v="0"/>
    <n v="0"/>
    <n v="0"/>
    <n v="0.02"/>
    <n v="0.02"/>
    <n v="0"/>
    <n v="0.02"/>
    <x v="5"/>
  </r>
  <r>
    <x v="165"/>
    <s v="be BEL"/>
    <s v="be"/>
    <s v="BEL"/>
    <s v="DF"/>
    <x v="2"/>
    <n v="24"/>
    <x v="1"/>
    <n v="12"/>
    <n v="5"/>
    <n v="589"/>
    <x v="0"/>
    <n v="6.5"/>
    <n v="0"/>
    <n v="0"/>
    <n v="0"/>
    <n v="0"/>
    <n v="0"/>
    <n v="0"/>
    <n v="2"/>
    <n v="0"/>
    <n v="0.4"/>
    <n v="-0.4"/>
    <n v="0.4"/>
    <n v="0.2"/>
    <n v="0.6"/>
    <n v="2"/>
    <n v="18"/>
    <n v="6"/>
    <n v="0"/>
    <n v="0"/>
    <n v="0"/>
    <n v="0"/>
    <n v="0"/>
    <n v="0.05"/>
    <n v="0.03"/>
    <n v="0.09"/>
    <n v="0.05"/>
    <n v="0.09"/>
    <x v="5"/>
  </r>
  <r>
    <x v="166"/>
    <s v="eng ENG"/>
    <s v="eng"/>
    <s v="ENG"/>
    <s v="MF,FW"/>
    <x v="0"/>
    <n v="20"/>
    <x v="0"/>
    <n v="14"/>
    <n v="5"/>
    <n v="527"/>
    <x v="0"/>
    <n v="5.9"/>
    <n v="0"/>
    <n v="0"/>
    <n v="0"/>
    <n v="0"/>
    <n v="0"/>
    <n v="0"/>
    <n v="1"/>
    <n v="0"/>
    <n v="0.3"/>
    <n v="-0.3"/>
    <n v="0.3"/>
    <n v="0.4"/>
    <n v="0.7"/>
    <n v="8"/>
    <n v="8"/>
    <n v="17"/>
    <n v="0"/>
    <n v="0"/>
    <n v="0"/>
    <n v="0"/>
    <n v="0"/>
    <n v="0.06"/>
    <n v="7.0000000000000007E-2"/>
    <n v="0.13"/>
    <n v="0.06"/>
    <n v="0.13"/>
    <x v="5"/>
  </r>
  <r>
    <x v="167"/>
    <s v="se SWE"/>
    <s v="se"/>
    <s v="SWE"/>
    <s v="DF"/>
    <x v="2"/>
    <n v="24"/>
    <x v="1"/>
    <n v="8"/>
    <n v="5"/>
    <n v="437"/>
    <x v="0"/>
    <n v="4.9000000000000004"/>
    <n v="0"/>
    <n v="0"/>
    <n v="0"/>
    <n v="0"/>
    <n v="0"/>
    <n v="0"/>
    <n v="2"/>
    <n v="0"/>
    <n v="0.1"/>
    <n v="-0.1"/>
    <n v="0.1"/>
    <n v="0.1"/>
    <n v="0.1"/>
    <n v="5"/>
    <n v="11"/>
    <n v="1"/>
    <n v="0"/>
    <n v="0"/>
    <n v="0"/>
    <n v="0"/>
    <n v="0"/>
    <n v="0.01"/>
    <n v="0.01"/>
    <n v="0.03"/>
    <n v="0.01"/>
    <n v="0.03"/>
    <x v="5"/>
  </r>
  <r>
    <x v="168"/>
    <s v="be BEL"/>
    <s v="be"/>
    <s v="BEL"/>
    <s v="FW,MF"/>
    <x v="1"/>
    <n v="24"/>
    <x v="1"/>
    <n v="16"/>
    <n v="3"/>
    <n v="420"/>
    <x v="0"/>
    <n v="4.7"/>
    <n v="0"/>
    <n v="0"/>
    <n v="0"/>
    <n v="0"/>
    <n v="0"/>
    <n v="0"/>
    <n v="0"/>
    <n v="0"/>
    <n v="0.5"/>
    <n v="-0.5"/>
    <n v="0.5"/>
    <n v="0.4"/>
    <n v="0.9"/>
    <n v="15"/>
    <n v="10"/>
    <n v="31"/>
    <n v="0"/>
    <n v="0"/>
    <n v="0"/>
    <n v="0"/>
    <n v="0"/>
    <n v="0.1"/>
    <n v="0.08"/>
    <n v="0.18"/>
    <n v="0.1"/>
    <n v="0.18"/>
    <x v="5"/>
  </r>
  <r>
    <x v="169"/>
    <s v="ma MAR"/>
    <s v="ma"/>
    <s v="MAR"/>
    <s v="FW,MF"/>
    <x v="1"/>
    <n v="22"/>
    <x v="0"/>
    <n v="6"/>
    <n v="1"/>
    <n v="152"/>
    <x v="0"/>
    <n v="1.7"/>
    <n v="0"/>
    <n v="0"/>
    <n v="0"/>
    <n v="0"/>
    <n v="0"/>
    <n v="0"/>
    <n v="0"/>
    <n v="1"/>
    <n v="0.2"/>
    <n v="-0.2"/>
    <n v="0.2"/>
    <n v="0"/>
    <n v="0.2"/>
    <n v="2"/>
    <n v="2"/>
    <n v="12"/>
    <n v="0"/>
    <n v="0"/>
    <n v="0"/>
    <n v="0"/>
    <n v="0"/>
    <n v="0.1"/>
    <n v="0.02"/>
    <n v="0.12"/>
    <n v="0.1"/>
    <n v="0.12"/>
    <x v="5"/>
  </r>
  <r>
    <x v="170"/>
    <s v="ao ANG"/>
    <s v="ao"/>
    <s v="ANG"/>
    <s v="MF,FW"/>
    <x v="0"/>
    <n v="26"/>
    <x v="1"/>
    <n v="8"/>
    <n v="1"/>
    <n v="116"/>
    <x v="0"/>
    <n v="1.3"/>
    <n v="0"/>
    <n v="0"/>
    <n v="0"/>
    <n v="0"/>
    <n v="0"/>
    <n v="0"/>
    <n v="0"/>
    <n v="0"/>
    <n v="0.1"/>
    <n v="-0.1"/>
    <n v="0.1"/>
    <n v="0"/>
    <n v="0.1"/>
    <n v="5"/>
    <n v="2"/>
    <n v="14"/>
    <n v="0"/>
    <n v="0"/>
    <n v="0"/>
    <n v="0"/>
    <n v="0"/>
    <n v="0.05"/>
    <n v="0.03"/>
    <n v="0.08"/>
    <n v="0.05"/>
    <n v="0.08"/>
    <x v="5"/>
  </r>
  <r>
    <x v="171"/>
    <s v="eng ENG"/>
    <s v="eng"/>
    <s v="ENG"/>
    <s v="FW,MF"/>
    <x v="1"/>
    <n v="29"/>
    <x v="1"/>
    <n v="12"/>
    <n v="0"/>
    <n v="142"/>
    <x v="0"/>
    <n v="1.6"/>
    <n v="0"/>
    <n v="0"/>
    <n v="0"/>
    <n v="0"/>
    <n v="0"/>
    <n v="0"/>
    <n v="1"/>
    <n v="0"/>
    <n v="0"/>
    <n v="0"/>
    <n v="0"/>
    <n v="0.3"/>
    <n v="0.3"/>
    <n v="7"/>
    <n v="8"/>
    <n v="22"/>
    <n v="0"/>
    <n v="0"/>
    <n v="0"/>
    <n v="0"/>
    <n v="0"/>
    <n v="0"/>
    <n v="0.19"/>
    <n v="0.19"/>
    <n v="0"/>
    <n v="0.19"/>
    <x v="5"/>
  </r>
  <r>
    <x v="172"/>
    <s v="eng ENG"/>
    <s v="eng"/>
    <s v="ENG"/>
    <s v="MF"/>
    <x v="0"/>
    <n v="34"/>
    <x v="2"/>
    <n v="4"/>
    <n v="0"/>
    <n v="27"/>
    <x v="0"/>
    <n v="0.3"/>
    <n v="0"/>
    <n v="0"/>
    <n v="0"/>
    <n v="0"/>
    <n v="0"/>
    <n v="0"/>
    <n v="0"/>
    <n v="0"/>
    <n v="0"/>
    <n v="0"/>
    <n v="0"/>
    <n v="0"/>
    <n v="0"/>
    <n v="4"/>
    <n v="4"/>
    <n v="1"/>
    <n v="0"/>
    <n v="0"/>
    <n v="0"/>
    <n v="0"/>
    <n v="0"/>
    <n v="0"/>
    <n v="0"/>
    <n v="0"/>
    <n v="0"/>
    <n v="0"/>
    <x v="5"/>
  </r>
  <r>
    <x v="173"/>
    <s v="ie IRL"/>
    <s v="ie"/>
    <s v="IRL"/>
    <s v="FW,MF"/>
    <x v="1"/>
    <n v="23"/>
    <x v="0"/>
    <n v="2"/>
    <n v="0"/>
    <n v="20"/>
    <x v="0"/>
    <n v="0.2"/>
    <n v="0"/>
    <n v="0"/>
    <n v="0"/>
    <n v="0"/>
    <n v="0"/>
    <n v="0"/>
    <n v="0"/>
    <n v="0"/>
    <n v="0.1"/>
    <n v="-0.1"/>
    <n v="0.1"/>
    <n v="0"/>
    <n v="0.1"/>
    <n v="0"/>
    <n v="0"/>
    <n v="3"/>
    <n v="0"/>
    <n v="0"/>
    <n v="0"/>
    <n v="0"/>
    <n v="0"/>
    <n v="0.4"/>
    <n v="0"/>
    <n v="0.4"/>
    <n v="0.4"/>
    <n v="0.4"/>
    <x v="5"/>
  </r>
  <r>
    <x v="174"/>
    <s v="fr FRA"/>
    <s v="fr"/>
    <s v="FRA"/>
    <s v="MF,DF"/>
    <x v="0"/>
    <n v="22"/>
    <x v="0"/>
    <n v="3"/>
    <n v="0"/>
    <n v="16"/>
    <x v="0"/>
    <n v="0.2"/>
    <n v="0"/>
    <n v="0"/>
    <n v="0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x v="5"/>
  </r>
  <r>
    <x v="175"/>
    <s v="eng ENG"/>
    <s v="eng"/>
    <s v="ENG"/>
    <s v="FW,MF"/>
    <x v="1"/>
    <n v="21"/>
    <x v="0"/>
    <n v="33"/>
    <n v="29"/>
    <n v="2607"/>
    <x v="1"/>
    <n v="29"/>
    <n v="22"/>
    <n v="11"/>
    <n v="33"/>
    <n v="13"/>
    <n v="9"/>
    <n v="9"/>
    <n v="7"/>
    <n v="0"/>
    <n v="18.2"/>
    <n v="3.8000000000000007"/>
    <n v="11.1"/>
    <n v="11.1"/>
    <n v="22.2"/>
    <n v="117"/>
    <n v="197"/>
    <n v="195"/>
    <n v="0.76"/>
    <n v="0.38"/>
    <n v="1.1399999999999999"/>
    <n v="0.45"/>
    <n v="0.83"/>
    <n v="0.63"/>
    <n v="0.38"/>
    <n v="1.01"/>
    <n v="0.38"/>
    <n v="0.77"/>
    <x v="6"/>
  </r>
  <r>
    <x v="176"/>
    <s v="eng ENG"/>
    <s v="eng"/>
    <s v="ENG"/>
    <s v="MF,FW"/>
    <x v="0"/>
    <n v="19"/>
    <x v="3"/>
    <n v="9"/>
    <n v="2"/>
    <n v="227"/>
    <x v="0"/>
    <n v="2.5"/>
    <n v="1"/>
    <n v="1"/>
    <n v="2"/>
    <n v="1"/>
    <n v="0"/>
    <n v="0"/>
    <n v="2"/>
    <n v="0"/>
    <n v="0.2"/>
    <n v="0.8"/>
    <n v="0.2"/>
    <n v="0.3"/>
    <n v="0.5"/>
    <n v="4"/>
    <n v="12"/>
    <n v="19"/>
    <n v="0.4"/>
    <n v="0.4"/>
    <n v="0.79"/>
    <n v="0.4"/>
    <n v="0.79"/>
    <n v="0.06"/>
    <n v="0.13"/>
    <n v="0.19"/>
    <n v="0.06"/>
    <n v="0.19"/>
    <x v="6"/>
  </r>
  <r>
    <x v="177"/>
    <s v="sn SEN"/>
    <s v="sn"/>
    <s v="SEN"/>
    <s v="FW"/>
    <x v="1"/>
    <n v="22"/>
    <x v="0"/>
    <n v="35"/>
    <n v="31"/>
    <n v="2799"/>
    <x v="1"/>
    <n v="31.1"/>
    <n v="14"/>
    <n v="5"/>
    <n v="19"/>
    <n v="14"/>
    <n v="0"/>
    <n v="0"/>
    <n v="10"/>
    <n v="0"/>
    <n v="18.600000000000001"/>
    <n v="-4.6000000000000014"/>
    <n v="18.600000000000001"/>
    <n v="4.3"/>
    <n v="22.9"/>
    <n v="70"/>
    <n v="67"/>
    <n v="200"/>
    <n v="0.45"/>
    <n v="0.16"/>
    <n v="0.61"/>
    <n v="0.45"/>
    <n v="0.61"/>
    <n v="0.6"/>
    <n v="0.14000000000000001"/>
    <n v="0.74"/>
    <n v="0.6"/>
    <n v="0.74"/>
    <x v="6"/>
  </r>
  <r>
    <x v="178"/>
    <s v="fr FRA"/>
    <s v="fr"/>
    <s v="FRA"/>
    <s v="FW,MF"/>
    <x v="1"/>
    <n v="25"/>
    <x v="1"/>
    <n v="11"/>
    <n v="2"/>
    <n v="443"/>
    <x v="0"/>
    <n v="4.9000000000000004"/>
    <n v="3"/>
    <n v="0"/>
    <n v="3"/>
    <n v="3"/>
    <n v="0"/>
    <n v="0"/>
    <n v="0"/>
    <n v="0"/>
    <n v="2.2999999999999998"/>
    <n v="0.70000000000000018"/>
    <n v="2.2999999999999998"/>
    <n v="0.2"/>
    <n v="2.5"/>
    <n v="10"/>
    <n v="19"/>
    <n v="35"/>
    <n v="0.61"/>
    <n v="0"/>
    <n v="0.61"/>
    <n v="0.61"/>
    <n v="0.61"/>
    <n v="0.47"/>
    <n v="0.05"/>
    <n v="0.52"/>
    <n v="0.47"/>
    <n v="0.52"/>
    <x v="6"/>
  </r>
  <r>
    <x v="179"/>
    <s v="eng ENG"/>
    <s v="eng"/>
    <s v="ENG"/>
    <s v="FW"/>
    <x v="1"/>
    <n v="21"/>
    <x v="0"/>
    <n v="23"/>
    <n v="13"/>
    <n v="1053"/>
    <x v="1"/>
    <n v="11.7"/>
    <n v="5"/>
    <n v="2"/>
    <n v="7"/>
    <n v="4"/>
    <n v="1"/>
    <n v="1"/>
    <n v="2"/>
    <n v="0"/>
    <n v="2.5"/>
    <n v="2.5"/>
    <n v="1.7"/>
    <n v="2.6"/>
    <n v="4.3"/>
    <n v="76"/>
    <n v="52"/>
    <n v="136"/>
    <n v="0.43"/>
    <n v="0.17"/>
    <n v="0.6"/>
    <n v="0.34"/>
    <n v="0.51"/>
    <n v="0.21"/>
    <n v="0.23"/>
    <n v="0.44"/>
    <n v="0.14000000000000001"/>
    <n v="0.37"/>
    <x v="6"/>
  </r>
  <r>
    <x v="180"/>
    <s v="eng ENG"/>
    <s v="eng"/>
    <s v="ENG"/>
    <s v="FW,MF"/>
    <x v="1"/>
    <n v="28"/>
    <x v="1"/>
    <n v="31"/>
    <n v="22"/>
    <n v="1978"/>
    <x v="1"/>
    <n v="22"/>
    <n v="8"/>
    <n v="4"/>
    <n v="12"/>
    <n v="8"/>
    <n v="0"/>
    <n v="0"/>
    <n v="7"/>
    <n v="0"/>
    <n v="6.5"/>
    <n v="1.5"/>
    <n v="6.5"/>
    <n v="4.5"/>
    <n v="11"/>
    <n v="120"/>
    <n v="78"/>
    <n v="242"/>
    <n v="0.36"/>
    <n v="0.18"/>
    <n v="0.55000000000000004"/>
    <n v="0.36"/>
    <n v="0.55000000000000004"/>
    <n v="0.28999999999999998"/>
    <n v="0.2"/>
    <n v="0.5"/>
    <n v="0.28999999999999998"/>
    <n v="0.5"/>
    <x v="6"/>
  </r>
  <r>
    <x v="181"/>
    <s v="eng ENG"/>
    <s v="eng"/>
    <s v="ENG"/>
    <s v="DF"/>
    <x v="2"/>
    <n v="23"/>
    <x v="0"/>
    <n v="10"/>
    <n v="5"/>
    <n v="419"/>
    <x v="0"/>
    <n v="4.7"/>
    <n v="0"/>
    <n v="2"/>
    <n v="2"/>
    <n v="0"/>
    <n v="0"/>
    <n v="0"/>
    <n v="2"/>
    <n v="2"/>
    <n v="0.3"/>
    <n v="-0.3"/>
    <n v="0.3"/>
    <n v="1.7"/>
    <n v="2.1"/>
    <n v="19"/>
    <n v="21"/>
    <n v="35"/>
    <n v="0"/>
    <n v="0.43"/>
    <n v="0.43"/>
    <n v="0"/>
    <n v="0.43"/>
    <n v="7.0000000000000007E-2"/>
    <n v="0.37"/>
    <n v="0.44"/>
    <n v="7.0000000000000007E-2"/>
    <n v="0.44"/>
    <x v="6"/>
  </r>
  <r>
    <x v="182"/>
    <s v="eng ENG"/>
    <s v="eng"/>
    <s v="ENG"/>
    <s v="DF"/>
    <x v="2"/>
    <n v="19"/>
    <x v="3"/>
    <n v="11"/>
    <n v="2"/>
    <n v="207"/>
    <x v="0"/>
    <n v="2.2999999999999998"/>
    <n v="1"/>
    <n v="0"/>
    <n v="1"/>
    <n v="1"/>
    <n v="0"/>
    <n v="0"/>
    <n v="1"/>
    <n v="0"/>
    <n v="0.3"/>
    <n v="0.7"/>
    <n v="0.3"/>
    <n v="0"/>
    <n v="0.3"/>
    <n v="1"/>
    <n v="7"/>
    <n v="4"/>
    <n v="0.43"/>
    <n v="0"/>
    <n v="0.43"/>
    <n v="0.43"/>
    <n v="0.43"/>
    <n v="0.14000000000000001"/>
    <n v="0"/>
    <n v="0.14000000000000001"/>
    <n v="0.14000000000000001"/>
    <n v="0.14000000000000001"/>
    <x v="6"/>
  </r>
  <r>
    <x v="183"/>
    <s v="ua UKR"/>
    <s v="ua"/>
    <s v="UKR"/>
    <s v="FW"/>
    <x v="1"/>
    <n v="22"/>
    <x v="0"/>
    <n v="31"/>
    <n v="18"/>
    <n v="1576"/>
    <x v="1"/>
    <n v="17.5"/>
    <n v="5"/>
    <n v="2"/>
    <n v="7"/>
    <n v="5"/>
    <n v="0"/>
    <n v="0"/>
    <n v="5"/>
    <n v="0"/>
    <n v="4.4000000000000004"/>
    <n v="0.59999999999999964"/>
    <n v="4.4000000000000004"/>
    <n v="4.0999999999999996"/>
    <n v="8.5"/>
    <n v="92"/>
    <n v="45"/>
    <n v="139"/>
    <n v="0.28999999999999998"/>
    <n v="0.11"/>
    <n v="0.4"/>
    <n v="0.28999999999999998"/>
    <n v="0.4"/>
    <n v="0.25"/>
    <n v="0.23"/>
    <n v="0.48"/>
    <n v="0.25"/>
    <n v="0.48"/>
    <x v="6"/>
  </r>
  <r>
    <x v="184"/>
    <s v="eng ENG"/>
    <s v="eng"/>
    <s v="ENG"/>
    <s v="MF"/>
    <x v="0"/>
    <n v="23"/>
    <x v="0"/>
    <n v="37"/>
    <n v="37"/>
    <n v="3128"/>
    <x v="1"/>
    <n v="34.799999999999997"/>
    <n v="5"/>
    <n v="7"/>
    <n v="12"/>
    <n v="5"/>
    <n v="0"/>
    <n v="0"/>
    <n v="9"/>
    <n v="1"/>
    <n v="4.2"/>
    <n v="0.79999999999999982"/>
    <n v="4.2"/>
    <n v="5"/>
    <n v="9.1999999999999993"/>
    <n v="62"/>
    <n v="172"/>
    <n v="122"/>
    <n v="0.14000000000000001"/>
    <n v="0.2"/>
    <n v="0.35"/>
    <n v="0.14000000000000001"/>
    <n v="0.35"/>
    <n v="0.12"/>
    <n v="0.15"/>
    <n v="0.27"/>
    <n v="0.12"/>
    <n v="0.27"/>
    <x v="6"/>
  </r>
  <r>
    <x v="185"/>
    <s v="fr FRA"/>
    <s v="fr"/>
    <s v="FRA"/>
    <s v="DF"/>
    <x v="2"/>
    <n v="20"/>
    <x v="0"/>
    <n v="27"/>
    <n v="19"/>
    <n v="1751"/>
    <x v="1"/>
    <n v="19.5"/>
    <n v="0"/>
    <n v="6"/>
    <n v="6"/>
    <n v="0"/>
    <n v="0"/>
    <n v="0"/>
    <n v="7"/>
    <n v="1"/>
    <n v="0.9"/>
    <n v="-0.9"/>
    <n v="0.9"/>
    <n v="4.3"/>
    <n v="5.2"/>
    <n v="78"/>
    <n v="86"/>
    <n v="135"/>
    <n v="0"/>
    <n v="0.31"/>
    <n v="0.31"/>
    <n v="0"/>
    <n v="0.31"/>
    <n v="0.05"/>
    <n v="0.22"/>
    <n v="0.27"/>
    <n v="0.05"/>
    <n v="0.27"/>
    <x v="6"/>
  </r>
  <r>
    <x v="186"/>
    <s v="ar ARG"/>
    <s v="ar"/>
    <s v="ARG"/>
    <s v="MF"/>
    <x v="0"/>
    <n v="22"/>
    <x v="0"/>
    <n v="28"/>
    <n v="26"/>
    <n v="2209"/>
    <x v="1"/>
    <n v="24.5"/>
    <n v="3"/>
    <n v="2"/>
    <n v="5"/>
    <n v="2"/>
    <n v="1"/>
    <n v="2"/>
    <n v="7"/>
    <n v="0"/>
    <n v="6.2"/>
    <n v="-3.2"/>
    <n v="4.5999999999999996"/>
    <n v="3.4"/>
    <n v="8"/>
    <n v="52"/>
    <n v="210"/>
    <n v="54"/>
    <n v="0.12"/>
    <n v="0.08"/>
    <n v="0.2"/>
    <n v="0.08"/>
    <n v="0.16"/>
    <n v="0.25"/>
    <n v="0.14000000000000001"/>
    <n v="0.39"/>
    <n v="0.19"/>
    <n v="0.33"/>
    <x v="6"/>
  </r>
  <r>
    <x v="187"/>
    <s v="al ALB"/>
    <s v="al"/>
    <s v="ALB"/>
    <s v="FW"/>
    <x v="1"/>
    <n v="21"/>
    <x v="0"/>
    <n v="13"/>
    <n v="6"/>
    <n v="454"/>
    <x v="0"/>
    <n v="5"/>
    <n v="1"/>
    <n v="0"/>
    <n v="1"/>
    <n v="1"/>
    <n v="0"/>
    <n v="0"/>
    <n v="0"/>
    <n v="0"/>
    <n v="2.4"/>
    <n v="-1.4"/>
    <n v="2.4"/>
    <n v="0.2"/>
    <n v="2.5"/>
    <n v="11"/>
    <n v="6"/>
    <n v="37"/>
    <n v="0.2"/>
    <n v="0"/>
    <n v="0.2"/>
    <n v="0.2"/>
    <n v="0.2"/>
    <n v="0.47"/>
    <n v="0.03"/>
    <n v="0.5"/>
    <n v="0.47"/>
    <n v="0.5"/>
    <x v="6"/>
  </r>
  <r>
    <x v="188"/>
    <s v="br BRA"/>
    <s v="br"/>
    <s v="BRA"/>
    <s v="DF"/>
    <x v="2"/>
    <n v="38"/>
    <x v="4"/>
    <n v="31"/>
    <n v="28"/>
    <n v="2527"/>
    <x v="1"/>
    <n v="28.1"/>
    <n v="3"/>
    <n v="1"/>
    <n v="4"/>
    <n v="3"/>
    <n v="0"/>
    <n v="0"/>
    <n v="4"/>
    <n v="0"/>
    <n v="0.8"/>
    <n v="2.2000000000000002"/>
    <n v="0.8"/>
    <n v="1"/>
    <n v="1.8"/>
    <n v="2"/>
    <n v="102"/>
    <n v="5"/>
    <n v="0.11"/>
    <n v="0.04"/>
    <n v="0.14000000000000001"/>
    <n v="0.11"/>
    <n v="0.14000000000000001"/>
    <n v="0.03"/>
    <n v="0.04"/>
    <n v="0.06"/>
    <n v="0.03"/>
    <n v="0.06"/>
    <x v="6"/>
  </r>
  <r>
    <x v="189"/>
    <s v="ec ECU"/>
    <s v="ec"/>
    <s v="ECU"/>
    <s v="MF"/>
    <x v="0"/>
    <n v="21"/>
    <x v="0"/>
    <n v="35"/>
    <n v="33"/>
    <n v="2866"/>
    <x v="1"/>
    <n v="31.8"/>
    <n v="1"/>
    <n v="3"/>
    <n v="4"/>
    <n v="1"/>
    <n v="0"/>
    <n v="0"/>
    <n v="11"/>
    <n v="0"/>
    <n v="0.4"/>
    <n v="0.6"/>
    <n v="0.4"/>
    <n v="2.6"/>
    <n v="3"/>
    <n v="27"/>
    <n v="173"/>
    <n v="27"/>
    <n v="0.03"/>
    <n v="0.09"/>
    <n v="0.13"/>
    <n v="0.03"/>
    <n v="0.13"/>
    <n v="0.01"/>
    <n v="0.08"/>
    <n v="0.09"/>
    <n v="0.01"/>
    <n v="0.09"/>
    <x v="6"/>
  </r>
  <r>
    <x v="190"/>
    <s v="eng ENG"/>
    <s v="eng"/>
    <s v="ENG"/>
    <s v="DF"/>
    <x v="2"/>
    <n v="26"/>
    <x v="1"/>
    <n v="13"/>
    <n v="9"/>
    <n v="756"/>
    <x v="0"/>
    <n v="8.4"/>
    <n v="0"/>
    <n v="1"/>
    <n v="1"/>
    <n v="0"/>
    <n v="0"/>
    <n v="0"/>
    <n v="5"/>
    <n v="0"/>
    <n v="1.2"/>
    <n v="-1.2"/>
    <n v="1.2"/>
    <n v="2.2000000000000002"/>
    <n v="3.4"/>
    <n v="22"/>
    <n v="25"/>
    <n v="59"/>
    <n v="0"/>
    <n v="0.12"/>
    <n v="0.12"/>
    <n v="0"/>
    <n v="0.12"/>
    <n v="0.14000000000000001"/>
    <n v="0.26"/>
    <n v="0.41"/>
    <n v="0.14000000000000001"/>
    <n v="0.41"/>
    <x v="6"/>
  </r>
  <r>
    <x v="191"/>
    <s v="eng ENG"/>
    <s v="eng"/>
    <s v="ENG"/>
    <s v="DF"/>
    <x v="2"/>
    <n v="20"/>
    <x v="0"/>
    <n v="23"/>
    <n v="20"/>
    <n v="1797"/>
    <x v="1"/>
    <n v="20"/>
    <n v="1"/>
    <n v="1"/>
    <n v="2"/>
    <n v="1"/>
    <n v="0"/>
    <n v="0"/>
    <n v="2"/>
    <n v="0"/>
    <n v="1.3"/>
    <n v="-0.30000000000000004"/>
    <n v="1.3"/>
    <n v="1.2"/>
    <n v="2.5"/>
    <n v="23"/>
    <n v="73"/>
    <n v="27"/>
    <n v="0.05"/>
    <n v="0.05"/>
    <n v="0.1"/>
    <n v="0.05"/>
    <n v="0.1"/>
    <n v="0.06"/>
    <n v="0.06"/>
    <n v="0.12"/>
    <n v="0.06"/>
    <n v="0.12"/>
    <x v="6"/>
  </r>
  <r>
    <x v="192"/>
    <s v="es ESP"/>
    <s v="es"/>
    <s v="ESP"/>
    <s v="DF"/>
    <x v="2"/>
    <n v="25"/>
    <x v="1"/>
    <n v="21"/>
    <n v="20"/>
    <n v="1782"/>
    <x v="1"/>
    <n v="19.8"/>
    <n v="0"/>
    <n v="2"/>
    <n v="2"/>
    <n v="0"/>
    <n v="0"/>
    <n v="0"/>
    <n v="10"/>
    <n v="0"/>
    <n v="1.1000000000000001"/>
    <n v="-1.1000000000000001"/>
    <n v="1.1000000000000001"/>
    <n v="1.1000000000000001"/>
    <n v="2.2000000000000002"/>
    <n v="31"/>
    <n v="50"/>
    <n v="73"/>
    <n v="0"/>
    <n v="0.1"/>
    <n v="0.1"/>
    <n v="0"/>
    <n v="0.1"/>
    <n v="0.06"/>
    <n v="0.05"/>
    <n v="0.11"/>
    <n v="0.06"/>
    <n v="0.11"/>
    <x v="6"/>
  </r>
  <r>
    <x v="193"/>
    <s v="eng ENG"/>
    <s v="eng"/>
    <s v="ENG"/>
    <s v="DF"/>
    <x v="2"/>
    <n v="24"/>
    <x v="1"/>
    <n v="13"/>
    <n v="10"/>
    <n v="952"/>
    <x v="0"/>
    <n v="10.6"/>
    <n v="1"/>
    <n v="0"/>
    <n v="1"/>
    <n v="1"/>
    <n v="0"/>
    <n v="0"/>
    <n v="1"/>
    <n v="0"/>
    <n v="0.2"/>
    <n v="0.8"/>
    <n v="0.2"/>
    <n v="0.1"/>
    <n v="0.3"/>
    <n v="5"/>
    <n v="31"/>
    <n v="9"/>
    <n v="0.09"/>
    <n v="0"/>
    <n v="0.09"/>
    <n v="0.09"/>
    <n v="0.09"/>
    <n v="0.02"/>
    <n v="0.01"/>
    <n v="0.02"/>
    <n v="0.02"/>
    <n v="0.02"/>
    <x v="6"/>
  </r>
  <r>
    <x v="194"/>
    <s v="fr FRA"/>
    <s v="fr"/>
    <s v="FRA"/>
    <s v="DF"/>
    <x v="2"/>
    <n v="25"/>
    <x v="1"/>
    <n v="31"/>
    <n v="29"/>
    <n v="2579"/>
    <x v="1"/>
    <n v="28.7"/>
    <n v="2"/>
    <n v="0"/>
    <n v="2"/>
    <n v="2"/>
    <n v="0"/>
    <n v="0"/>
    <n v="6"/>
    <n v="0"/>
    <n v="2.4"/>
    <n v="-0.39999999999999991"/>
    <n v="2.4"/>
    <n v="0.3"/>
    <n v="2.7"/>
    <n v="30"/>
    <n v="112"/>
    <n v="21"/>
    <n v="7.0000000000000007E-2"/>
    <n v="0"/>
    <n v="7.0000000000000007E-2"/>
    <n v="7.0000000000000007E-2"/>
    <n v="7.0000000000000007E-2"/>
    <n v="0.08"/>
    <n v="0.01"/>
    <n v="0.09"/>
    <n v="0.08"/>
    <n v="0.09"/>
    <x v="6"/>
  </r>
  <r>
    <x v="195"/>
    <s v="fr FRA"/>
    <s v="fr"/>
    <s v="FRA"/>
    <s v="DF"/>
    <x v="2"/>
    <n v="22"/>
    <x v="0"/>
    <n v="18"/>
    <n v="15"/>
    <n v="1338"/>
    <x v="1"/>
    <n v="14.9"/>
    <n v="0"/>
    <n v="1"/>
    <n v="1"/>
    <n v="0"/>
    <n v="0"/>
    <n v="0"/>
    <n v="3"/>
    <n v="0"/>
    <n v="0.3"/>
    <n v="-0.3"/>
    <n v="0.3"/>
    <n v="1.5"/>
    <n v="1.8"/>
    <n v="3"/>
    <n v="46"/>
    <n v="3"/>
    <n v="0"/>
    <n v="7.0000000000000007E-2"/>
    <n v="7.0000000000000007E-2"/>
    <n v="0"/>
    <n v="7.0000000000000007E-2"/>
    <n v="0.02"/>
    <n v="0.1"/>
    <n v="0.12"/>
    <n v="0.02"/>
    <n v="0.12"/>
    <x v="6"/>
  </r>
  <r>
    <x v="196"/>
    <s v="rs SRB"/>
    <s v="rs"/>
    <s v="SRB"/>
    <s v="GK"/>
    <x v="3"/>
    <n v="23"/>
    <x v="0"/>
    <n v="23"/>
    <n v="22"/>
    <n v="1987"/>
    <x v="1"/>
    <n v="22.1"/>
    <n v="0"/>
    <n v="0"/>
    <n v="0"/>
    <n v="0"/>
    <n v="0"/>
    <n v="0"/>
    <n v="2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6"/>
  </r>
  <r>
    <x v="197"/>
    <s v="es ESP"/>
    <s v="es"/>
    <s v="ESP"/>
    <s v="GK"/>
    <x v="3"/>
    <n v="25"/>
    <x v="1"/>
    <n v="16"/>
    <n v="16"/>
    <n v="1433"/>
    <x v="1"/>
    <n v="15.9"/>
    <n v="0"/>
    <n v="0"/>
    <n v="0"/>
    <n v="0"/>
    <n v="0"/>
    <n v="0"/>
    <n v="2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6"/>
  </r>
  <r>
    <x v="198"/>
    <s v="fr FRA"/>
    <s v="fr"/>
    <s v="FRA"/>
    <s v="MF"/>
    <x v="0"/>
    <n v="19"/>
    <x v="3"/>
    <n v="12"/>
    <n v="3"/>
    <n v="301"/>
    <x v="0"/>
    <n v="3.3"/>
    <n v="0"/>
    <n v="0"/>
    <n v="0"/>
    <n v="0"/>
    <n v="0"/>
    <n v="0"/>
    <n v="2"/>
    <n v="0"/>
    <n v="0"/>
    <n v="0"/>
    <n v="0"/>
    <n v="0.1"/>
    <n v="0.1"/>
    <n v="8"/>
    <n v="17"/>
    <n v="3"/>
    <n v="0"/>
    <n v="0"/>
    <n v="0"/>
    <n v="0"/>
    <n v="0"/>
    <n v="0"/>
    <n v="0.03"/>
    <n v="0.03"/>
    <n v="0"/>
    <n v="0.03"/>
    <x v="6"/>
  </r>
  <r>
    <x v="199"/>
    <s v="nl NED"/>
    <s v="nl"/>
    <s v="NED"/>
    <s v="FW,MF"/>
    <x v="1"/>
    <n v="21"/>
    <x v="0"/>
    <n v="12"/>
    <n v="1"/>
    <n v="209"/>
    <x v="0"/>
    <n v="2.2999999999999998"/>
    <n v="0"/>
    <n v="0"/>
    <n v="0"/>
    <n v="0"/>
    <n v="0"/>
    <n v="0"/>
    <n v="1"/>
    <n v="0"/>
    <n v="0.8"/>
    <n v="-0.8"/>
    <n v="0.8"/>
    <n v="0.1"/>
    <n v="0.9"/>
    <n v="9"/>
    <n v="8"/>
    <n v="15"/>
    <n v="0"/>
    <n v="0"/>
    <n v="0"/>
    <n v="0"/>
    <n v="0"/>
    <n v="0.35"/>
    <n v="0.04"/>
    <n v="0.39"/>
    <n v="0.35"/>
    <n v="0.39"/>
    <x v="6"/>
  </r>
  <r>
    <x v="200"/>
    <s v="it ITA"/>
    <s v="it"/>
    <s v="ITA"/>
    <s v="FW,MF"/>
    <x v="1"/>
    <n v="20"/>
    <x v="0"/>
    <n v="11"/>
    <n v="0"/>
    <n v="79"/>
    <x v="0"/>
    <n v="0.9"/>
    <n v="0"/>
    <n v="0"/>
    <n v="0"/>
    <n v="0"/>
    <n v="0"/>
    <n v="0"/>
    <n v="0"/>
    <n v="0"/>
    <n v="0"/>
    <n v="0"/>
    <n v="0"/>
    <n v="0.1"/>
    <n v="0.1"/>
    <n v="1"/>
    <n v="3"/>
    <n v="3"/>
    <n v="0"/>
    <n v="0"/>
    <n v="0"/>
    <n v="0"/>
    <n v="0"/>
    <n v="0"/>
    <n v="0.12"/>
    <n v="0.12"/>
    <n v="0"/>
    <n v="0.12"/>
    <x v="6"/>
  </r>
  <r>
    <x v="201"/>
    <s v="be BEL"/>
    <s v="be"/>
    <s v="BEL"/>
    <s v="MF"/>
    <x v="0"/>
    <n v="19"/>
    <x v="3"/>
    <n v="1"/>
    <n v="0"/>
    <n v="33"/>
    <x v="0"/>
    <n v="0.4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6"/>
  </r>
  <r>
    <x v="202"/>
    <s v="br BRA"/>
    <s v="br"/>
    <s v="BRA"/>
    <s v="DF,FW"/>
    <x v="2"/>
    <n v="18"/>
    <x v="3"/>
    <n v="2"/>
    <n v="0"/>
    <n v="13"/>
    <x v="0"/>
    <n v="0.1"/>
    <n v="0"/>
    <n v="0"/>
    <n v="0"/>
    <n v="0"/>
    <n v="0"/>
    <n v="0"/>
    <n v="0"/>
    <n v="0"/>
    <n v="0.5"/>
    <n v="-0.5"/>
    <n v="0.5"/>
    <n v="0"/>
    <n v="0.5"/>
    <n v="0"/>
    <n v="0"/>
    <n v="1"/>
    <n v="0"/>
    <n v="0"/>
    <n v="0"/>
    <n v="0"/>
    <n v="0"/>
    <n v="3.23"/>
    <n v="0"/>
    <n v="3.23"/>
    <n v="3.23"/>
    <n v="3.23"/>
    <x v="6"/>
  </r>
  <r>
    <x v="203"/>
    <s v="eng ENG"/>
    <s v="eng"/>
    <s v="ENG"/>
    <s v="FW"/>
    <x v="1"/>
    <n v="19"/>
    <x v="3"/>
    <n v="2"/>
    <n v="0"/>
    <n v="9"/>
    <x v="0"/>
    <n v="0.1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6"/>
  </r>
  <r>
    <x v="204"/>
    <s v="eng ENG"/>
    <s v="eng"/>
    <s v="ENG"/>
    <s v="DF"/>
    <x v="2"/>
    <n v="17"/>
    <x v="3"/>
    <n v="1"/>
    <n v="0"/>
    <n v="6"/>
    <x v="0"/>
    <n v="0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6"/>
  </r>
  <r>
    <x v="205"/>
    <s v="eng ENG"/>
    <s v="eng"/>
    <s v="ENG"/>
    <s v="MF"/>
    <x v="0"/>
    <n v="18"/>
    <x v="3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6"/>
  </r>
  <r>
    <x v="206"/>
    <s v="eng ENG"/>
    <s v="eng"/>
    <s v="ENG"/>
    <s v="FW"/>
    <x v="1"/>
    <n v="19"/>
    <x v="3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6"/>
  </r>
  <r>
    <x v="207"/>
    <s v="fr FRA"/>
    <s v="fr"/>
    <s v="FRA"/>
    <s v="FW,MF"/>
    <x v="1"/>
    <n v="21"/>
    <x v="0"/>
    <n v="19"/>
    <n v="14"/>
    <n v="1275"/>
    <x v="1"/>
    <n v="14.2"/>
    <n v="10"/>
    <n v="6"/>
    <n v="16"/>
    <n v="9"/>
    <n v="1"/>
    <n v="1"/>
    <n v="0"/>
    <n v="0"/>
    <n v="5.5"/>
    <n v="4.5"/>
    <n v="4.7"/>
    <n v="5.8"/>
    <n v="10.5"/>
    <n v="68"/>
    <n v="78"/>
    <n v="134"/>
    <n v="0.71"/>
    <n v="0.42"/>
    <n v="1.1299999999999999"/>
    <n v="0.64"/>
    <n v="1.06"/>
    <n v="0.39"/>
    <n v="0.41"/>
    <n v="0.8"/>
    <n v="0.33"/>
    <n v="0.74"/>
    <x v="7"/>
  </r>
  <r>
    <x v="208"/>
    <s v="fr FRA"/>
    <s v="fr"/>
    <s v="FRA"/>
    <s v="FW"/>
    <x v="1"/>
    <n v="26"/>
    <x v="1"/>
    <n v="35"/>
    <n v="25"/>
    <n v="2282"/>
    <x v="1"/>
    <n v="25.4"/>
    <n v="16"/>
    <n v="5"/>
    <n v="21"/>
    <n v="14"/>
    <n v="2"/>
    <n v="2"/>
    <n v="3"/>
    <n v="0"/>
    <n v="10.9"/>
    <n v="5.0999999999999996"/>
    <n v="9.4"/>
    <n v="3.1"/>
    <n v="12.5"/>
    <n v="29"/>
    <n v="25"/>
    <n v="135"/>
    <n v="0.63"/>
    <n v="0.2"/>
    <n v="0.83"/>
    <n v="0.55000000000000004"/>
    <n v="0.75"/>
    <n v="0.43"/>
    <n v="0.12"/>
    <n v="0.56000000000000005"/>
    <n v="0.37"/>
    <n v="0.49"/>
    <x v="7"/>
  </r>
  <r>
    <x v="209"/>
    <s v="eng ENG"/>
    <s v="eng"/>
    <s v="ENG"/>
    <s v="MF,FW"/>
    <x v="0"/>
    <n v="25"/>
    <x v="1"/>
    <n v="27"/>
    <n v="24"/>
    <n v="2055"/>
    <x v="1"/>
    <n v="22.8"/>
    <n v="11"/>
    <n v="4"/>
    <n v="15"/>
    <n v="10"/>
    <n v="1"/>
    <n v="1"/>
    <n v="3"/>
    <n v="0"/>
    <n v="9.1"/>
    <n v="1.9000000000000004"/>
    <n v="8.3000000000000007"/>
    <n v="5.2"/>
    <n v="13.5"/>
    <n v="68"/>
    <n v="93"/>
    <n v="139"/>
    <n v="0.48"/>
    <n v="0.18"/>
    <n v="0.66"/>
    <n v="0.44"/>
    <n v="0.61"/>
    <n v="0.4"/>
    <n v="0.23"/>
    <n v="0.62"/>
    <n v="0.36"/>
    <n v="0.59"/>
    <x v="7"/>
  </r>
  <r>
    <x v="210"/>
    <s v="fr FRA"/>
    <s v="fr"/>
    <s v="FRA"/>
    <s v="FW,MF"/>
    <x v="1"/>
    <n v="25"/>
    <x v="1"/>
    <n v="30"/>
    <n v="17"/>
    <n v="1555"/>
    <x v="1"/>
    <n v="17.3"/>
    <n v="7"/>
    <n v="0"/>
    <n v="7"/>
    <n v="7"/>
    <n v="0"/>
    <n v="0"/>
    <n v="4"/>
    <n v="0"/>
    <n v="6.2"/>
    <n v="0.79999999999999982"/>
    <n v="6.2"/>
    <n v="1.2"/>
    <n v="7.4"/>
    <n v="33"/>
    <n v="36"/>
    <n v="100"/>
    <n v="0.41"/>
    <n v="0"/>
    <n v="0.41"/>
    <n v="0.41"/>
    <n v="0.41"/>
    <n v="0.36"/>
    <n v="7.0000000000000007E-2"/>
    <n v="0.43"/>
    <n v="0.36"/>
    <n v="0.43"/>
    <x v="7"/>
  </r>
  <r>
    <x v="211"/>
    <s v="gh GHA"/>
    <s v="gh"/>
    <s v="GHA"/>
    <s v="FW,MF"/>
    <x v="1"/>
    <n v="31"/>
    <x v="2"/>
    <n v="35"/>
    <n v="30"/>
    <n v="2543"/>
    <x v="1"/>
    <n v="28.3"/>
    <n v="4"/>
    <n v="7"/>
    <n v="11"/>
    <n v="4"/>
    <n v="0"/>
    <n v="0"/>
    <n v="9"/>
    <n v="1"/>
    <n v="3.9"/>
    <n v="0.10000000000000009"/>
    <n v="3.9"/>
    <n v="4.2"/>
    <n v="8.1"/>
    <n v="74"/>
    <n v="63"/>
    <n v="173"/>
    <n v="0.14000000000000001"/>
    <n v="0.25"/>
    <n v="0.39"/>
    <n v="0.14000000000000001"/>
    <n v="0.39"/>
    <n v="0.14000000000000001"/>
    <n v="0.15"/>
    <n v="0.28999999999999998"/>
    <n v="0.14000000000000001"/>
    <n v="0.28999999999999998"/>
    <x v="7"/>
  </r>
  <r>
    <x v="212"/>
    <s v="br BRA"/>
    <s v="br"/>
    <s v="BRA"/>
    <s v="MF,FW"/>
    <x v="0"/>
    <n v="19"/>
    <x v="3"/>
    <n v="10"/>
    <n v="1"/>
    <n v="232"/>
    <x v="0"/>
    <n v="2.6"/>
    <n v="0"/>
    <n v="1"/>
    <n v="1"/>
    <n v="0"/>
    <n v="0"/>
    <n v="0"/>
    <n v="1"/>
    <n v="0"/>
    <n v="0.4"/>
    <n v="-0.4"/>
    <n v="0.4"/>
    <n v="0.9"/>
    <n v="1.2"/>
    <n v="12"/>
    <n v="8"/>
    <n v="12"/>
    <n v="0"/>
    <n v="0.39"/>
    <n v="0.39"/>
    <n v="0"/>
    <n v="0.39"/>
    <n v="0.14000000000000001"/>
    <n v="0.34"/>
    <n v="0.48"/>
    <n v="0.14000000000000001"/>
    <n v="0.48"/>
    <x v="7"/>
  </r>
  <r>
    <x v="213"/>
    <s v="gh GHA"/>
    <s v="gh"/>
    <s v="GHA"/>
    <s v="FW,MF"/>
    <x v="1"/>
    <n v="30"/>
    <x v="2"/>
    <n v="29"/>
    <n v="17"/>
    <n v="1352"/>
    <x v="1"/>
    <n v="15"/>
    <n v="2"/>
    <n v="2"/>
    <n v="4"/>
    <n v="2"/>
    <n v="0"/>
    <n v="0"/>
    <n v="1"/>
    <n v="0"/>
    <n v="1.8"/>
    <n v="0.19999999999999996"/>
    <n v="1.8"/>
    <n v="2.2999999999999998"/>
    <n v="4.0999999999999996"/>
    <n v="20"/>
    <n v="33"/>
    <n v="52"/>
    <n v="0.13"/>
    <n v="0.13"/>
    <n v="0.27"/>
    <n v="0.13"/>
    <n v="0.27"/>
    <n v="0.12"/>
    <n v="0.15"/>
    <n v="0.27"/>
    <n v="0.12"/>
    <n v="0.27"/>
    <x v="7"/>
  </r>
  <r>
    <x v="214"/>
    <s v="co COL"/>
    <s v="co"/>
    <s v="COL"/>
    <s v="DF,MF"/>
    <x v="2"/>
    <n v="27"/>
    <x v="1"/>
    <n v="16"/>
    <n v="16"/>
    <n v="1439"/>
    <x v="1"/>
    <n v="16"/>
    <n v="0"/>
    <n v="4"/>
    <n v="4"/>
    <n v="0"/>
    <n v="0"/>
    <n v="0"/>
    <n v="4"/>
    <n v="0"/>
    <n v="1.2"/>
    <n v="-1.2"/>
    <n v="1.2"/>
    <n v="2.4"/>
    <n v="3.7"/>
    <n v="25"/>
    <n v="38"/>
    <n v="80"/>
    <n v="0"/>
    <n v="0.25"/>
    <n v="0.25"/>
    <n v="0"/>
    <n v="0.25"/>
    <n v="0.08"/>
    <n v="0.15"/>
    <n v="0.23"/>
    <n v="0.08"/>
    <n v="0.23"/>
    <x v="7"/>
  </r>
  <r>
    <x v="215"/>
    <s v="eng ENG"/>
    <s v="eng"/>
    <s v="ENG"/>
    <s v="MF"/>
    <x v="0"/>
    <n v="19"/>
    <x v="3"/>
    <n v="16"/>
    <n v="15"/>
    <n v="1297"/>
    <x v="1"/>
    <n v="14.4"/>
    <n v="0"/>
    <n v="3"/>
    <n v="3"/>
    <n v="0"/>
    <n v="0"/>
    <n v="0"/>
    <n v="2"/>
    <n v="0"/>
    <n v="0.3"/>
    <n v="-0.3"/>
    <n v="0.3"/>
    <n v="2.4"/>
    <n v="2.8"/>
    <n v="14"/>
    <n v="79"/>
    <n v="10"/>
    <n v="0"/>
    <n v="0.21"/>
    <n v="0.21"/>
    <n v="0"/>
    <n v="0.21"/>
    <n v="0.02"/>
    <n v="0.17"/>
    <n v="0.19"/>
    <n v="0.02"/>
    <n v="0.19"/>
    <x v="7"/>
  </r>
  <r>
    <x v="216"/>
    <s v="eng ENG"/>
    <s v="eng"/>
    <s v="ENG"/>
    <s v="DF,MF"/>
    <x v="2"/>
    <n v="23"/>
    <x v="0"/>
    <n v="37"/>
    <n v="37"/>
    <n v="3204"/>
    <x v="1"/>
    <n v="35.6"/>
    <n v="2"/>
    <n v="3"/>
    <n v="5"/>
    <n v="2"/>
    <n v="0"/>
    <n v="0"/>
    <n v="6"/>
    <n v="0"/>
    <n v="1.6"/>
    <n v="0.39999999999999991"/>
    <n v="1.6"/>
    <n v="2.8"/>
    <n v="4.4000000000000004"/>
    <n v="32"/>
    <n v="94"/>
    <n v="159"/>
    <n v="0.06"/>
    <n v="0.08"/>
    <n v="0.14000000000000001"/>
    <n v="0.06"/>
    <n v="0.14000000000000001"/>
    <n v="0.04"/>
    <n v="0.08"/>
    <n v="0.12"/>
    <n v="0.04"/>
    <n v="0.12"/>
    <x v="7"/>
  </r>
  <r>
    <x v="217"/>
    <s v="dk DEN"/>
    <s v="dk"/>
    <s v="DEN"/>
    <s v="DF"/>
    <x v="2"/>
    <n v="27"/>
    <x v="1"/>
    <n v="38"/>
    <n v="38"/>
    <n v="3415"/>
    <x v="1"/>
    <n v="37.9"/>
    <n v="2"/>
    <n v="3"/>
    <n v="5"/>
    <n v="2"/>
    <n v="0"/>
    <n v="0"/>
    <n v="7"/>
    <n v="0"/>
    <n v="1.7"/>
    <n v="0.30000000000000004"/>
    <n v="1.7"/>
    <n v="2.8"/>
    <n v="4.5"/>
    <n v="21"/>
    <n v="147"/>
    <n v="10"/>
    <n v="0.05"/>
    <n v="0.08"/>
    <n v="0.13"/>
    <n v="0.05"/>
    <n v="0.13"/>
    <n v="0.04"/>
    <n v="7.0000000000000007E-2"/>
    <n v="0.12"/>
    <n v="0.04"/>
    <n v="0.12"/>
    <x v="7"/>
  </r>
  <r>
    <x v="218"/>
    <s v="us USA"/>
    <s v="us"/>
    <s v="USA"/>
    <s v="DF,MF"/>
    <x v="2"/>
    <n v="23"/>
    <x v="0"/>
    <n v="26"/>
    <n v="23"/>
    <n v="2094"/>
    <x v="1"/>
    <n v="23.3"/>
    <n v="1"/>
    <n v="1"/>
    <n v="2"/>
    <n v="1"/>
    <n v="0"/>
    <n v="0"/>
    <n v="3"/>
    <n v="0"/>
    <n v="0.6"/>
    <n v="0.4"/>
    <n v="0.6"/>
    <n v="0.4"/>
    <n v="1"/>
    <n v="1"/>
    <n v="43"/>
    <n v="1"/>
    <n v="0.04"/>
    <n v="0.04"/>
    <n v="0.09"/>
    <n v="0.04"/>
    <n v="0.09"/>
    <n v="0.03"/>
    <n v="0.02"/>
    <n v="0.04"/>
    <n v="0.03"/>
    <n v="0.04"/>
    <x v="7"/>
  </r>
  <r>
    <x v="219"/>
    <s v="co COL"/>
    <s v="co"/>
    <s v="COL"/>
    <s v="MF,DF"/>
    <x v="0"/>
    <n v="28"/>
    <x v="1"/>
    <n v="28"/>
    <n v="27"/>
    <n v="2400"/>
    <x v="1"/>
    <n v="26.7"/>
    <n v="1"/>
    <n v="1"/>
    <n v="2"/>
    <n v="1"/>
    <n v="0"/>
    <n v="0"/>
    <n v="8"/>
    <n v="0"/>
    <n v="2.7"/>
    <n v="-1.7000000000000002"/>
    <n v="2.7"/>
    <n v="2.2000000000000002"/>
    <n v="4.8"/>
    <n v="14"/>
    <n v="106"/>
    <n v="51"/>
    <n v="0.04"/>
    <n v="0.04"/>
    <n v="7.0000000000000007E-2"/>
    <n v="0.04"/>
    <n v="7.0000000000000007E-2"/>
    <n v="0.1"/>
    <n v="0.08"/>
    <n v="0.18"/>
    <n v="0.1"/>
    <n v="0.18"/>
    <x v="7"/>
  </r>
  <r>
    <x v="220"/>
    <s v="eng ENG"/>
    <s v="eng"/>
    <s v="ENG"/>
    <s v="DF"/>
    <x v="2"/>
    <n v="33"/>
    <x v="2"/>
    <n v="26"/>
    <n v="23"/>
    <n v="1980"/>
    <x v="1"/>
    <n v="22"/>
    <n v="0"/>
    <n v="1"/>
    <n v="1"/>
    <n v="0"/>
    <n v="0"/>
    <n v="0"/>
    <n v="4"/>
    <n v="0"/>
    <n v="0.9"/>
    <n v="-0.9"/>
    <n v="0.9"/>
    <n v="0.2"/>
    <n v="1.1000000000000001"/>
    <n v="16"/>
    <n v="66"/>
    <n v="14"/>
    <n v="0"/>
    <n v="0.05"/>
    <n v="0.05"/>
    <n v="0"/>
    <n v="0.05"/>
    <n v="0.04"/>
    <n v="0.01"/>
    <n v="0.05"/>
    <n v="0.04"/>
    <n v="0.05"/>
    <x v="7"/>
  </r>
  <r>
    <x v="221"/>
    <s v="eng ENG"/>
    <s v="eng"/>
    <s v="ENG"/>
    <s v="MF"/>
    <x v="0"/>
    <n v="28"/>
    <x v="1"/>
    <n v="30"/>
    <n v="23"/>
    <n v="1891"/>
    <x v="1"/>
    <n v="21"/>
    <n v="0"/>
    <n v="1"/>
    <n v="1"/>
    <n v="0"/>
    <n v="0"/>
    <n v="0"/>
    <n v="6"/>
    <n v="0"/>
    <n v="0.3"/>
    <n v="-0.3"/>
    <n v="0.3"/>
    <n v="1.1000000000000001"/>
    <n v="1.5"/>
    <n v="14"/>
    <n v="76"/>
    <n v="17"/>
    <n v="0"/>
    <n v="0.05"/>
    <n v="0.05"/>
    <n v="0"/>
    <n v="0.05"/>
    <n v="0.02"/>
    <n v="0.05"/>
    <n v="7.0000000000000007E-2"/>
    <n v="0.02"/>
    <n v="7.0000000000000007E-2"/>
    <x v="7"/>
  </r>
  <r>
    <x v="222"/>
    <s v="eng ENG"/>
    <s v="eng"/>
    <s v="ENG"/>
    <s v="DF"/>
    <x v="2"/>
    <n v="23"/>
    <x v="0"/>
    <n v="25"/>
    <n v="23"/>
    <n v="2021"/>
    <x v="1"/>
    <n v="22.5"/>
    <n v="0"/>
    <n v="1"/>
    <n v="1"/>
    <n v="0"/>
    <n v="0"/>
    <n v="0"/>
    <n v="2"/>
    <n v="0"/>
    <n v="0.6"/>
    <n v="-0.6"/>
    <n v="0.6"/>
    <n v="0.6"/>
    <n v="1.2"/>
    <n v="15"/>
    <n v="67"/>
    <n v="7"/>
    <n v="0"/>
    <n v="0.04"/>
    <n v="0.04"/>
    <n v="0"/>
    <n v="0.04"/>
    <n v="0.03"/>
    <n v="0.03"/>
    <n v="0.05"/>
    <n v="0.03"/>
    <n v="0.05"/>
    <x v="7"/>
  </r>
  <r>
    <x v="223"/>
    <s v="eng ENG"/>
    <s v="eng"/>
    <s v="ENG"/>
    <s v="GK"/>
    <x v="3"/>
    <n v="30"/>
    <x v="2"/>
    <n v="20"/>
    <n v="20"/>
    <n v="1796"/>
    <x v="1"/>
    <n v="2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7"/>
  </r>
  <r>
    <x v="224"/>
    <s v="eng ENG"/>
    <s v="eng"/>
    <s v="ENG"/>
    <s v="GK"/>
    <x v="3"/>
    <n v="26"/>
    <x v="1"/>
    <n v="18"/>
    <n v="18"/>
    <n v="1620"/>
    <x v="1"/>
    <n v="18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7"/>
  </r>
  <r>
    <x v="225"/>
    <s v="eng ENG"/>
    <s v="eng"/>
    <s v="ENG"/>
    <s v="DF"/>
    <x v="2"/>
    <n v="32"/>
    <x v="2"/>
    <n v="19"/>
    <n v="14"/>
    <n v="1338"/>
    <x v="1"/>
    <n v="14.9"/>
    <n v="0"/>
    <n v="0"/>
    <n v="0"/>
    <n v="0"/>
    <n v="0"/>
    <n v="0"/>
    <n v="0"/>
    <n v="0"/>
    <n v="0.2"/>
    <n v="-0.2"/>
    <n v="0.2"/>
    <n v="0.2"/>
    <n v="0.4"/>
    <n v="10"/>
    <n v="33"/>
    <n v="18"/>
    <n v="0"/>
    <n v="0"/>
    <n v="0"/>
    <n v="0"/>
    <n v="0"/>
    <n v="0.01"/>
    <n v="0.01"/>
    <n v="0.03"/>
    <n v="0.01"/>
    <n v="0.03"/>
    <x v="7"/>
  </r>
  <r>
    <x v="226"/>
    <s v="ml MLI"/>
    <s v="ml"/>
    <s v="MLI"/>
    <s v="MF"/>
    <x v="0"/>
    <n v="23"/>
    <x v="0"/>
    <n v="11"/>
    <n v="11"/>
    <n v="919"/>
    <x v="0"/>
    <n v="10.199999999999999"/>
    <n v="0"/>
    <n v="0"/>
    <n v="0"/>
    <n v="0"/>
    <n v="0"/>
    <n v="0"/>
    <n v="2"/>
    <n v="0"/>
    <n v="0.3"/>
    <n v="-0.3"/>
    <n v="0.3"/>
    <n v="0.7"/>
    <n v="1"/>
    <n v="9"/>
    <n v="49"/>
    <n v="5"/>
    <n v="0"/>
    <n v="0"/>
    <n v="0"/>
    <n v="0"/>
    <n v="0"/>
    <n v="0.03"/>
    <n v="7.0000000000000007E-2"/>
    <n v="0.1"/>
    <n v="0.03"/>
    <n v="0.1"/>
    <x v="7"/>
  </r>
  <r>
    <x v="227"/>
    <s v="nl NED"/>
    <s v="nl"/>
    <s v="NED"/>
    <s v="MF,FW"/>
    <x v="0"/>
    <n v="26"/>
    <x v="1"/>
    <n v="9"/>
    <n v="2"/>
    <n v="235"/>
    <x v="0"/>
    <n v="2.6"/>
    <n v="0"/>
    <n v="0"/>
    <n v="0"/>
    <n v="0"/>
    <n v="0"/>
    <n v="0"/>
    <n v="0"/>
    <n v="0"/>
    <n v="0"/>
    <n v="0"/>
    <n v="0"/>
    <n v="0"/>
    <n v="0"/>
    <n v="3"/>
    <n v="10"/>
    <n v="3"/>
    <n v="0"/>
    <n v="0"/>
    <n v="0"/>
    <n v="0"/>
    <n v="0"/>
    <n v="0.01"/>
    <n v="0"/>
    <n v="0.01"/>
    <n v="0.01"/>
    <n v="0.01"/>
    <x v="7"/>
  </r>
  <r>
    <x v="228"/>
    <s v="fr FRA"/>
    <s v="fr"/>
    <s v="FRA"/>
    <s v="MF,FW"/>
    <x v="0"/>
    <n v="21"/>
    <x v="0"/>
    <n v="20"/>
    <n v="0"/>
    <n v="349"/>
    <x v="0"/>
    <n v="3.9"/>
    <n v="0"/>
    <n v="0"/>
    <n v="0"/>
    <n v="0"/>
    <n v="0"/>
    <n v="0"/>
    <n v="4"/>
    <n v="1"/>
    <n v="0.5"/>
    <n v="-0.5"/>
    <n v="0.5"/>
    <n v="0"/>
    <n v="0.5"/>
    <n v="19"/>
    <n v="25"/>
    <n v="20"/>
    <n v="0"/>
    <n v="0"/>
    <n v="0"/>
    <n v="0"/>
    <n v="0"/>
    <n v="0.13"/>
    <n v="0.01"/>
    <n v="0.13"/>
    <n v="0.13"/>
    <n v="0.13"/>
    <x v="7"/>
  </r>
  <r>
    <x v="229"/>
    <s v="eng ENG"/>
    <s v="eng"/>
    <s v="ENG"/>
    <s v="MF,DF"/>
    <x v="0"/>
    <n v="18"/>
    <x v="3"/>
    <n v="9"/>
    <n v="0"/>
    <n v="156"/>
    <x v="0"/>
    <n v="1.7"/>
    <n v="0"/>
    <n v="0"/>
    <n v="0"/>
    <n v="0"/>
    <n v="0"/>
    <n v="0"/>
    <n v="1"/>
    <n v="0"/>
    <n v="0"/>
    <n v="0"/>
    <n v="0"/>
    <n v="0"/>
    <n v="0"/>
    <n v="2"/>
    <n v="4"/>
    <n v="3"/>
    <n v="0"/>
    <n v="0"/>
    <n v="0"/>
    <n v="0"/>
    <n v="0"/>
    <n v="0"/>
    <n v="0"/>
    <n v="0"/>
    <n v="0"/>
    <n v="0"/>
    <x v="7"/>
  </r>
  <r>
    <x v="230"/>
    <s v="eng ENG"/>
    <s v="eng"/>
    <s v="ENG"/>
    <s v="MF,FW"/>
    <x v="0"/>
    <n v="20"/>
    <x v="0"/>
    <n v="6"/>
    <n v="0"/>
    <n v="136"/>
    <x v="0"/>
    <n v="1.5"/>
    <n v="0"/>
    <n v="0"/>
    <n v="0"/>
    <n v="0"/>
    <n v="0"/>
    <n v="0"/>
    <n v="0"/>
    <n v="0"/>
    <n v="0.4"/>
    <n v="-0.4"/>
    <n v="0.4"/>
    <n v="0.2"/>
    <n v="0.6"/>
    <n v="7"/>
    <n v="2"/>
    <n v="18"/>
    <n v="0"/>
    <n v="0"/>
    <n v="0"/>
    <n v="0"/>
    <n v="0"/>
    <n v="0.28000000000000003"/>
    <n v="0.1"/>
    <n v="0.38"/>
    <n v="0.28000000000000003"/>
    <n v="0.38"/>
    <x v="7"/>
  </r>
  <r>
    <x v="231"/>
    <s v="eng ENG"/>
    <s v="eng"/>
    <s v="ENG"/>
    <s v="DF"/>
    <x v="2"/>
    <n v="34"/>
    <x v="2"/>
    <n v="4"/>
    <n v="0"/>
    <n v="10"/>
    <x v="0"/>
    <n v="0.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7"/>
  </r>
  <r>
    <x v="232"/>
    <s v="eng ENG"/>
    <s v="eng"/>
    <s v="ENG"/>
    <s v="GK"/>
    <x v="3"/>
    <n v="29"/>
    <x v="1"/>
    <n v="1"/>
    <n v="0"/>
    <n v="4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7"/>
  </r>
  <r>
    <x v="233"/>
    <s v="eng ENG"/>
    <s v="eng"/>
    <s v="ENG"/>
    <s v="MF"/>
    <x v="0"/>
    <n v="20"/>
    <x v="0"/>
    <n v="12"/>
    <n v="1"/>
    <n v="232"/>
    <x v="0"/>
    <n v="2.6"/>
    <n v="1"/>
    <n v="0"/>
    <n v="1"/>
    <n v="1"/>
    <n v="0"/>
    <n v="0"/>
    <n v="1"/>
    <n v="0"/>
    <n v="0.3"/>
    <n v="0.7"/>
    <n v="0.3"/>
    <n v="0.5"/>
    <n v="0.8"/>
    <n v="6"/>
    <n v="3"/>
    <n v="20"/>
    <n v="0.39"/>
    <n v="0"/>
    <n v="0.39"/>
    <n v="0.39"/>
    <n v="0.39"/>
    <n v="0.11"/>
    <n v="0.19"/>
    <n v="0.3"/>
    <n v="0.11"/>
    <n v="0.3"/>
    <x v="8"/>
  </r>
  <r>
    <x v="234"/>
    <s v="eng ENG"/>
    <s v="eng"/>
    <s v="ENG"/>
    <s v="FW"/>
    <x v="1"/>
    <n v="26"/>
    <x v="1"/>
    <n v="32"/>
    <n v="26"/>
    <n v="2171"/>
    <x v="1"/>
    <n v="24.1"/>
    <n v="7"/>
    <n v="2"/>
    <n v="9"/>
    <n v="5"/>
    <n v="2"/>
    <n v="2"/>
    <n v="2"/>
    <n v="0"/>
    <n v="12.9"/>
    <n v="-5.9"/>
    <n v="11.4"/>
    <n v="3.1"/>
    <n v="14.5"/>
    <n v="36"/>
    <n v="31"/>
    <n v="122"/>
    <n v="0.28999999999999998"/>
    <n v="0.08"/>
    <n v="0.37"/>
    <n v="0.21"/>
    <n v="0.28999999999999998"/>
    <n v="0.54"/>
    <n v="0.13"/>
    <n v="0.66"/>
    <n v="0.47"/>
    <n v="0.6"/>
    <x v="8"/>
  </r>
  <r>
    <x v="235"/>
    <s v="eng ENG"/>
    <s v="eng"/>
    <s v="ENG"/>
    <s v="MF,FW"/>
    <x v="0"/>
    <n v="23"/>
    <x v="0"/>
    <n v="35"/>
    <n v="33"/>
    <n v="2892"/>
    <x v="1"/>
    <n v="32.1"/>
    <n v="3"/>
    <n v="6"/>
    <n v="9"/>
    <n v="3"/>
    <n v="0"/>
    <n v="0"/>
    <n v="2"/>
    <n v="0"/>
    <n v="3.4"/>
    <n v="-0.39999999999999991"/>
    <n v="3.4"/>
    <n v="8.8000000000000007"/>
    <n v="12.2"/>
    <n v="80"/>
    <n v="114"/>
    <n v="147"/>
    <n v="0.09"/>
    <n v="0.19"/>
    <n v="0.28000000000000003"/>
    <n v="0.09"/>
    <n v="0.28000000000000003"/>
    <n v="0.11"/>
    <n v="0.27"/>
    <n v="0.38"/>
    <n v="0.11"/>
    <n v="0.38"/>
    <x v="8"/>
  </r>
  <r>
    <x v="236"/>
    <s v="gw GNB"/>
    <s v="gw"/>
    <s v="GNB"/>
    <s v="FW"/>
    <x v="1"/>
    <n v="25"/>
    <x v="1"/>
    <n v="30"/>
    <n v="9"/>
    <n v="951"/>
    <x v="0"/>
    <n v="10.6"/>
    <n v="3"/>
    <n v="0"/>
    <n v="3"/>
    <n v="3"/>
    <n v="0"/>
    <n v="1"/>
    <n v="2"/>
    <n v="0"/>
    <n v="6.8"/>
    <n v="-3.8"/>
    <n v="6"/>
    <n v="0.9"/>
    <n v="6.9"/>
    <n v="14"/>
    <n v="14"/>
    <n v="58"/>
    <n v="0.28000000000000003"/>
    <n v="0"/>
    <n v="0.28000000000000003"/>
    <n v="0.28000000000000003"/>
    <n v="0.28000000000000003"/>
    <n v="0.64"/>
    <n v="0.09"/>
    <n v="0.73"/>
    <n v="0.56999999999999995"/>
    <n v="0.66"/>
    <x v="8"/>
  </r>
  <r>
    <x v="237"/>
    <s v="ml MLI"/>
    <s v="ml"/>
    <s v="MLI"/>
    <s v="FW,MF"/>
    <x v="1"/>
    <n v="30"/>
    <x v="2"/>
    <n v="32"/>
    <n v="32"/>
    <n v="2629"/>
    <x v="1"/>
    <n v="29.2"/>
    <n v="7"/>
    <n v="1"/>
    <n v="8"/>
    <n v="7"/>
    <n v="0"/>
    <n v="0"/>
    <n v="7"/>
    <n v="0"/>
    <n v="8.8000000000000007"/>
    <n v="-1.8000000000000007"/>
    <n v="8.8000000000000007"/>
    <n v="2.9"/>
    <n v="11.6"/>
    <n v="55"/>
    <n v="97"/>
    <n v="140"/>
    <n v="0.24"/>
    <n v="0.03"/>
    <n v="0.27"/>
    <n v="0.24"/>
    <n v="0.27"/>
    <n v="0.3"/>
    <n v="0.1"/>
    <n v="0.4"/>
    <n v="0.3"/>
    <n v="0.4"/>
    <x v="8"/>
  </r>
  <r>
    <x v="238"/>
    <s v="eng ENG"/>
    <s v="eng"/>
    <s v="ENG"/>
    <s v="MF,FW"/>
    <x v="0"/>
    <n v="26"/>
    <x v="1"/>
    <n v="29"/>
    <n v="25"/>
    <n v="2214"/>
    <x v="1"/>
    <n v="24.6"/>
    <n v="3"/>
    <n v="3"/>
    <n v="6"/>
    <n v="3"/>
    <n v="0"/>
    <n v="0"/>
    <n v="1"/>
    <n v="0"/>
    <n v="3.6"/>
    <n v="-0.60000000000000009"/>
    <n v="3.6"/>
    <n v="3.4"/>
    <n v="7"/>
    <n v="65"/>
    <n v="62"/>
    <n v="135"/>
    <n v="0.12"/>
    <n v="0.12"/>
    <n v="0.24"/>
    <n v="0.12"/>
    <n v="0.24"/>
    <n v="0.14000000000000001"/>
    <n v="0.14000000000000001"/>
    <n v="0.28000000000000003"/>
    <n v="0.14000000000000001"/>
    <n v="0.28000000000000003"/>
    <x v="8"/>
  </r>
  <r>
    <x v="239"/>
    <s v="eng ENG"/>
    <s v="eng"/>
    <s v="ENG"/>
    <s v="DF"/>
    <x v="2"/>
    <n v="30"/>
    <x v="2"/>
    <n v="9"/>
    <n v="4"/>
    <n v="439"/>
    <x v="0"/>
    <n v="4.9000000000000004"/>
    <n v="1"/>
    <n v="0"/>
    <n v="1"/>
    <n v="1"/>
    <n v="0"/>
    <n v="0"/>
    <n v="2"/>
    <n v="0"/>
    <n v="0.7"/>
    <n v="0.30000000000000004"/>
    <n v="0.7"/>
    <n v="0"/>
    <n v="0.7"/>
    <n v="4"/>
    <n v="14"/>
    <n v="3"/>
    <n v="0.21"/>
    <n v="0"/>
    <n v="0.21"/>
    <n v="0.21"/>
    <n v="0.21"/>
    <n v="0.14000000000000001"/>
    <n v="0"/>
    <n v="0.14000000000000001"/>
    <n v="0.14000000000000001"/>
    <n v="0.14000000000000001"/>
    <x v="8"/>
  </r>
  <r>
    <x v="240"/>
    <s v="sn SEN"/>
    <s v="sn"/>
    <s v="SEN"/>
    <s v="MF"/>
    <x v="0"/>
    <n v="33"/>
    <x v="2"/>
    <n v="25"/>
    <n v="24"/>
    <n v="1884"/>
    <x v="1"/>
    <n v="20.9"/>
    <n v="4"/>
    <n v="0"/>
    <n v="4"/>
    <n v="4"/>
    <n v="0"/>
    <n v="0"/>
    <n v="8"/>
    <n v="0"/>
    <n v="1.3"/>
    <n v="2.7"/>
    <n v="1.3"/>
    <n v="1.1000000000000001"/>
    <n v="2.4"/>
    <n v="29"/>
    <n v="83"/>
    <n v="41"/>
    <n v="0.19"/>
    <n v="0"/>
    <n v="0.19"/>
    <n v="0.19"/>
    <n v="0.19"/>
    <n v="0.06"/>
    <n v="0.05"/>
    <n v="0.12"/>
    <n v="0.06"/>
    <n v="0.12"/>
    <x v="8"/>
  </r>
  <r>
    <x v="241"/>
    <s v="sct SCO"/>
    <s v="sct"/>
    <s v="SCO"/>
    <s v="DF"/>
    <x v="2"/>
    <n v="21"/>
    <x v="0"/>
    <n v="20"/>
    <n v="9"/>
    <n v="1005"/>
    <x v="1"/>
    <n v="11.2"/>
    <n v="0"/>
    <n v="2"/>
    <n v="2"/>
    <n v="0"/>
    <n v="0"/>
    <n v="0"/>
    <n v="4"/>
    <n v="0"/>
    <n v="0.3"/>
    <n v="-0.3"/>
    <n v="0.3"/>
    <n v="1.7"/>
    <n v="2"/>
    <n v="17"/>
    <n v="38"/>
    <n v="39"/>
    <n v="0"/>
    <n v="0.18"/>
    <n v="0.18"/>
    <n v="0"/>
    <n v="0.18"/>
    <n v="0.03"/>
    <n v="0.15"/>
    <n v="0.18"/>
    <n v="0.03"/>
    <n v="0.18"/>
    <x v="8"/>
  </r>
  <r>
    <x v="242"/>
    <s v="pt POR"/>
    <s v="pt"/>
    <s v="POR"/>
    <s v="MF,FW"/>
    <x v="0"/>
    <n v="30"/>
    <x v="2"/>
    <n v="12"/>
    <n v="3"/>
    <n v="508"/>
    <x v="0"/>
    <n v="5.6"/>
    <n v="1"/>
    <n v="0"/>
    <n v="1"/>
    <n v="1"/>
    <n v="0"/>
    <n v="0"/>
    <n v="4"/>
    <n v="0"/>
    <n v="0.3"/>
    <n v="0.7"/>
    <n v="0.3"/>
    <n v="0.4"/>
    <n v="0.7"/>
    <n v="8"/>
    <n v="36"/>
    <n v="29"/>
    <n v="0.18"/>
    <n v="0"/>
    <n v="0.18"/>
    <n v="0.18"/>
    <n v="0.18"/>
    <n v="0.05"/>
    <n v="7.0000000000000007E-2"/>
    <n v="0.13"/>
    <n v="0.05"/>
    <n v="0.13"/>
    <x v="8"/>
  </r>
  <r>
    <x v="243"/>
    <s v="nl NED"/>
    <s v="nl"/>
    <s v="NED"/>
    <s v="MF,FW"/>
    <x v="0"/>
    <n v="26"/>
    <x v="1"/>
    <n v="14"/>
    <n v="5"/>
    <n v="595"/>
    <x v="0"/>
    <n v="6.6"/>
    <n v="1"/>
    <n v="0"/>
    <n v="1"/>
    <n v="1"/>
    <n v="0"/>
    <n v="0"/>
    <n v="0"/>
    <n v="0"/>
    <n v="2.6"/>
    <n v="-1.6"/>
    <n v="2.6"/>
    <n v="1.1000000000000001"/>
    <n v="3.7"/>
    <n v="24"/>
    <n v="9"/>
    <n v="44"/>
    <n v="0.15"/>
    <n v="0"/>
    <n v="0.15"/>
    <n v="0.15"/>
    <n v="0.15"/>
    <n v="0.4"/>
    <n v="0.17"/>
    <n v="0.56999999999999995"/>
    <n v="0.4"/>
    <n v="0.56999999999999995"/>
    <x v="8"/>
  </r>
  <r>
    <x v="244"/>
    <s v="eng ENG"/>
    <s v="eng"/>
    <s v="ENG"/>
    <s v="DF"/>
    <x v="2"/>
    <n v="21"/>
    <x v="0"/>
    <n v="35"/>
    <n v="35"/>
    <n v="3116"/>
    <x v="1"/>
    <n v="34.6"/>
    <n v="3"/>
    <n v="0"/>
    <n v="3"/>
    <n v="3"/>
    <n v="0"/>
    <n v="0"/>
    <n v="8"/>
    <n v="0"/>
    <n v="1.7"/>
    <n v="1.3"/>
    <n v="1.7"/>
    <n v="1"/>
    <n v="2.8"/>
    <n v="2"/>
    <n v="74"/>
    <n v="6"/>
    <n v="0.09"/>
    <n v="0"/>
    <n v="0.09"/>
    <n v="0.09"/>
    <n v="0.09"/>
    <n v="0.05"/>
    <n v="0.03"/>
    <n v="0.08"/>
    <n v="0.05"/>
    <n v="0.08"/>
    <x v="8"/>
  </r>
  <r>
    <x v="245"/>
    <s v="eng ENG"/>
    <s v="eng"/>
    <s v="ENG"/>
    <s v="MF"/>
    <x v="0"/>
    <n v="22"/>
    <x v="0"/>
    <n v="37"/>
    <n v="34"/>
    <n v="3004"/>
    <x v="1"/>
    <n v="33.4"/>
    <n v="1"/>
    <n v="2"/>
    <n v="3"/>
    <n v="1"/>
    <n v="0"/>
    <n v="0"/>
    <n v="7"/>
    <n v="0"/>
    <n v="2.7"/>
    <n v="-1.7000000000000002"/>
    <n v="2.7"/>
    <n v="4.5999999999999996"/>
    <n v="7.3"/>
    <n v="36"/>
    <n v="100"/>
    <n v="76"/>
    <n v="0.03"/>
    <n v="0.06"/>
    <n v="0.09"/>
    <n v="0.03"/>
    <n v="0.09"/>
    <n v="0.08"/>
    <n v="0.14000000000000001"/>
    <n v="0.22"/>
    <n v="0.08"/>
    <n v="0.22"/>
    <x v="8"/>
  </r>
  <r>
    <x v="246"/>
    <s v="be BEL"/>
    <s v="be"/>
    <s v="BEL"/>
    <s v="MF"/>
    <x v="0"/>
    <n v="21"/>
    <x v="0"/>
    <n v="30"/>
    <n v="23"/>
    <n v="2091"/>
    <x v="1"/>
    <n v="23.2"/>
    <n v="2"/>
    <n v="0"/>
    <n v="2"/>
    <n v="2"/>
    <n v="0"/>
    <n v="0"/>
    <n v="5"/>
    <n v="0"/>
    <n v="2"/>
    <n v="0"/>
    <n v="2"/>
    <n v="2.7"/>
    <n v="4.7"/>
    <n v="21"/>
    <n v="107"/>
    <n v="39"/>
    <n v="0.09"/>
    <n v="0"/>
    <n v="0.09"/>
    <n v="0.09"/>
    <n v="0.09"/>
    <n v="0.09"/>
    <n v="0.11"/>
    <n v="0.2"/>
    <n v="0.09"/>
    <n v="0.2"/>
    <x v="8"/>
  </r>
  <r>
    <x v="247"/>
    <s v="ua UKR"/>
    <s v="ua"/>
    <s v="UKR"/>
    <s v="DF"/>
    <x v="2"/>
    <n v="24"/>
    <x v="1"/>
    <n v="28"/>
    <n v="28"/>
    <n v="2469"/>
    <x v="1"/>
    <n v="27.4"/>
    <n v="2"/>
    <n v="0"/>
    <n v="2"/>
    <n v="2"/>
    <n v="0"/>
    <n v="0"/>
    <n v="1"/>
    <n v="0"/>
    <n v="1.5"/>
    <n v="0.5"/>
    <n v="1.5"/>
    <n v="0.9"/>
    <n v="2.4"/>
    <n v="14"/>
    <n v="55"/>
    <n v="68"/>
    <n v="7.0000000000000007E-2"/>
    <n v="0"/>
    <n v="7.0000000000000007E-2"/>
    <n v="7.0000000000000007E-2"/>
    <n v="7.0000000000000007E-2"/>
    <n v="0.06"/>
    <n v="0.03"/>
    <n v="0.09"/>
    <n v="0.06"/>
    <n v="0.09"/>
    <x v="8"/>
  </r>
  <r>
    <x v="248"/>
    <s v="eng ENG"/>
    <s v="eng"/>
    <s v="ENG"/>
    <s v="DF"/>
    <x v="2"/>
    <n v="30"/>
    <x v="2"/>
    <n v="38"/>
    <n v="38"/>
    <n v="3419"/>
    <x v="1"/>
    <n v="38"/>
    <n v="1"/>
    <n v="1"/>
    <n v="2"/>
    <n v="1"/>
    <n v="0"/>
    <n v="0"/>
    <n v="11"/>
    <n v="0"/>
    <n v="2.6"/>
    <n v="-1.6"/>
    <n v="2.6"/>
    <n v="2.5"/>
    <n v="5.0999999999999996"/>
    <n v="15"/>
    <n v="130"/>
    <n v="20"/>
    <n v="0.03"/>
    <n v="0.03"/>
    <n v="0.05"/>
    <n v="0.03"/>
    <n v="0.05"/>
    <n v="7.0000000000000007E-2"/>
    <n v="0.06"/>
    <n v="0.13"/>
    <n v="7.0000000000000007E-2"/>
    <n v="0.13"/>
    <x v="8"/>
  </r>
  <r>
    <x v="249"/>
    <s v="eng ENG"/>
    <s v="eng"/>
    <s v="ENG"/>
    <s v="GK"/>
    <x v="3"/>
    <n v="29"/>
    <x v="1"/>
    <n v="38"/>
    <n v="38"/>
    <n v="3420"/>
    <x v="1"/>
    <n v="38"/>
    <n v="0"/>
    <n v="0"/>
    <n v="0"/>
    <n v="0"/>
    <n v="0"/>
    <n v="0"/>
    <n v="5"/>
    <n v="0"/>
    <n v="0"/>
    <n v="0"/>
    <n v="0"/>
    <n v="0.1"/>
    <n v="0.1"/>
    <n v="1"/>
    <n v="6"/>
    <n v="0"/>
    <n v="0"/>
    <n v="0"/>
    <n v="0"/>
    <n v="0"/>
    <n v="0"/>
    <n v="0"/>
    <n v="0"/>
    <n v="0"/>
    <n v="0"/>
    <n v="0"/>
    <x v="8"/>
  </r>
  <r>
    <x v="250"/>
    <s v="eng ENG"/>
    <s v="eng"/>
    <s v="ENG"/>
    <s v="DF,MF"/>
    <x v="2"/>
    <n v="38"/>
    <x v="4"/>
    <n v="31"/>
    <n v="27"/>
    <n v="2280"/>
    <x v="1"/>
    <n v="25.3"/>
    <n v="0"/>
    <n v="0"/>
    <n v="0"/>
    <n v="0"/>
    <n v="0"/>
    <n v="0"/>
    <n v="7"/>
    <n v="1"/>
    <n v="0.6"/>
    <n v="-0.6"/>
    <n v="0.6"/>
    <n v="1.5"/>
    <n v="2.1"/>
    <n v="40"/>
    <n v="82"/>
    <n v="61"/>
    <n v="0"/>
    <n v="0"/>
    <n v="0"/>
    <n v="0"/>
    <n v="0"/>
    <n v="0.02"/>
    <n v="0.06"/>
    <n v="0.08"/>
    <n v="0.02"/>
    <n v="0.08"/>
    <x v="8"/>
  </r>
  <r>
    <x v="251"/>
    <s v="eng ENG"/>
    <s v="eng"/>
    <s v="ENG"/>
    <s v="DF"/>
    <x v="2"/>
    <n v="25"/>
    <x v="1"/>
    <n v="15"/>
    <n v="13"/>
    <n v="1120"/>
    <x v="1"/>
    <n v="12.4"/>
    <n v="0"/>
    <n v="0"/>
    <n v="0"/>
    <n v="0"/>
    <n v="0"/>
    <n v="0"/>
    <n v="2"/>
    <n v="0"/>
    <n v="1.7"/>
    <n v="-1.7"/>
    <n v="1.7"/>
    <n v="0.3"/>
    <n v="2"/>
    <n v="11"/>
    <n v="43"/>
    <n v="26"/>
    <n v="0"/>
    <n v="0"/>
    <n v="0"/>
    <n v="0"/>
    <n v="0"/>
    <n v="0.14000000000000001"/>
    <n v="0.02"/>
    <n v="0.16"/>
    <n v="0.14000000000000001"/>
    <n v="0.16"/>
    <x v="8"/>
  </r>
  <r>
    <x v="252"/>
    <s v="ie IRL"/>
    <s v="ie"/>
    <s v="IRL"/>
    <s v="DF"/>
    <x v="2"/>
    <n v="34"/>
    <x v="2"/>
    <n v="12"/>
    <n v="7"/>
    <n v="665"/>
    <x v="0"/>
    <n v="7.4"/>
    <n v="0"/>
    <n v="0"/>
    <n v="0"/>
    <n v="0"/>
    <n v="0"/>
    <n v="0"/>
    <n v="0"/>
    <n v="0"/>
    <n v="0"/>
    <n v="0"/>
    <n v="0"/>
    <n v="1"/>
    <n v="1"/>
    <n v="5"/>
    <n v="22"/>
    <n v="16"/>
    <n v="0"/>
    <n v="0"/>
    <n v="0"/>
    <n v="0"/>
    <n v="0"/>
    <n v="0"/>
    <n v="0.14000000000000001"/>
    <n v="0.14000000000000001"/>
    <n v="0"/>
    <n v="0.14000000000000001"/>
    <x v="8"/>
  </r>
  <r>
    <x v="253"/>
    <s v="ng NGA"/>
    <s v="ng"/>
    <s v="NGA"/>
    <s v="MF"/>
    <x v="0"/>
    <n v="27"/>
    <x v="1"/>
    <n v="2"/>
    <n v="2"/>
    <n v="140"/>
    <x v="0"/>
    <n v="1.6"/>
    <n v="0"/>
    <n v="0"/>
    <n v="0"/>
    <n v="0"/>
    <n v="0"/>
    <n v="0"/>
    <n v="0"/>
    <n v="0"/>
    <n v="0.3"/>
    <n v="-0.3"/>
    <n v="0.3"/>
    <n v="0.2"/>
    <n v="0.5"/>
    <n v="6"/>
    <n v="4"/>
    <n v="8"/>
    <n v="0"/>
    <n v="0"/>
    <n v="0"/>
    <n v="0"/>
    <n v="0"/>
    <n v="0.21"/>
    <n v="0.14000000000000001"/>
    <n v="0.35"/>
    <n v="0.21"/>
    <n v="0.35"/>
    <x v="8"/>
  </r>
  <r>
    <x v="254"/>
    <s v="pt POR"/>
    <s v="pt"/>
    <s v="POR"/>
    <s v="FW"/>
    <x v="1"/>
    <n v="19"/>
    <x v="3"/>
    <n v="18"/>
    <n v="1"/>
    <n v="208"/>
    <x v="0"/>
    <n v="2.2999999999999998"/>
    <n v="0"/>
    <n v="0"/>
    <n v="0"/>
    <n v="0"/>
    <n v="0"/>
    <n v="0"/>
    <n v="3"/>
    <n v="0"/>
    <n v="0.7"/>
    <n v="-0.7"/>
    <n v="0.7"/>
    <n v="0.8"/>
    <n v="1.5"/>
    <n v="5"/>
    <n v="5"/>
    <n v="15"/>
    <n v="0"/>
    <n v="0"/>
    <n v="0"/>
    <n v="0"/>
    <n v="0"/>
    <n v="0.31"/>
    <n v="0.34"/>
    <n v="0.65"/>
    <n v="0.31"/>
    <n v="0.65"/>
    <x v="8"/>
  </r>
  <r>
    <x v="89"/>
    <s v="fr FRA"/>
    <s v="fr"/>
    <s v="FRA"/>
    <s v="FW"/>
    <x v="1"/>
    <n v="26"/>
    <x v="1"/>
    <n v="2"/>
    <n v="1"/>
    <n v="111"/>
    <x v="0"/>
    <n v="1.2"/>
    <n v="0"/>
    <n v="0"/>
    <n v="0"/>
    <n v="0"/>
    <n v="0"/>
    <n v="0"/>
    <n v="0"/>
    <n v="0"/>
    <n v="1.4"/>
    <n v="-1.4"/>
    <n v="1.4"/>
    <n v="0.1"/>
    <n v="1.5"/>
    <n v="1"/>
    <n v="0"/>
    <n v="6"/>
    <n v="0"/>
    <n v="0"/>
    <n v="0"/>
    <n v="0"/>
    <n v="0"/>
    <n v="1.1599999999999999"/>
    <n v="0.05"/>
    <n v="1.22"/>
    <n v="1.1599999999999999"/>
    <n v="1.22"/>
    <x v="8"/>
  </r>
  <r>
    <x v="255"/>
    <s v="ie IRL"/>
    <s v="ie"/>
    <s v="IRL"/>
    <s v="FW"/>
    <x v="1"/>
    <n v="20"/>
    <x v="0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8"/>
  </r>
  <r>
    <x v="256"/>
    <s v="eng ENG"/>
    <s v="eng"/>
    <s v="ENG"/>
    <s v="MF"/>
    <x v="0"/>
    <n v="20"/>
    <x v="0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8"/>
  </r>
  <r>
    <x v="257"/>
    <s v="eng ENG"/>
    <s v="eng"/>
    <s v="ENG"/>
    <s v="FW"/>
    <x v="1"/>
    <n v="20"/>
    <x v="0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8"/>
  </r>
  <r>
    <x v="258"/>
    <s v="es ESP"/>
    <s v="es"/>
    <s v="ESP"/>
    <s v="FW,MF"/>
    <x v="1"/>
    <n v="27"/>
    <x v="1"/>
    <n v="17"/>
    <n v="1"/>
    <n v="377"/>
    <x v="0"/>
    <n v="4.2"/>
    <n v="2"/>
    <n v="3"/>
    <n v="5"/>
    <n v="2"/>
    <n v="0"/>
    <n v="0"/>
    <n v="2"/>
    <n v="0"/>
    <n v="1.5"/>
    <n v="0.5"/>
    <n v="1.5"/>
    <n v="0.7"/>
    <n v="2.2000000000000002"/>
    <n v="29"/>
    <n v="16"/>
    <n v="48"/>
    <n v="0.48"/>
    <n v="0.72"/>
    <n v="1.19"/>
    <n v="0.48"/>
    <n v="1.19"/>
    <n v="0.36"/>
    <n v="0.17"/>
    <n v="0.53"/>
    <n v="0.36"/>
    <n v="0.53"/>
    <x v="9"/>
  </r>
  <r>
    <x v="187"/>
    <s v="al ALB"/>
    <s v="al"/>
    <s v="ALB"/>
    <s v="FW"/>
    <x v="1"/>
    <n v="21"/>
    <x v="0"/>
    <n v="8"/>
    <n v="0"/>
    <n v="88"/>
    <x v="0"/>
    <n v="1"/>
    <n v="0"/>
    <n v="1"/>
    <n v="1"/>
    <n v="0"/>
    <n v="0"/>
    <n v="0"/>
    <n v="0"/>
    <n v="0"/>
    <n v="0"/>
    <n v="0"/>
    <n v="0"/>
    <n v="0.4"/>
    <n v="0.4"/>
    <n v="2"/>
    <n v="2"/>
    <n v="7"/>
    <n v="0"/>
    <n v="1.02"/>
    <n v="1.02"/>
    <n v="0"/>
    <n v="1.02"/>
    <n v="0"/>
    <n v="0.41"/>
    <n v="0.41"/>
    <n v="0"/>
    <n v="0.41"/>
    <x v="9"/>
  </r>
  <r>
    <x v="259"/>
    <s v="br BRA"/>
    <s v="br"/>
    <s v="BRA"/>
    <s v="FW"/>
    <x v="1"/>
    <n v="28"/>
    <x v="1"/>
    <n v="13"/>
    <n v="2"/>
    <n v="315"/>
    <x v="0"/>
    <n v="3.5"/>
    <n v="2"/>
    <n v="0"/>
    <n v="2"/>
    <n v="2"/>
    <n v="0"/>
    <n v="0"/>
    <n v="2"/>
    <n v="0"/>
    <n v="1.6"/>
    <n v="0.39999999999999991"/>
    <n v="1.6"/>
    <n v="0.8"/>
    <n v="2.4"/>
    <n v="3"/>
    <n v="3"/>
    <n v="13"/>
    <n v="0.56999999999999995"/>
    <n v="0"/>
    <n v="0.56999999999999995"/>
    <n v="0.56999999999999995"/>
    <n v="0.56999999999999995"/>
    <n v="0.46"/>
    <n v="0.23"/>
    <n v="0.69"/>
    <n v="0.46"/>
    <n v="0.69"/>
    <x v="9"/>
  </r>
  <r>
    <x v="260"/>
    <s v="br BRA"/>
    <s v="br"/>
    <s v="BRA"/>
    <s v="FW"/>
    <x v="1"/>
    <n v="22"/>
    <x v="0"/>
    <n v="26"/>
    <n v="18"/>
    <n v="1593"/>
    <x v="1"/>
    <n v="17.7"/>
    <n v="9"/>
    <n v="1"/>
    <n v="10"/>
    <n v="9"/>
    <n v="0"/>
    <n v="0"/>
    <n v="1"/>
    <n v="0"/>
    <n v="8.6999999999999993"/>
    <n v="0.30000000000000071"/>
    <n v="8.6999999999999993"/>
    <n v="2"/>
    <n v="10.7"/>
    <n v="8"/>
    <n v="19"/>
    <n v="76"/>
    <n v="0.51"/>
    <n v="0.06"/>
    <n v="0.56000000000000005"/>
    <n v="0.51"/>
    <n v="0.56000000000000005"/>
    <n v="0.49"/>
    <n v="0.12"/>
    <n v="0.61"/>
    <n v="0.49"/>
    <n v="0.61"/>
    <x v="9"/>
  </r>
  <r>
    <x v="261"/>
    <s v="wls WAL"/>
    <s v="wls"/>
    <s v="WAL"/>
    <s v="FW"/>
    <x v="1"/>
    <n v="26"/>
    <x v="1"/>
    <n v="35"/>
    <n v="16"/>
    <n v="1620"/>
    <x v="1"/>
    <n v="18"/>
    <n v="4"/>
    <n v="6"/>
    <n v="10"/>
    <n v="4"/>
    <n v="0"/>
    <n v="0"/>
    <n v="6"/>
    <n v="0"/>
    <n v="3.4"/>
    <n v="0.60000000000000009"/>
    <n v="3.4"/>
    <n v="3.5"/>
    <n v="6.8"/>
    <n v="41"/>
    <n v="60"/>
    <n v="130"/>
    <n v="0.22"/>
    <n v="0.33"/>
    <n v="0.56000000000000005"/>
    <n v="0.22"/>
    <n v="0.56000000000000005"/>
    <n v="0.19"/>
    <n v="0.19"/>
    <n v="0.38"/>
    <n v="0.19"/>
    <n v="0.38"/>
    <x v="9"/>
  </r>
  <r>
    <x v="262"/>
    <s v="jm JAM"/>
    <s v="jm"/>
    <s v="JAM"/>
    <s v="FW"/>
    <x v="1"/>
    <n v="30"/>
    <x v="2"/>
    <n v="33"/>
    <n v="17"/>
    <n v="1423"/>
    <x v="1"/>
    <n v="15.8"/>
    <n v="6"/>
    <n v="2"/>
    <n v="8"/>
    <n v="6"/>
    <n v="0"/>
    <n v="0"/>
    <n v="4"/>
    <n v="0"/>
    <n v="4.5999999999999996"/>
    <n v="1.4000000000000004"/>
    <n v="4.5999999999999996"/>
    <n v="1.8"/>
    <n v="6.4"/>
    <n v="35"/>
    <n v="47"/>
    <n v="95"/>
    <n v="0.38"/>
    <n v="0.13"/>
    <n v="0.51"/>
    <n v="0.38"/>
    <n v="0.51"/>
    <n v="0.28000000000000003"/>
    <n v="0.11"/>
    <n v="0.4"/>
    <n v="0.28000000000000003"/>
    <n v="0.4"/>
    <x v="9"/>
  </r>
  <r>
    <x v="263"/>
    <s v="mx MEX"/>
    <s v="mx"/>
    <s v="MEX"/>
    <s v="FW"/>
    <x v="1"/>
    <n v="32"/>
    <x v="2"/>
    <n v="24"/>
    <n v="18"/>
    <n v="1395"/>
    <x v="1"/>
    <n v="15.5"/>
    <n v="7"/>
    <n v="0"/>
    <n v="7"/>
    <n v="7"/>
    <n v="0"/>
    <n v="0"/>
    <n v="3"/>
    <n v="1"/>
    <n v="5.2"/>
    <n v="1.7999999999999998"/>
    <n v="5.2"/>
    <n v="1.5"/>
    <n v="6.6"/>
    <n v="11"/>
    <n v="24"/>
    <n v="87"/>
    <n v="0.45"/>
    <n v="0"/>
    <n v="0.45"/>
    <n v="0.45"/>
    <n v="0.45"/>
    <n v="0.33"/>
    <n v="0.1"/>
    <n v="0.43"/>
    <n v="0.33"/>
    <n v="0.43"/>
    <x v="9"/>
  </r>
  <r>
    <x v="264"/>
    <s v="br BRA"/>
    <s v="br"/>
    <s v="BRA"/>
    <s v="MF"/>
    <x v="0"/>
    <n v="27"/>
    <x v="1"/>
    <n v="37"/>
    <n v="34"/>
    <n v="2613"/>
    <x v="1"/>
    <n v="29"/>
    <n v="3"/>
    <n v="7"/>
    <n v="10"/>
    <n v="3"/>
    <n v="0"/>
    <n v="0"/>
    <n v="6"/>
    <n v="0"/>
    <n v="4.5999999999999996"/>
    <n v="-1.5999999999999996"/>
    <n v="4.5999999999999996"/>
    <n v="7.1"/>
    <n v="11.7"/>
    <n v="56"/>
    <n v="138"/>
    <n v="125"/>
    <n v="0.1"/>
    <n v="0.24"/>
    <n v="0.34"/>
    <n v="0.1"/>
    <n v="0.34"/>
    <n v="0.16"/>
    <n v="0.24"/>
    <n v="0.4"/>
    <n v="0.16"/>
    <n v="0.4"/>
    <x v="9"/>
  </r>
  <r>
    <x v="265"/>
    <s v="sct SCO"/>
    <s v="sct"/>
    <s v="SCO"/>
    <s v="MF"/>
    <x v="0"/>
    <n v="32"/>
    <x v="2"/>
    <n v="34"/>
    <n v="14"/>
    <n v="1488"/>
    <x v="1"/>
    <n v="16.5"/>
    <n v="1"/>
    <n v="4"/>
    <n v="5"/>
    <n v="1"/>
    <n v="0"/>
    <n v="0"/>
    <n v="3"/>
    <n v="0"/>
    <n v="1.1000000000000001"/>
    <n v="-0.10000000000000009"/>
    <n v="1.1000000000000001"/>
    <n v="2.2999999999999998"/>
    <n v="3.4"/>
    <n v="35"/>
    <n v="145"/>
    <n v="72"/>
    <n v="0.06"/>
    <n v="0.24"/>
    <n v="0.3"/>
    <n v="0.06"/>
    <n v="0.3"/>
    <n v="7.0000000000000007E-2"/>
    <n v="0.14000000000000001"/>
    <n v="0.2"/>
    <n v="7.0000000000000007E-2"/>
    <n v="0.2"/>
    <x v="9"/>
  </r>
  <r>
    <x v="253"/>
    <s v="ng NGA"/>
    <s v="ng"/>
    <s v="NGA"/>
    <s v="FW,MF"/>
    <x v="1"/>
    <n v="27"/>
    <x v="1"/>
    <n v="30"/>
    <n v="25"/>
    <n v="2192"/>
    <x v="1"/>
    <n v="24.4"/>
    <n v="5"/>
    <n v="2"/>
    <n v="7"/>
    <n v="5"/>
    <n v="0"/>
    <n v="0"/>
    <n v="2"/>
    <n v="0"/>
    <n v="5.3"/>
    <n v="-0.29999999999999982"/>
    <n v="5.3"/>
    <n v="4.7"/>
    <n v="10"/>
    <n v="109"/>
    <n v="147"/>
    <n v="175"/>
    <n v="0.21"/>
    <n v="0.08"/>
    <n v="0.28999999999999998"/>
    <n v="0.21"/>
    <n v="0.28999999999999998"/>
    <n v="0.22"/>
    <n v="0.19"/>
    <n v="0.41"/>
    <n v="0.22"/>
    <n v="0.41"/>
    <x v="9"/>
  </r>
  <r>
    <x v="266"/>
    <s v="br BRA"/>
    <s v="br"/>
    <s v="BRA"/>
    <s v="FW"/>
    <x v="1"/>
    <n v="34"/>
    <x v="2"/>
    <n v="31"/>
    <n v="24"/>
    <n v="2053"/>
    <x v="1"/>
    <n v="22.8"/>
    <n v="4"/>
    <n v="2"/>
    <n v="6"/>
    <n v="2"/>
    <n v="2"/>
    <n v="2"/>
    <n v="1"/>
    <n v="0"/>
    <n v="5.0999999999999996"/>
    <n v="-1.0999999999999996"/>
    <n v="3.6"/>
    <n v="3.9"/>
    <n v="7.5"/>
    <n v="92"/>
    <n v="153"/>
    <n v="181"/>
    <n v="0.18"/>
    <n v="0.09"/>
    <n v="0.26"/>
    <n v="0.09"/>
    <n v="0.18"/>
    <n v="0.22"/>
    <n v="0.17"/>
    <n v="0.4"/>
    <n v="0.16"/>
    <n v="0.33"/>
    <x v="9"/>
  </r>
  <r>
    <x v="267"/>
    <s v="us USA"/>
    <s v="us"/>
    <s v="USA"/>
    <s v="DF"/>
    <x v="2"/>
    <n v="25"/>
    <x v="1"/>
    <n v="37"/>
    <n v="37"/>
    <n v="3265"/>
    <x v="1"/>
    <n v="36.299999999999997"/>
    <n v="0"/>
    <n v="6"/>
    <n v="6"/>
    <n v="0"/>
    <n v="0"/>
    <n v="0"/>
    <n v="6"/>
    <n v="0"/>
    <n v="0.7"/>
    <n v="-0.7"/>
    <n v="0.7"/>
    <n v="4.2"/>
    <n v="4.8"/>
    <n v="99"/>
    <n v="129"/>
    <n v="194"/>
    <n v="0"/>
    <n v="0.17"/>
    <n v="0.17"/>
    <n v="0"/>
    <n v="0.17"/>
    <n v="0.02"/>
    <n v="0.11"/>
    <n v="0.13"/>
    <n v="0.02"/>
    <n v="0.13"/>
    <x v="9"/>
  </r>
  <r>
    <x v="268"/>
    <s v="pt POR"/>
    <s v="pt"/>
    <s v="POR"/>
    <s v="MF"/>
    <x v="0"/>
    <n v="28"/>
    <x v="1"/>
    <n v="33"/>
    <n v="31"/>
    <n v="2699"/>
    <x v="1"/>
    <n v="30"/>
    <n v="4"/>
    <n v="1"/>
    <n v="5"/>
    <n v="4"/>
    <n v="0"/>
    <n v="0"/>
    <n v="13"/>
    <n v="0"/>
    <n v="3.3"/>
    <n v="0.70000000000000018"/>
    <n v="3.3"/>
    <n v="0.8"/>
    <n v="4.0999999999999996"/>
    <n v="8"/>
    <n v="97"/>
    <n v="14"/>
    <n v="0.13"/>
    <n v="0.03"/>
    <n v="0.17"/>
    <n v="0.13"/>
    <n v="0.17"/>
    <n v="0.11"/>
    <n v="0.03"/>
    <n v="0.14000000000000001"/>
    <n v="0.11"/>
    <n v="0.14000000000000001"/>
    <x v="9"/>
  </r>
  <r>
    <x v="269"/>
    <s v="be BEL"/>
    <s v="be"/>
    <s v="BEL"/>
    <s v="DF"/>
    <x v="2"/>
    <n v="27"/>
    <x v="1"/>
    <n v="34"/>
    <n v="29"/>
    <n v="2634"/>
    <x v="1"/>
    <n v="29.3"/>
    <n v="1"/>
    <n v="3"/>
    <n v="4"/>
    <n v="1"/>
    <n v="0"/>
    <n v="0"/>
    <n v="3"/>
    <n v="0"/>
    <n v="1.6"/>
    <n v="-0.60000000000000009"/>
    <n v="1.6"/>
    <n v="1.9"/>
    <n v="3.5"/>
    <n v="48"/>
    <n v="77"/>
    <n v="113"/>
    <n v="0.03"/>
    <n v="0.1"/>
    <n v="0.14000000000000001"/>
    <n v="0.03"/>
    <n v="0.14000000000000001"/>
    <n v="0.06"/>
    <n v="7.0000000000000007E-2"/>
    <n v="0.12"/>
    <n v="0.06"/>
    <n v="0.12"/>
    <x v="9"/>
  </r>
  <r>
    <x v="270"/>
    <s v="eng ENG"/>
    <s v="eng"/>
    <s v="ENG"/>
    <s v="MF"/>
    <x v="0"/>
    <n v="28"/>
    <x v="1"/>
    <n v="27"/>
    <n v="15"/>
    <n v="1325"/>
    <x v="1"/>
    <n v="14.7"/>
    <n v="0"/>
    <n v="2"/>
    <n v="2"/>
    <n v="0"/>
    <n v="0"/>
    <n v="0"/>
    <n v="6"/>
    <n v="0"/>
    <n v="0.3"/>
    <n v="-0.3"/>
    <n v="0.3"/>
    <n v="1.1000000000000001"/>
    <n v="1.4"/>
    <n v="10"/>
    <n v="56"/>
    <n v="40"/>
    <n v="0"/>
    <n v="0.14000000000000001"/>
    <n v="0.14000000000000001"/>
    <n v="0"/>
    <n v="0.14000000000000001"/>
    <n v="0.02"/>
    <n v="7.0000000000000007E-2"/>
    <n v="0.09"/>
    <n v="0.02"/>
    <n v="0.09"/>
    <x v="9"/>
  </r>
  <r>
    <x v="271"/>
    <s v="eng ENG"/>
    <s v="eng"/>
    <s v="ENG"/>
    <s v="DF"/>
    <x v="2"/>
    <n v="25"/>
    <x v="1"/>
    <n v="20"/>
    <n v="18"/>
    <n v="1617"/>
    <x v="1"/>
    <n v="18"/>
    <n v="2"/>
    <n v="0"/>
    <n v="2"/>
    <n v="2"/>
    <n v="0"/>
    <n v="0"/>
    <n v="2"/>
    <n v="0"/>
    <n v="0.7"/>
    <n v="1.3"/>
    <n v="0.7"/>
    <n v="0.1"/>
    <n v="0.8"/>
    <n v="10"/>
    <n v="62"/>
    <n v="5"/>
    <n v="0.11"/>
    <n v="0"/>
    <n v="0.11"/>
    <n v="0.11"/>
    <n v="0.11"/>
    <n v="0.04"/>
    <n v="0.01"/>
    <n v="0.05"/>
    <n v="0.04"/>
    <n v="0.05"/>
    <x v="9"/>
  </r>
  <r>
    <x v="272"/>
    <s v="nl NED"/>
    <s v="nl"/>
    <s v="NED"/>
    <s v="DF"/>
    <x v="2"/>
    <n v="27"/>
    <x v="1"/>
    <n v="14"/>
    <n v="10"/>
    <n v="867"/>
    <x v="0"/>
    <n v="9.6"/>
    <n v="1"/>
    <n v="0"/>
    <n v="1"/>
    <n v="1"/>
    <n v="0"/>
    <n v="0"/>
    <n v="2"/>
    <n v="0"/>
    <n v="0.9"/>
    <n v="9.9999999999999978E-2"/>
    <n v="0.9"/>
    <n v="0.4"/>
    <n v="1.2"/>
    <n v="20"/>
    <n v="54"/>
    <n v="38"/>
    <n v="0.1"/>
    <n v="0"/>
    <n v="0.1"/>
    <n v="0.1"/>
    <n v="0.1"/>
    <n v="0.09"/>
    <n v="0.04"/>
    <n v="0.13"/>
    <n v="0.09"/>
    <n v="0.13"/>
    <x v="9"/>
  </r>
  <r>
    <x v="273"/>
    <s v="rs SRB"/>
    <s v="rs"/>
    <s v="SRB"/>
    <s v="MF"/>
    <x v="0"/>
    <n v="26"/>
    <x v="1"/>
    <n v="24"/>
    <n v="13"/>
    <n v="1122"/>
    <x v="1"/>
    <n v="12.5"/>
    <n v="1"/>
    <n v="0"/>
    <n v="1"/>
    <n v="1"/>
    <n v="0"/>
    <n v="0"/>
    <n v="3"/>
    <n v="0"/>
    <n v="1.6"/>
    <n v="-0.60000000000000009"/>
    <n v="1.6"/>
    <n v="0.8"/>
    <n v="2.4"/>
    <n v="12"/>
    <n v="43"/>
    <n v="27"/>
    <n v="0.08"/>
    <n v="0"/>
    <n v="0.08"/>
    <n v="0.08"/>
    <n v="0.08"/>
    <n v="0.13"/>
    <n v="0.06"/>
    <n v="0.19"/>
    <n v="0.13"/>
    <n v="0.19"/>
    <x v="9"/>
  </r>
  <r>
    <x v="274"/>
    <s v="us USA"/>
    <s v="us"/>
    <s v="USA"/>
    <s v="DF"/>
    <x v="2"/>
    <n v="35"/>
    <x v="4"/>
    <n v="18"/>
    <n v="17"/>
    <n v="1503"/>
    <x v="1"/>
    <n v="16.7"/>
    <n v="1"/>
    <n v="0"/>
    <n v="1"/>
    <n v="1"/>
    <n v="0"/>
    <n v="0"/>
    <n v="4"/>
    <n v="1"/>
    <n v="1"/>
    <n v="0"/>
    <n v="1"/>
    <n v="0"/>
    <n v="1"/>
    <n v="11"/>
    <n v="65"/>
    <n v="3"/>
    <n v="0.06"/>
    <n v="0"/>
    <n v="0.06"/>
    <n v="0.06"/>
    <n v="0.06"/>
    <n v="0.06"/>
    <n v="0"/>
    <n v="0.06"/>
    <n v="0.06"/>
    <n v="0.06"/>
    <x v="9"/>
  </r>
  <r>
    <x v="275"/>
    <s v="ng NGA"/>
    <s v="ng"/>
    <s v="NGA"/>
    <s v="DF"/>
    <x v="2"/>
    <n v="23"/>
    <x v="0"/>
    <n v="29"/>
    <n v="25"/>
    <n v="2303"/>
    <x v="1"/>
    <n v="25.6"/>
    <n v="1"/>
    <n v="0"/>
    <n v="1"/>
    <n v="1"/>
    <n v="0"/>
    <n v="0"/>
    <n v="6"/>
    <n v="1"/>
    <n v="0.3"/>
    <n v="0.7"/>
    <n v="0.3"/>
    <n v="0"/>
    <n v="0.4"/>
    <n v="15"/>
    <n v="62"/>
    <n v="4"/>
    <n v="0.04"/>
    <n v="0"/>
    <n v="0.04"/>
    <n v="0.04"/>
    <n v="0.04"/>
    <n v="0.01"/>
    <n v="0"/>
    <n v="0.01"/>
    <n v="0.01"/>
    <n v="0.01"/>
    <x v="9"/>
  </r>
  <r>
    <x v="276"/>
    <s v="de GER"/>
    <s v="de"/>
    <s v="GER"/>
    <s v="GK"/>
    <x v="3"/>
    <n v="31"/>
    <x v="2"/>
    <n v="38"/>
    <n v="38"/>
    <n v="3420"/>
    <x v="1"/>
    <n v="38"/>
    <n v="0"/>
    <n v="0"/>
    <n v="0"/>
    <n v="0"/>
    <n v="0"/>
    <n v="0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9"/>
  </r>
  <r>
    <x v="277"/>
    <s v="fr FRA"/>
    <s v="fr"/>
    <s v="FRA"/>
    <s v="DF"/>
    <x v="2"/>
    <n v="26"/>
    <x v="1"/>
    <n v="18"/>
    <n v="16"/>
    <n v="1424"/>
    <x v="1"/>
    <n v="15.8"/>
    <n v="0"/>
    <n v="0"/>
    <n v="0"/>
    <n v="0"/>
    <n v="0"/>
    <n v="0"/>
    <n v="4"/>
    <n v="1"/>
    <n v="0.3"/>
    <n v="-0.3"/>
    <n v="0.3"/>
    <n v="0"/>
    <n v="0.3"/>
    <n v="11"/>
    <n v="66"/>
    <n v="1"/>
    <n v="0"/>
    <n v="0"/>
    <n v="0"/>
    <n v="0"/>
    <n v="0"/>
    <n v="0.02"/>
    <n v="0"/>
    <n v="0.02"/>
    <n v="0.02"/>
    <n v="0.02"/>
    <x v="9"/>
  </r>
  <r>
    <x v="278"/>
    <s v="wls WAL"/>
    <s v="wls"/>
    <s v="WAL"/>
    <s v="MF"/>
    <x v="0"/>
    <n v="18"/>
    <x v="3"/>
    <n v="1"/>
    <n v="0"/>
    <n v="75"/>
    <x v="0"/>
    <n v="0.8"/>
    <n v="0"/>
    <n v="0"/>
    <n v="0"/>
    <n v="0"/>
    <n v="0"/>
    <n v="0"/>
    <n v="0"/>
    <n v="0"/>
    <n v="0.3"/>
    <n v="-0.3"/>
    <n v="0.3"/>
    <n v="0"/>
    <n v="0.3"/>
    <n v="0"/>
    <n v="1"/>
    <n v="0"/>
    <n v="0"/>
    <n v="0"/>
    <n v="0"/>
    <n v="0"/>
    <n v="0"/>
    <n v="0.33"/>
    <n v="0"/>
    <n v="0.33"/>
    <n v="0.33"/>
    <n v="0.33"/>
    <x v="9"/>
  </r>
  <r>
    <x v="279"/>
    <s v="sn SEN"/>
    <s v="sn"/>
    <s v="SEN"/>
    <s v="DF,MF"/>
    <x v="2"/>
    <n v="26"/>
    <x v="1"/>
    <n v="6"/>
    <n v="0"/>
    <n v="71"/>
    <x v="0"/>
    <n v="0.8"/>
    <n v="0"/>
    <n v="0"/>
    <n v="0"/>
    <n v="0"/>
    <n v="0"/>
    <n v="0"/>
    <n v="1"/>
    <n v="0"/>
    <n v="0"/>
    <n v="0"/>
    <n v="0"/>
    <n v="0"/>
    <n v="0"/>
    <n v="5"/>
    <n v="0"/>
    <n v="4"/>
    <n v="0"/>
    <n v="0"/>
    <n v="0"/>
    <n v="0"/>
    <n v="0"/>
    <n v="0"/>
    <n v="0"/>
    <n v="0"/>
    <n v="0"/>
    <n v="0"/>
    <x v="9"/>
  </r>
  <r>
    <x v="280"/>
    <s v="rs SRB"/>
    <s v="rs"/>
    <s v="SRB"/>
    <s v="FW"/>
    <x v="1"/>
    <n v="28"/>
    <x v="1"/>
    <n v="1"/>
    <n v="0"/>
    <n v="33"/>
    <x v="0"/>
    <n v="0.4"/>
    <n v="0"/>
    <n v="0"/>
    <n v="0"/>
    <n v="0"/>
    <n v="0"/>
    <n v="0"/>
    <n v="0"/>
    <n v="0"/>
    <n v="0.2"/>
    <n v="-0.2"/>
    <n v="0.2"/>
    <n v="0"/>
    <n v="0.2"/>
    <n v="0"/>
    <n v="1"/>
    <n v="0"/>
    <n v="0"/>
    <n v="0"/>
    <n v="0"/>
    <n v="0"/>
    <n v="0"/>
    <n v="0.44"/>
    <n v="0"/>
    <n v="0.44"/>
    <n v="0.44"/>
    <n v="0.44"/>
    <x v="9"/>
  </r>
  <r>
    <x v="281"/>
    <s v="pt POR"/>
    <s v="pt"/>
    <s v="POR"/>
    <s v="FW"/>
    <x v="1"/>
    <n v="26"/>
    <x v="1"/>
    <n v="21"/>
    <n v="14"/>
    <n v="1145"/>
    <x v="1"/>
    <n v="12.7"/>
    <n v="10"/>
    <n v="3"/>
    <n v="13"/>
    <n v="10"/>
    <n v="0"/>
    <n v="0"/>
    <n v="3"/>
    <n v="1"/>
    <n v="5.3"/>
    <n v="4.7"/>
    <n v="5.3"/>
    <n v="3.3"/>
    <n v="8.6"/>
    <n v="54"/>
    <n v="34"/>
    <n v="111"/>
    <n v="0.79"/>
    <n v="0.24"/>
    <n v="1.02"/>
    <n v="0.79"/>
    <n v="1.02"/>
    <n v="0.42"/>
    <n v="0.26"/>
    <n v="0.68"/>
    <n v="0.42"/>
    <n v="0.68"/>
    <x v="10"/>
  </r>
  <r>
    <x v="282"/>
    <s v="eg EGY"/>
    <s v="eg"/>
    <s v="EGY"/>
    <s v="FW"/>
    <x v="1"/>
    <n v="31"/>
    <x v="2"/>
    <n v="32"/>
    <n v="28"/>
    <n v="2534"/>
    <x v="1"/>
    <n v="28.2"/>
    <n v="18"/>
    <n v="10"/>
    <n v="28"/>
    <n v="13"/>
    <n v="5"/>
    <n v="7"/>
    <n v="2"/>
    <n v="0"/>
    <n v="21.2"/>
    <n v="-3.1999999999999993"/>
    <n v="15.5"/>
    <n v="11.8"/>
    <n v="27.3"/>
    <n v="98"/>
    <n v="147"/>
    <n v="341"/>
    <n v="0.64"/>
    <n v="0.36"/>
    <n v="0.99"/>
    <n v="0.46"/>
    <n v="0.82"/>
    <n v="0.75"/>
    <n v="0.42"/>
    <n v="1.17"/>
    <n v="0.55000000000000004"/>
    <n v="0.97"/>
    <x v="10"/>
  </r>
  <r>
    <x v="283"/>
    <s v="uy URU"/>
    <s v="uy"/>
    <s v="URU"/>
    <s v="FW"/>
    <x v="1"/>
    <n v="24"/>
    <x v="1"/>
    <n v="36"/>
    <n v="22"/>
    <n v="2047"/>
    <x v="1"/>
    <n v="22.7"/>
    <n v="11"/>
    <n v="8"/>
    <n v="19"/>
    <n v="11"/>
    <n v="0"/>
    <n v="1"/>
    <n v="9"/>
    <n v="0"/>
    <n v="16.3"/>
    <n v="-5.3000000000000007"/>
    <n v="15.5"/>
    <n v="6"/>
    <n v="21.5"/>
    <n v="58"/>
    <n v="54"/>
    <n v="206"/>
    <n v="0.48"/>
    <n v="0.35"/>
    <n v="0.84"/>
    <n v="0.48"/>
    <n v="0.84"/>
    <n v="0.72"/>
    <n v="0.27"/>
    <n v="0.98"/>
    <n v="0.68"/>
    <n v="0.95"/>
    <x v="10"/>
  </r>
  <r>
    <x v="284"/>
    <s v="nl NED"/>
    <s v="nl"/>
    <s v="NED"/>
    <s v="FW,MF"/>
    <x v="1"/>
    <n v="24"/>
    <x v="1"/>
    <n v="35"/>
    <n v="17"/>
    <n v="1649"/>
    <x v="1"/>
    <n v="18.3"/>
    <n v="8"/>
    <n v="5"/>
    <n v="13"/>
    <n v="8"/>
    <n v="0"/>
    <n v="0"/>
    <n v="1"/>
    <n v="0"/>
    <n v="9"/>
    <n v="-1"/>
    <n v="9"/>
    <n v="2.9"/>
    <n v="11.8"/>
    <n v="43"/>
    <n v="83"/>
    <n v="130"/>
    <n v="0.44"/>
    <n v="0.27"/>
    <n v="0.71"/>
    <n v="0.44"/>
    <n v="0.71"/>
    <n v="0.49"/>
    <n v="0.16"/>
    <n v="0.64"/>
    <n v="0.49"/>
    <n v="0.64"/>
    <x v="10"/>
  </r>
  <r>
    <x v="285"/>
    <s v="eng ENG"/>
    <s v="eng"/>
    <s v="ENG"/>
    <s v="MF,FW"/>
    <x v="0"/>
    <n v="20"/>
    <x v="0"/>
    <n v="34"/>
    <n v="11"/>
    <n v="1352"/>
    <x v="1"/>
    <n v="15"/>
    <n v="3"/>
    <n v="6"/>
    <n v="9"/>
    <n v="3"/>
    <n v="0"/>
    <n v="0"/>
    <n v="2"/>
    <n v="0"/>
    <n v="2.7"/>
    <n v="0.29999999999999982"/>
    <n v="2.7"/>
    <n v="3.5"/>
    <n v="6.2"/>
    <n v="44"/>
    <n v="128"/>
    <n v="122"/>
    <n v="0.2"/>
    <n v="0.4"/>
    <n v="0.6"/>
    <n v="0.2"/>
    <n v="0.6"/>
    <n v="0.18"/>
    <n v="0.23"/>
    <n v="0.42"/>
    <n v="0.18"/>
    <n v="0.42"/>
    <x v="10"/>
  </r>
  <r>
    <x v="286"/>
    <s v="nir NIR"/>
    <s v="nir"/>
    <s v="NIR"/>
    <s v="DF"/>
    <x v="2"/>
    <n v="20"/>
    <x v="0"/>
    <n v="11"/>
    <n v="10"/>
    <n v="753"/>
    <x v="0"/>
    <n v="8.4"/>
    <n v="1"/>
    <n v="3"/>
    <n v="4"/>
    <n v="1"/>
    <n v="0"/>
    <n v="0"/>
    <n v="2"/>
    <n v="0"/>
    <n v="0.9"/>
    <n v="9.9999999999999978E-2"/>
    <n v="0.9"/>
    <n v="1.5"/>
    <n v="2.2999999999999998"/>
    <n v="35"/>
    <n v="29"/>
    <n v="64"/>
    <n v="0.12"/>
    <n v="0.36"/>
    <n v="0.48"/>
    <n v="0.12"/>
    <n v="0.48"/>
    <n v="0.1"/>
    <n v="0.17"/>
    <n v="0.28000000000000003"/>
    <n v="0.1"/>
    <n v="0.28000000000000003"/>
    <x v="10"/>
  </r>
  <r>
    <x v="287"/>
    <s v="co COL"/>
    <s v="co"/>
    <s v="COL"/>
    <s v="FW"/>
    <x v="1"/>
    <n v="26"/>
    <x v="1"/>
    <n v="37"/>
    <n v="32"/>
    <n v="2629"/>
    <x v="1"/>
    <n v="29.2"/>
    <n v="8"/>
    <n v="5"/>
    <n v="13"/>
    <n v="8"/>
    <n v="0"/>
    <n v="0"/>
    <n v="3"/>
    <n v="0"/>
    <n v="11.9"/>
    <n v="-3.9000000000000004"/>
    <n v="11.9"/>
    <n v="5.7"/>
    <n v="17.5"/>
    <n v="137"/>
    <n v="113"/>
    <n v="302"/>
    <n v="0.27"/>
    <n v="0.17"/>
    <n v="0.45"/>
    <n v="0.27"/>
    <n v="0.45"/>
    <n v="0.41"/>
    <n v="0.19"/>
    <n v="0.6"/>
    <n v="0.41"/>
    <n v="0.6"/>
    <x v="10"/>
  </r>
  <r>
    <x v="288"/>
    <s v="gr GRE"/>
    <s v="gr"/>
    <s v="GRE"/>
    <s v="DF"/>
    <x v="2"/>
    <n v="27"/>
    <x v="1"/>
    <n v="13"/>
    <n v="8"/>
    <n v="679"/>
    <x v="0"/>
    <n v="7.5"/>
    <n v="0"/>
    <n v="3"/>
    <n v="3"/>
    <n v="0"/>
    <n v="0"/>
    <n v="0"/>
    <n v="0"/>
    <n v="0"/>
    <n v="0.1"/>
    <n v="-0.1"/>
    <n v="0.1"/>
    <n v="1"/>
    <n v="1.1000000000000001"/>
    <n v="24"/>
    <n v="31"/>
    <n v="73"/>
    <n v="0"/>
    <n v="0.4"/>
    <n v="0.4"/>
    <n v="0"/>
    <n v="0.4"/>
    <n v="0.01"/>
    <n v="0.14000000000000001"/>
    <n v="0.15"/>
    <n v="0.01"/>
    <n v="0.15"/>
    <x v="10"/>
  </r>
  <r>
    <x v="289"/>
    <s v="ar ARG"/>
    <s v="ar"/>
    <s v="ARG"/>
    <s v="MF"/>
    <x v="0"/>
    <n v="24"/>
    <x v="1"/>
    <n v="33"/>
    <n v="31"/>
    <n v="2599"/>
    <x v="1"/>
    <n v="28.9"/>
    <n v="5"/>
    <n v="5"/>
    <n v="10"/>
    <n v="4"/>
    <n v="1"/>
    <n v="1"/>
    <n v="7"/>
    <n v="1"/>
    <n v="3.7"/>
    <n v="1.2999999999999998"/>
    <n v="2.9"/>
    <n v="3.6"/>
    <n v="6.4"/>
    <n v="44"/>
    <n v="209"/>
    <n v="48"/>
    <n v="0.17"/>
    <n v="0.17"/>
    <n v="0.35"/>
    <n v="0.14000000000000001"/>
    <n v="0.31"/>
    <n v="0.13"/>
    <n v="0.12"/>
    <n v="0.25"/>
    <n v="0.1"/>
    <n v="0.22"/>
    <x v="10"/>
  </r>
  <r>
    <x v="290"/>
    <s v="eng ENG"/>
    <s v="eng"/>
    <s v="ENG"/>
    <s v="DF"/>
    <x v="2"/>
    <n v="24"/>
    <x v="1"/>
    <n v="28"/>
    <n v="25"/>
    <n v="2155"/>
    <x v="1"/>
    <n v="23.9"/>
    <n v="3"/>
    <n v="4"/>
    <n v="7"/>
    <n v="3"/>
    <n v="0"/>
    <n v="0"/>
    <n v="6"/>
    <n v="0"/>
    <n v="2.6"/>
    <n v="0.39999999999999991"/>
    <n v="2.2999999999999998"/>
    <n v="7.2"/>
    <n v="9.5"/>
    <n v="45"/>
    <n v="205"/>
    <n v="97"/>
    <n v="0.13"/>
    <n v="0.17"/>
    <n v="0.28999999999999998"/>
    <n v="0.13"/>
    <n v="0.28999999999999998"/>
    <n v="0.11"/>
    <n v="0.3"/>
    <n v="0.41"/>
    <n v="0.1"/>
    <n v="0.4"/>
    <x v="10"/>
  </r>
  <r>
    <x v="291"/>
    <s v="sct SCO"/>
    <s v="sct"/>
    <s v="SCO"/>
    <s v="DF"/>
    <x v="2"/>
    <n v="29"/>
    <x v="1"/>
    <n v="23"/>
    <n v="18"/>
    <n v="1693"/>
    <x v="1"/>
    <n v="18.8"/>
    <n v="3"/>
    <n v="2"/>
    <n v="5"/>
    <n v="3"/>
    <n v="0"/>
    <n v="0"/>
    <n v="2"/>
    <n v="0"/>
    <n v="1.9"/>
    <n v="1.1000000000000001"/>
    <n v="1.9"/>
    <n v="5.4"/>
    <n v="7.3"/>
    <n v="63"/>
    <n v="140"/>
    <n v="130"/>
    <n v="0.16"/>
    <n v="0.11"/>
    <n v="0.27"/>
    <n v="0.16"/>
    <n v="0.27"/>
    <n v="0.1"/>
    <n v="0.28999999999999998"/>
    <n v="0.39"/>
    <n v="0.1"/>
    <n v="0.39"/>
    <x v="10"/>
  </r>
  <r>
    <x v="292"/>
    <s v="hu HUN"/>
    <s v="hu"/>
    <s v="HUN"/>
    <s v="MF"/>
    <x v="0"/>
    <n v="22"/>
    <x v="0"/>
    <n v="33"/>
    <n v="25"/>
    <n v="2104"/>
    <x v="1"/>
    <n v="23.4"/>
    <n v="3"/>
    <n v="2"/>
    <n v="5"/>
    <n v="3"/>
    <n v="0"/>
    <n v="0"/>
    <n v="1"/>
    <n v="0"/>
    <n v="3.7"/>
    <n v="-0.70000000000000018"/>
    <n v="3.7"/>
    <n v="5.8"/>
    <n v="9.5"/>
    <n v="75"/>
    <n v="152"/>
    <n v="160"/>
    <n v="0.13"/>
    <n v="0.09"/>
    <n v="0.21"/>
    <n v="0.13"/>
    <n v="0.21"/>
    <n v="0.16"/>
    <n v="0.25"/>
    <n v="0.4"/>
    <n v="0.16"/>
    <n v="0.4"/>
    <x v="10"/>
  </r>
  <r>
    <x v="293"/>
    <s v="eng ENG"/>
    <s v="eng"/>
    <s v="ENG"/>
    <s v="MF"/>
    <x v="0"/>
    <n v="22"/>
    <x v="0"/>
    <n v="23"/>
    <n v="14"/>
    <n v="1167"/>
    <x v="1"/>
    <n v="13"/>
    <n v="1"/>
    <n v="1"/>
    <n v="2"/>
    <n v="1"/>
    <n v="0"/>
    <n v="0"/>
    <n v="3"/>
    <n v="1"/>
    <n v="2.6"/>
    <n v="-1.6"/>
    <n v="2.6"/>
    <n v="0.7"/>
    <n v="3.3"/>
    <n v="31"/>
    <n v="74"/>
    <n v="88"/>
    <n v="0.08"/>
    <n v="0.08"/>
    <n v="0.15"/>
    <n v="0.08"/>
    <n v="0.15"/>
    <n v="0.2"/>
    <n v="0.05"/>
    <n v="0.25"/>
    <n v="0.2"/>
    <n v="0.25"/>
    <x v="10"/>
  </r>
  <r>
    <x v="294"/>
    <s v="eng ENG"/>
    <s v="eng"/>
    <s v="ENG"/>
    <s v="DF"/>
    <x v="2"/>
    <n v="20"/>
    <x v="0"/>
    <n v="17"/>
    <n v="13"/>
    <n v="1190"/>
    <x v="1"/>
    <n v="13.2"/>
    <n v="2"/>
    <n v="0"/>
    <n v="2"/>
    <n v="2"/>
    <n v="0"/>
    <n v="0"/>
    <n v="1"/>
    <n v="0"/>
    <n v="1"/>
    <n v="1"/>
    <n v="1"/>
    <n v="0.1"/>
    <n v="1.1000000000000001"/>
    <n v="13"/>
    <n v="67"/>
    <n v="1"/>
    <n v="0.15"/>
    <n v="0"/>
    <n v="0.15"/>
    <n v="0.15"/>
    <n v="0.15"/>
    <n v="0.08"/>
    <n v="0.01"/>
    <n v="0.08"/>
    <n v="0.08"/>
    <n v="0.08"/>
    <x v="10"/>
  </r>
  <r>
    <x v="295"/>
    <s v="nl NED"/>
    <s v="nl"/>
    <s v="NED"/>
    <s v="DF"/>
    <x v="2"/>
    <n v="32"/>
    <x v="2"/>
    <n v="36"/>
    <n v="36"/>
    <n v="3177"/>
    <x v="1"/>
    <n v="35.299999999999997"/>
    <n v="2"/>
    <n v="2"/>
    <n v="4"/>
    <n v="2"/>
    <n v="0"/>
    <n v="0"/>
    <n v="3"/>
    <n v="1"/>
    <n v="2.8"/>
    <n v="-0.79999999999999982"/>
    <n v="2.8"/>
    <n v="1.6"/>
    <n v="4.4000000000000004"/>
    <n v="32"/>
    <n v="200"/>
    <n v="7"/>
    <n v="0.06"/>
    <n v="0.06"/>
    <n v="0.11"/>
    <n v="0.06"/>
    <n v="0.11"/>
    <n v="0.08"/>
    <n v="0.04"/>
    <n v="0.12"/>
    <n v="0.08"/>
    <n v="0.12"/>
    <x v="10"/>
  </r>
  <r>
    <x v="296"/>
    <s v="nl NED"/>
    <s v="nl"/>
    <s v="NED"/>
    <s v="MF"/>
    <x v="0"/>
    <n v="21"/>
    <x v="0"/>
    <n v="26"/>
    <n v="12"/>
    <n v="1121"/>
    <x v="1"/>
    <n v="12.5"/>
    <n v="1"/>
    <n v="0"/>
    <n v="1"/>
    <n v="1"/>
    <n v="0"/>
    <n v="0"/>
    <n v="0"/>
    <n v="0"/>
    <n v="2"/>
    <n v="-1"/>
    <n v="2"/>
    <n v="0.9"/>
    <n v="2.9"/>
    <n v="39"/>
    <n v="78"/>
    <n v="71"/>
    <n v="0.08"/>
    <n v="0"/>
    <n v="0.08"/>
    <n v="0.08"/>
    <n v="0.08"/>
    <n v="0.16"/>
    <n v="7.0000000000000007E-2"/>
    <n v="0.23"/>
    <n v="0.16"/>
    <n v="0.23"/>
    <x v="10"/>
  </r>
  <r>
    <x v="297"/>
    <s v="jp JPN"/>
    <s v="jp"/>
    <s v="JPN"/>
    <s v="MF"/>
    <x v="0"/>
    <n v="30"/>
    <x v="2"/>
    <n v="29"/>
    <n v="20"/>
    <n v="1722"/>
    <x v="1"/>
    <n v="19.100000000000001"/>
    <n v="1"/>
    <n v="0"/>
    <n v="1"/>
    <n v="1"/>
    <n v="0"/>
    <n v="0"/>
    <n v="10"/>
    <n v="0"/>
    <n v="0.5"/>
    <n v="0.5"/>
    <n v="0.5"/>
    <n v="1.7"/>
    <n v="2.2999999999999998"/>
    <n v="10"/>
    <n v="101"/>
    <n v="21"/>
    <n v="0.05"/>
    <n v="0"/>
    <n v="0.05"/>
    <n v="0.05"/>
    <n v="0.05"/>
    <n v="0.03"/>
    <n v="0.09"/>
    <n v="0.12"/>
    <n v="0.03"/>
    <n v="0.12"/>
    <x v="10"/>
  </r>
  <r>
    <x v="298"/>
    <s v="eng ENG"/>
    <s v="eng"/>
    <s v="ENG"/>
    <s v="DF"/>
    <x v="2"/>
    <n v="26"/>
    <x v="1"/>
    <n v="32"/>
    <n v="17"/>
    <n v="1786"/>
    <x v="1"/>
    <n v="19.8"/>
    <n v="0"/>
    <n v="1"/>
    <n v="1"/>
    <n v="0"/>
    <n v="0"/>
    <n v="0"/>
    <n v="5"/>
    <n v="0"/>
    <n v="0.8"/>
    <n v="-0.8"/>
    <n v="0.8"/>
    <n v="1.3"/>
    <n v="2.1"/>
    <n v="44"/>
    <n v="100"/>
    <n v="105"/>
    <n v="0"/>
    <n v="0.05"/>
    <n v="0.05"/>
    <n v="0"/>
    <n v="0.05"/>
    <n v="0.04"/>
    <n v="7.0000000000000007E-2"/>
    <n v="0.1"/>
    <n v="0.04"/>
    <n v="0.1"/>
    <x v="10"/>
  </r>
  <r>
    <x v="299"/>
    <s v="br BRA"/>
    <s v="br"/>
    <s v="BRA"/>
    <s v="GK"/>
    <x v="3"/>
    <n v="30"/>
    <x v="2"/>
    <n v="28"/>
    <n v="28"/>
    <n v="2520"/>
    <x v="1"/>
    <n v="28"/>
    <n v="0"/>
    <n v="0"/>
    <n v="0"/>
    <n v="0"/>
    <n v="0"/>
    <n v="0"/>
    <n v="1"/>
    <n v="0"/>
    <n v="0"/>
    <n v="0"/>
    <n v="0"/>
    <n v="0"/>
    <n v="0"/>
    <n v="0"/>
    <n v="5"/>
    <n v="0"/>
    <n v="0"/>
    <n v="0"/>
    <n v="0"/>
    <n v="0"/>
    <n v="0"/>
    <n v="0"/>
    <n v="0"/>
    <n v="0"/>
    <n v="0"/>
    <n v="0"/>
    <x v="10"/>
  </r>
  <r>
    <x v="300"/>
    <s v="fr FRA"/>
    <s v="fr"/>
    <s v="FRA"/>
    <s v="DF"/>
    <x v="2"/>
    <n v="24"/>
    <x v="1"/>
    <n v="22"/>
    <n v="17"/>
    <n v="1574"/>
    <x v="1"/>
    <n v="17.5"/>
    <n v="0"/>
    <n v="0"/>
    <n v="0"/>
    <n v="0"/>
    <n v="0"/>
    <n v="0"/>
    <n v="5"/>
    <n v="1"/>
    <n v="0.7"/>
    <n v="-0.7"/>
    <n v="0.7"/>
    <n v="0.4"/>
    <n v="1.1000000000000001"/>
    <n v="24"/>
    <n v="118"/>
    <n v="3"/>
    <n v="0"/>
    <n v="0"/>
    <n v="0"/>
    <n v="0"/>
    <n v="0"/>
    <n v="0.04"/>
    <n v="0.02"/>
    <n v="0.06"/>
    <n v="0.04"/>
    <n v="0.06"/>
    <x v="10"/>
  </r>
  <r>
    <x v="301"/>
    <s v="ie IRL"/>
    <s v="ie"/>
    <s v="IRL"/>
    <s v="GK"/>
    <x v="3"/>
    <n v="24"/>
    <x v="1"/>
    <n v="10"/>
    <n v="10"/>
    <n v="900"/>
    <x v="0"/>
    <n v="1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10"/>
  </r>
  <r>
    <x v="302"/>
    <s v="cm CMR"/>
    <s v="cm"/>
    <s v="CMR"/>
    <s v="DF"/>
    <x v="2"/>
    <n v="31"/>
    <x v="2"/>
    <n v="10"/>
    <n v="9"/>
    <n v="781"/>
    <x v="0"/>
    <n v="8.6999999999999993"/>
    <n v="0"/>
    <n v="0"/>
    <n v="0"/>
    <n v="0"/>
    <n v="0"/>
    <n v="0"/>
    <n v="2"/>
    <n v="0"/>
    <n v="0.5"/>
    <n v="-0.5"/>
    <n v="0.5"/>
    <n v="0.1"/>
    <n v="0.6"/>
    <n v="8"/>
    <n v="34"/>
    <n v="1"/>
    <n v="0"/>
    <n v="0"/>
    <n v="0"/>
    <n v="0"/>
    <n v="0"/>
    <n v="0.06"/>
    <n v="0.01"/>
    <n v="0.06"/>
    <n v="0.06"/>
    <n v="0.06"/>
    <x v="10"/>
  </r>
  <r>
    <x v="303"/>
    <s v="eng ENG"/>
    <s v="eng"/>
    <s v="ENG"/>
    <s v="MF"/>
    <x v="0"/>
    <n v="18"/>
    <x v="3"/>
    <n v="5"/>
    <n v="1"/>
    <n v="89"/>
    <x v="0"/>
    <n v="1"/>
    <n v="0"/>
    <n v="0"/>
    <n v="0"/>
    <n v="0"/>
    <n v="0"/>
    <n v="0"/>
    <n v="0"/>
    <n v="0"/>
    <n v="0.1"/>
    <n v="-0.1"/>
    <n v="0.1"/>
    <n v="0"/>
    <n v="0.1"/>
    <n v="3"/>
    <n v="3"/>
    <n v="7"/>
    <n v="0"/>
    <n v="0"/>
    <n v="0"/>
    <n v="0"/>
    <n v="0"/>
    <n v="0.14000000000000001"/>
    <n v="0"/>
    <n v="0.14000000000000001"/>
    <n v="0.14000000000000001"/>
    <n v="0.14000000000000001"/>
    <x v="10"/>
  </r>
  <r>
    <x v="304"/>
    <s v="es ESP"/>
    <s v="es"/>
    <s v="ESP"/>
    <s v="MF"/>
    <x v="0"/>
    <n v="18"/>
    <x v="3"/>
    <n v="1"/>
    <n v="0"/>
    <n v="26"/>
    <x v="0"/>
    <n v="0.3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10"/>
  </r>
  <r>
    <x v="305"/>
    <s v="sct SCO"/>
    <s v="sct"/>
    <s v="SCO"/>
    <s v="FW"/>
    <x v="1"/>
    <n v="17"/>
    <x v="3"/>
    <n v="1"/>
    <n v="0"/>
    <n v="14"/>
    <x v="0"/>
    <n v="0.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0"/>
  </r>
  <r>
    <x v="306"/>
    <s v="eng ENG"/>
    <s v="eng"/>
    <s v="ENG"/>
    <s v="FW"/>
    <x v="1"/>
    <n v="17"/>
    <x v="3"/>
    <n v="2"/>
    <n v="0"/>
    <n v="9"/>
    <x v="0"/>
    <n v="0.1"/>
    <n v="0"/>
    <n v="0"/>
    <n v="0"/>
    <n v="0"/>
    <n v="0"/>
    <n v="0"/>
    <n v="1"/>
    <n v="0"/>
    <n v="0"/>
    <n v="0"/>
    <n v="0"/>
    <n v="0"/>
    <n v="0"/>
    <n v="0"/>
    <n v="1"/>
    <n v="2"/>
    <n v="0"/>
    <n v="0"/>
    <n v="0"/>
    <n v="0"/>
    <n v="0"/>
    <n v="0"/>
    <n v="0"/>
    <n v="0"/>
    <n v="0"/>
    <n v="0"/>
    <x v="10"/>
  </r>
  <r>
    <x v="307"/>
    <s v="wls WAL"/>
    <s v="wls"/>
    <s v="WAL"/>
    <s v="DF"/>
    <x v="2"/>
    <n v="20"/>
    <x v="0"/>
    <n v="1"/>
    <n v="0"/>
    <n v="8"/>
    <x v="0"/>
    <n v="0.1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10"/>
  </r>
  <r>
    <x v="308"/>
    <s v="es ESP"/>
    <s v="es"/>
    <s v="ESP"/>
    <s v="MF"/>
    <x v="0"/>
    <n v="32"/>
    <x v="2"/>
    <n v="1"/>
    <n v="0"/>
    <n v="6"/>
    <x v="0"/>
    <n v="0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0"/>
  </r>
  <r>
    <x v="309"/>
    <s v="eng ENG"/>
    <s v="eng"/>
    <s v="ENG"/>
    <s v="MF"/>
    <x v="0"/>
    <n v="18"/>
    <x v="3"/>
    <n v="3"/>
    <n v="0"/>
    <n v="4"/>
    <x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10"/>
  </r>
  <r>
    <x v="310"/>
    <s v="eng ENG"/>
    <s v="eng"/>
    <s v="ENG"/>
    <s v="FW"/>
    <x v="1"/>
    <n v="18"/>
    <x v="3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10"/>
  </r>
  <r>
    <x v="311"/>
    <s v="eng ENG"/>
    <s v="eng"/>
    <s v="ENG"/>
    <s v="MF,DF"/>
    <x v="0"/>
    <n v="31"/>
    <x v="2"/>
    <n v="17"/>
    <n v="2"/>
    <n v="323"/>
    <x v="0"/>
    <n v="3.6"/>
    <n v="2"/>
    <n v="1"/>
    <n v="3"/>
    <n v="2"/>
    <n v="0"/>
    <n v="0"/>
    <n v="1"/>
    <n v="0"/>
    <n v="1"/>
    <n v="1"/>
    <n v="1"/>
    <n v="0.3"/>
    <n v="1.3"/>
    <n v="1"/>
    <n v="8"/>
    <n v="7"/>
    <n v="0.56000000000000005"/>
    <n v="0.28000000000000003"/>
    <n v="0.84"/>
    <n v="0.56000000000000005"/>
    <n v="0.84"/>
    <n v="0.28000000000000003"/>
    <n v="7.0000000000000007E-2"/>
    <n v="0.35"/>
    <n v="0.28000000000000003"/>
    <n v="0.35"/>
    <x v="11"/>
  </r>
  <r>
    <x v="312"/>
    <s v="eng ENG"/>
    <s v="eng"/>
    <s v="ENG"/>
    <s v="FW"/>
    <x v="1"/>
    <n v="25"/>
    <x v="1"/>
    <n v="27"/>
    <n v="16"/>
    <n v="1419"/>
    <x v="1"/>
    <n v="15.8"/>
    <n v="10"/>
    <n v="0"/>
    <n v="10"/>
    <n v="10"/>
    <n v="0"/>
    <n v="0"/>
    <n v="1"/>
    <n v="0"/>
    <n v="5.9"/>
    <n v="4.0999999999999996"/>
    <n v="5.9"/>
    <n v="0.7"/>
    <n v="6.6"/>
    <n v="16"/>
    <n v="23"/>
    <n v="110"/>
    <n v="0.63"/>
    <n v="0"/>
    <n v="0.63"/>
    <n v="0.63"/>
    <n v="0.63"/>
    <n v="0.37"/>
    <n v="0.04"/>
    <n v="0.42"/>
    <n v="0.37"/>
    <n v="0.42"/>
    <x v="11"/>
  </r>
  <r>
    <x v="313"/>
    <s v="eng ENG"/>
    <s v="eng"/>
    <s v="ENG"/>
    <s v="FW,MF"/>
    <x v="1"/>
    <n v="27"/>
    <x v="1"/>
    <n v="38"/>
    <n v="32"/>
    <n v="2862"/>
    <x v="1"/>
    <n v="31.8"/>
    <n v="11"/>
    <n v="4"/>
    <n v="15"/>
    <n v="6"/>
    <n v="5"/>
    <n v="5"/>
    <n v="4"/>
    <n v="0"/>
    <n v="11.4"/>
    <n v="-0.40000000000000036"/>
    <n v="7.5"/>
    <n v="2.8"/>
    <n v="10.199999999999999"/>
    <n v="37"/>
    <n v="56"/>
    <n v="120"/>
    <n v="0.35"/>
    <n v="0.13"/>
    <n v="0.47"/>
    <n v="0.19"/>
    <n v="0.31"/>
    <n v="0.36"/>
    <n v="0.09"/>
    <n v="0.45"/>
    <n v="0.23"/>
    <n v="0.32"/>
    <x v="11"/>
  </r>
  <r>
    <x v="314"/>
    <s v="eng ENG"/>
    <s v="eng"/>
    <s v="ENG"/>
    <s v="FW,MF"/>
    <x v="1"/>
    <n v="28"/>
    <x v="1"/>
    <n v="24"/>
    <n v="2"/>
    <n v="427"/>
    <x v="0"/>
    <n v="4.7"/>
    <n v="1"/>
    <n v="1"/>
    <n v="2"/>
    <n v="1"/>
    <n v="0"/>
    <n v="0"/>
    <n v="2"/>
    <n v="0"/>
    <n v="1.4"/>
    <n v="-0.39999999999999991"/>
    <n v="1.4"/>
    <n v="1.2"/>
    <n v="2.6"/>
    <n v="7"/>
    <n v="6"/>
    <n v="22"/>
    <n v="0.21"/>
    <n v="0.21"/>
    <n v="0.42"/>
    <n v="0.21"/>
    <n v="0.42"/>
    <n v="0.3"/>
    <n v="0.25"/>
    <n v="0.55000000000000004"/>
    <n v="0.3"/>
    <n v="0.55000000000000004"/>
    <x v="11"/>
  </r>
  <r>
    <x v="315"/>
    <s v="eng ENG"/>
    <s v="eng"/>
    <s v="ENG"/>
    <s v="DF"/>
    <x v="2"/>
    <n v="23"/>
    <x v="0"/>
    <n v="37"/>
    <n v="34"/>
    <n v="2925"/>
    <x v="1"/>
    <n v="32.5"/>
    <n v="2"/>
    <n v="8"/>
    <n v="10"/>
    <n v="2"/>
    <n v="0"/>
    <n v="0"/>
    <n v="5"/>
    <n v="0"/>
    <n v="1.3"/>
    <n v="0.7"/>
    <n v="1.3"/>
    <n v="6.3"/>
    <n v="7.6"/>
    <n v="94"/>
    <n v="106"/>
    <n v="164"/>
    <n v="0.06"/>
    <n v="0.25"/>
    <n v="0.31"/>
    <n v="0.06"/>
    <n v="0.31"/>
    <n v="0.04"/>
    <n v="0.19"/>
    <n v="0.23"/>
    <n v="0.04"/>
    <n v="0.23"/>
    <x v="11"/>
  </r>
  <r>
    <x v="316"/>
    <s v="eng ENG"/>
    <s v="eng"/>
    <s v="ENG"/>
    <s v="MF"/>
    <x v="0"/>
    <n v="29"/>
    <x v="1"/>
    <n v="32"/>
    <n v="30"/>
    <n v="2618"/>
    <x v="1"/>
    <n v="29.1"/>
    <n v="5"/>
    <n v="4"/>
    <n v="9"/>
    <n v="5"/>
    <n v="0"/>
    <n v="0"/>
    <n v="6"/>
    <n v="0"/>
    <n v="4.0999999999999996"/>
    <n v="0.90000000000000036"/>
    <n v="4.0999999999999996"/>
    <n v="3.7"/>
    <n v="7.9"/>
    <n v="48"/>
    <n v="163"/>
    <n v="39"/>
    <n v="0.17"/>
    <n v="0.14000000000000001"/>
    <n v="0.31"/>
    <n v="0.17"/>
    <n v="0.31"/>
    <n v="0.14000000000000001"/>
    <n v="0.13"/>
    <n v="0.27"/>
    <n v="0.14000000000000001"/>
    <n v="0.27"/>
    <x v="11"/>
  </r>
  <r>
    <x v="317"/>
    <s v="eng ENG"/>
    <s v="eng"/>
    <s v="ENG"/>
    <s v="MF,FW"/>
    <x v="0"/>
    <n v="32"/>
    <x v="2"/>
    <n v="27"/>
    <n v="14"/>
    <n v="1210"/>
    <x v="1"/>
    <n v="13.4"/>
    <n v="1"/>
    <n v="3"/>
    <n v="4"/>
    <n v="1"/>
    <n v="0"/>
    <n v="0"/>
    <n v="1"/>
    <n v="0"/>
    <n v="1.2"/>
    <n v="-0.19999999999999996"/>
    <n v="1.2"/>
    <n v="1.3"/>
    <n v="2.5"/>
    <n v="47"/>
    <n v="35"/>
    <n v="71"/>
    <n v="7.0000000000000007E-2"/>
    <n v="0.22"/>
    <n v="0.3"/>
    <n v="7.0000000000000007E-2"/>
    <n v="0.3"/>
    <n v="0.09"/>
    <n v="0.1"/>
    <n v="0.19"/>
    <n v="0.09"/>
    <n v="0.19"/>
    <x v="11"/>
  </r>
  <r>
    <x v="318"/>
    <s v="be BEL"/>
    <s v="be"/>
    <s v="BEL"/>
    <s v="MF"/>
    <x v="0"/>
    <n v="23"/>
    <x v="0"/>
    <n v="17"/>
    <n v="16"/>
    <n v="1303"/>
    <x v="1"/>
    <n v="14.5"/>
    <n v="1"/>
    <n v="3"/>
    <n v="4"/>
    <n v="1"/>
    <n v="0"/>
    <n v="0"/>
    <n v="4"/>
    <n v="0"/>
    <n v="0.6"/>
    <n v="0.4"/>
    <n v="0.6"/>
    <n v="1.4"/>
    <n v="2"/>
    <n v="29"/>
    <n v="72"/>
    <n v="13"/>
    <n v="7.0000000000000007E-2"/>
    <n v="0.21"/>
    <n v="0.28000000000000003"/>
    <n v="7.0000000000000007E-2"/>
    <n v="0.28000000000000003"/>
    <n v="0.04"/>
    <n v="0.1"/>
    <n v="0.14000000000000001"/>
    <n v="0.04"/>
    <n v="0.14000000000000001"/>
    <x v="11"/>
  </r>
  <r>
    <x v="319"/>
    <s v="ie IRL"/>
    <s v="ie"/>
    <s v="IRL"/>
    <s v="MF,DF"/>
    <x v="0"/>
    <n v="26"/>
    <x v="1"/>
    <n v="30"/>
    <n v="20"/>
    <n v="1995"/>
    <x v="1"/>
    <n v="22.2"/>
    <n v="4"/>
    <n v="1"/>
    <n v="5"/>
    <n v="4"/>
    <n v="0"/>
    <n v="0"/>
    <n v="1"/>
    <n v="0"/>
    <n v="4.2"/>
    <n v="-0.20000000000000018"/>
    <n v="4.2"/>
    <n v="3.1"/>
    <n v="7.4"/>
    <n v="127"/>
    <n v="53"/>
    <n v="150"/>
    <n v="0.18"/>
    <n v="0.05"/>
    <n v="0.23"/>
    <n v="0.18"/>
    <n v="0.23"/>
    <n v="0.19"/>
    <n v="0.14000000000000001"/>
    <n v="0.33"/>
    <n v="0.19"/>
    <n v="0.33"/>
    <x v="11"/>
  </r>
  <r>
    <x v="320"/>
    <s v="dk DEN"/>
    <s v="dk"/>
    <s v="DEN"/>
    <s v="DF"/>
    <x v="2"/>
    <n v="25"/>
    <x v="1"/>
    <n v="8"/>
    <n v="4"/>
    <n v="400"/>
    <x v="0"/>
    <n v="4.4000000000000004"/>
    <n v="1"/>
    <n v="0"/>
    <n v="1"/>
    <n v="1"/>
    <n v="0"/>
    <n v="0"/>
    <n v="1"/>
    <n v="0"/>
    <n v="0.3"/>
    <n v="0.7"/>
    <n v="0.3"/>
    <n v="0"/>
    <n v="0.3"/>
    <n v="0"/>
    <n v="7"/>
    <n v="1"/>
    <n v="0.23"/>
    <n v="0"/>
    <n v="0.23"/>
    <n v="0.23"/>
    <n v="0.23"/>
    <n v="0.06"/>
    <n v="0"/>
    <n v="0.06"/>
    <n v="0.06"/>
    <n v="0.06"/>
    <x v="11"/>
  </r>
  <r>
    <x v="321"/>
    <s v="eng ENG"/>
    <s v="eng"/>
    <s v="ENG"/>
    <s v="DF"/>
    <x v="2"/>
    <n v="26"/>
    <x v="1"/>
    <n v="22"/>
    <n v="20"/>
    <n v="1660"/>
    <x v="1"/>
    <n v="18.399999999999999"/>
    <n v="0"/>
    <n v="4"/>
    <n v="4"/>
    <n v="0"/>
    <n v="0"/>
    <n v="0"/>
    <n v="5"/>
    <n v="0"/>
    <n v="1.3"/>
    <n v="-1.3"/>
    <n v="1.3"/>
    <n v="1.4"/>
    <n v="2.7"/>
    <n v="11"/>
    <n v="67"/>
    <n v="14"/>
    <n v="0"/>
    <n v="0.22"/>
    <n v="0.22"/>
    <n v="0"/>
    <n v="0.22"/>
    <n v="7.0000000000000007E-2"/>
    <n v="7.0000000000000007E-2"/>
    <n v="0.15"/>
    <n v="7.0000000000000007E-2"/>
    <n v="0.15"/>
    <x v="11"/>
  </r>
  <r>
    <x v="322"/>
    <s v="nl NED"/>
    <s v="nl"/>
    <s v="NED"/>
    <s v="MF,FW"/>
    <x v="0"/>
    <n v="23"/>
    <x v="0"/>
    <n v="33"/>
    <n v="20"/>
    <n v="1982"/>
    <x v="1"/>
    <n v="22"/>
    <n v="4"/>
    <n v="0"/>
    <n v="4"/>
    <n v="4"/>
    <n v="0"/>
    <n v="0"/>
    <n v="4"/>
    <n v="0"/>
    <n v="2.7"/>
    <n v="1.2999999999999998"/>
    <n v="2.7"/>
    <n v="0.5"/>
    <n v="3.2"/>
    <n v="57"/>
    <n v="72"/>
    <n v="101"/>
    <n v="0.18"/>
    <n v="0"/>
    <n v="0.18"/>
    <n v="0.18"/>
    <n v="0.18"/>
    <n v="0.12"/>
    <n v="0.02"/>
    <n v="0.15"/>
    <n v="0.12"/>
    <n v="0.15"/>
    <x v="11"/>
  </r>
  <r>
    <x v="323"/>
    <s v="sct SCO"/>
    <s v="sct"/>
    <s v="SCO"/>
    <s v="MF,FW"/>
    <x v="0"/>
    <n v="25"/>
    <x v="1"/>
    <n v="19"/>
    <n v="12"/>
    <n v="1019"/>
    <x v="1"/>
    <n v="11.3"/>
    <n v="2"/>
    <n v="0"/>
    <n v="2"/>
    <n v="2"/>
    <n v="0"/>
    <n v="0"/>
    <n v="4"/>
    <n v="0"/>
    <n v="2.8"/>
    <n v="-0.79999999999999982"/>
    <n v="2.8"/>
    <n v="0.7"/>
    <n v="3.4"/>
    <n v="25"/>
    <n v="19"/>
    <n v="53"/>
    <n v="0.18"/>
    <n v="0"/>
    <n v="0.18"/>
    <n v="0.18"/>
    <n v="0.18"/>
    <n v="0.25"/>
    <n v="0.06"/>
    <n v="0.3"/>
    <n v="0.25"/>
    <n v="0.3"/>
    <x v="11"/>
  </r>
  <r>
    <x v="324"/>
    <s v="wls WAL"/>
    <s v="wls"/>
    <s v="WAL"/>
    <s v="DF"/>
    <x v="2"/>
    <n v="28"/>
    <x v="1"/>
    <n v="14"/>
    <n v="14"/>
    <n v="1169"/>
    <x v="1"/>
    <n v="13"/>
    <n v="1"/>
    <n v="1"/>
    <n v="2"/>
    <n v="1"/>
    <n v="0"/>
    <n v="0"/>
    <n v="4"/>
    <n v="0"/>
    <n v="1.1000000000000001"/>
    <n v="-0.10000000000000009"/>
    <n v="1.1000000000000001"/>
    <n v="0.6"/>
    <n v="1.7"/>
    <n v="6"/>
    <n v="37"/>
    <n v="2"/>
    <n v="0.08"/>
    <n v="0.08"/>
    <n v="0.15"/>
    <n v="0.08"/>
    <n v="0.15"/>
    <n v="0.08"/>
    <n v="0.05"/>
    <n v="0.13"/>
    <n v="0.08"/>
    <n v="0.13"/>
    <x v="11"/>
  </r>
  <r>
    <x v="325"/>
    <s v="eng ENG"/>
    <s v="eng"/>
    <s v="ENG"/>
    <s v="MF"/>
    <x v="0"/>
    <n v="29"/>
    <x v="1"/>
    <n v="23"/>
    <n v="14"/>
    <n v="1304"/>
    <x v="1"/>
    <n v="14.5"/>
    <n v="1"/>
    <n v="1"/>
    <n v="2"/>
    <n v="1"/>
    <n v="0"/>
    <n v="0"/>
    <n v="4"/>
    <n v="0"/>
    <n v="1"/>
    <n v="0"/>
    <n v="1"/>
    <n v="1.3"/>
    <n v="2.2000000000000002"/>
    <n v="21"/>
    <n v="51"/>
    <n v="39"/>
    <n v="7.0000000000000007E-2"/>
    <n v="7.0000000000000007E-2"/>
    <n v="0.14000000000000001"/>
    <n v="7.0000000000000007E-2"/>
    <n v="0.14000000000000001"/>
    <n v="7.0000000000000007E-2"/>
    <n v="0.09"/>
    <n v="0.16"/>
    <n v="7.0000000000000007E-2"/>
    <n v="0.16"/>
    <x v="11"/>
  </r>
  <r>
    <x v="326"/>
    <s v="ng NGA"/>
    <s v="ng"/>
    <s v="NGA"/>
    <s v="DF"/>
    <x v="2"/>
    <n v="24"/>
    <x v="1"/>
    <n v="21"/>
    <n v="21"/>
    <n v="1846"/>
    <x v="1"/>
    <n v="20.5"/>
    <n v="2"/>
    <n v="0"/>
    <n v="2"/>
    <n v="2"/>
    <n v="0"/>
    <n v="0"/>
    <n v="3"/>
    <n v="0"/>
    <n v="1.1000000000000001"/>
    <n v="0.89999999999999991"/>
    <n v="1.1000000000000001"/>
    <n v="0.1"/>
    <n v="1.2"/>
    <n v="10"/>
    <n v="37"/>
    <n v="4"/>
    <n v="0.1"/>
    <n v="0"/>
    <n v="0.1"/>
    <n v="0.1"/>
    <n v="0.1"/>
    <n v="0.05"/>
    <n v="0.01"/>
    <n v="0.06"/>
    <n v="0.05"/>
    <n v="0.06"/>
    <x v="11"/>
  </r>
  <r>
    <x v="327"/>
    <s v="bf BFA"/>
    <s v="bf"/>
    <s v="BFA"/>
    <s v="DF"/>
    <x v="2"/>
    <n v="22"/>
    <x v="0"/>
    <n v="24"/>
    <n v="21"/>
    <n v="1729"/>
    <x v="1"/>
    <n v="19.2"/>
    <n v="0"/>
    <n v="2"/>
    <n v="2"/>
    <n v="0"/>
    <n v="0"/>
    <n v="0"/>
    <n v="7"/>
    <n v="0"/>
    <n v="0.2"/>
    <n v="-0.2"/>
    <n v="0.2"/>
    <n v="2.1"/>
    <n v="2.2999999999999998"/>
    <n v="60"/>
    <n v="54"/>
    <n v="85"/>
    <n v="0"/>
    <n v="0.1"/>
    <n v="0.1"/>
    <n v="0"/>
    <n v="0.1"/>
    <n v="0.01"/>
    <n v="0.11"/>
    <n v="0.12"/>
    <n v="0.01"/>
    <n v="0.12"/>
    <x v="11"/>
  </r>
  <r>
    <x v="328"/>
    <s v="eng ENG"/>
    <s v="eng"/>
    <s v="ENG"/>
    <s v="DF"/>
    <x v="2"/>
    <n v="21"/>
    <x v="0"/>
    <n v="30"/>
    <n v="28"/>
    <n v="2469"/>
    <x v="1"/>
    <n v="27.4"/>
    <n v="1"/>
    <n v="0"/>
    <n v="1"/>
    <n v="1"/>
    <n v="0"/>
    <n v="0"/>
    <n v="3"/>
    <n v="0"/>
    <n v="0.6"/>
    <n v="0.4"/>
    <n v="0.6"/>
    <n v="0.3"/>
    <n v="0.9"/>
    <n v="15"/>
    <n v="54"/>
    <n v="1"/>
    <n v="0.04"/>
    <n v="0"/>
    <n v="0.04"/>
    <n v="0.04"/>
    <n v="0.04"/>
    <n v="0.02"/>
    <n v="0.01"/>
    <n v="0.03"/>
    <n v="0.02"/>
    <n v="0.03"/>
    <x v="11"/>
  </r>
  <r>
    <x v="329"/>
    <s v="be BEL"/>
    <s v="be"/>
    <s v="BEL"/>
    <s v="GK"/>
    <x v="3"/>
    <n v="30"/>
    <x v="2"/>
    <n v="38"/>
    <n v="38"/>
    <n v="3405"/>
    <x v="1"/>
    <n v="37.799999999999997"/>
    <n v="0"/>
    <n v="0"/>
    <n v="0"/>
    <n v="0"/>
    <n v="0"/>
    <n v="0"/>
    <n v="3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11"/>
  </r>
  <r>
    <x v="330"/>
    <s v="jm JAM"/>
    <s v="jm"/>
    <s v="JAM"/>
    <s v="DF"/>
    <x v="2"/>
    <n v="29"/>
    <x v="1"/>
    <n v="21"/>
    <n v="21"/>
    <n v="1720"/>
    <x v="1"/>
    <n v="19.100000000000001"/>
    <n v="0"/>
    <n v="0"/>
    <n v="0"/>
    <n v="0"/>
    <n v="0"/>
    <n v="0"/>
    <n v="0"/>
    <n v="0"/>
    <n v="0.3"/>
    <n v="-0.3"/>
    <n v="0.3"/>
    <n v="0.5"/>
    <n v="0.7"/>
    <n v="32"/>
    <n v="76"/>
    <n v="10"/>
    <n v="0"/>
    <n v="0"/>
    <n v="0"/>
    <n v="0"/>
    <n v="0"/>
    <n v="0.01"/>
    <n v="0.02"/>
    <n v="0.04"/>
    <n v="0.01"/>
    <n v="0.04"/>
    <x v="11"/>
  </r>
  <r>
    <x v="331"/>
    <s v="zw ZIM"/>
    <s v="zw"/>
    <s v="ZIM"/>
    <s v="MF"/>
    <x v="0"/>
    <n v="29"/>
    <x v="1"/>
    <n v="13"/>
    <n v="13"/>
    <n v="1130"/>
    <x v="1"/>
    <n v="12.6"/>
    <n v="0"/>
    <n v="0"/>
    <n v="0"/>
    <n v="0"/>
    <n v="0"/>
    <n v="0"/>
    <n v="5"/>
    <n v="0"/>
    <n v="0.2"/>
    <n v="-0.2"/>
    <n v="0.2"/>
    <n v="0.4"/>
    <n v="0.6"/>
    <n v="1"/>
    <n v="36"/>
    <n v="5"/>
    <n v="0"/>
    <n v="0"/>
    <n v="0"/>
    <n v="0"/>
    <n v="0"/>
    <n v="0.01"/>
    <n v="0.03"/>
    <n v="0.05"/>
    <n v="0.01"/>
    <n v="0.05"/>
    <x v="11"/>
  </r>
  <r>
    <x v="332"/>
    <s v="cd COD"/>
    <s v="cd"/>
    <s v="COD"/>
    <s v="MF"/>
    <x v="0"/>
    <n v="30"/>
    <x v="2"/>
    <n v="27"/>
    <n v="11"/>
    <n v="1101"/>
    <x v="1"/>
    <n v="12.2"/>
    <n v="0"/>
    <n v="0"/>
    <n v="0"/>
    <n v="0"/>
    <n v="0"/>
    <n v="0"/>
    <n v="1"/>
    <n v="0"/>
    <n v="0.6"/>
    <n v="-0.6"/>
    <n v="0.6"/>
    <n v="0.4"/>
    <n v="1.1000000000000001"/>
    <n v="10"/>
    <n v="34"/>
    <n v="15"/>
    <n v="0"/>
    <n v="0"/>
    <n v="0"/>
    <n v="0"/>
    <n v="0"/>
    <n v="0.05"/>
    <n v="0.04"/>
    <n v="0.09"/>
    <n v="0.05"/>
    <n v="0.09"/>
    <x v="11"/>
  </r>
  <r>
    <x v="333"/>
    <s v="jp JPN"/>
    <s v="jp"/>
    <s v="JPN"/>
    <s v="DF"/>
    <x v="2"/>
    <n v="24"/>
    <x v="1"/>
    <n v="10"/>
    <n v="6"/>
    <n v="595"/>
    <x v="0"/>
    <n v="6.6"/>
    <n v="0"/>
    <n v="0"/>
    <n v="0"/>
    <n v="0"/>
    <n v="0"/>
    <n v="0"/>
    <n v="0"/>
    <n v="0"/>
    <n v="0.1"/>
    <n v="-0.1"/>
    <n v="0.1"/>
    <n v="0.7"/>
    <n v="0.8"/>
    <n v="3"/>
    <n v="21"/>
    <n v="16"/>
    <n v="0"/>
    <n v="0"/>
    <n v="0"/>
    <n v="0"/>
    <n v="0"/>
    <n v="0.02"/>
    <n v="0.1"/>
    <n v="0.12"/>
    <n v="0.02"/>
    <n v="0.12"/>
    <x v="11"/>
  </r>
  <r>
    <x v="334"/>
    <s v="eng ENG"/>
    <s v="eng"/>
    <s v="ENG"/>
    <s v="DF,MF"/>
    <x v="2"/>
    <n v="23"/>
    <x v="0"/>
    <n v="11"/>
    <n v="5"/>
    <n v="503"/>
    <x v="0"/>
    <n v="5.6"/>
    <n v="0"/>
    <n v="0"/>
    <n v="0"/>
    <n v="0"/>
    <n v="0"/>
    <n v="0"/>
    <n v="0"/>
    <n v="0"/>
    <n v="0.1"/>
    <n v="-0.1"/>
    <n v="0.1"/>
    <n v="0.2"/>
    <n v="0.3"/>
    <n v="9"/>
    <n v="17"/>
    <n v="30"/>
    <n v="0"/>
    <n v="0"/>
    <n v="0"/>
    <n v="0"/>
    <n v="0"/>
    <n v="0.02"/>
    <n v="0.04"/>
    <n v="0.06"/>
    <n v="0.02"/>
    <n v="0.06"/>
    <x v="11"/>
  </r>
  <r>
    <x v="335"/>
    <s v="eng ENG"/>
    <s v="eng"/>
    <s v="ENG"/>
    <s v="DF,MF"/>
    <x v="2"/>
    <n v="26"/>
    <x v="1"/>
    <n v="8"/>
    <n v="4"/>
    <n v="407"/>
    <x v="0"/>
    <n v="4.5"/>
    <n v="0"/>
    <n v="0"/>
    <n v="0"/>
    <n v="0"/>
    <n v="0"/>
    <n v="0"/>
    <n v="1"/>
    <n v="0"/>
    <n v="0.2"/>
    <n v="-0.2"/>
    <n v="0.2"/>
    <n v="0.1"/>
    <n v="0.3"/>
    <n v="9"/>
    <n v="6"/>
    <n v="21"/>
    <n v="0"/>
    <n v="0"/>
    <n v="0"/>
    <n v="0"/>
    <n v="0"/>
    <n v="0.04"/>
    <n v="0.02"/>
    <n v="0.06"/>
    <n v="0.04"/>
    <n v="0.06"/>
    <x v="11"/>
  </r>
  <r>
    <x v="336"/>
    <s v="eng ENG"/>
    <s v="eng"/>
    <s v="ENG"/>
    <s v="DF"/>
    <x v="2"/>
    <n v="17"/>
    <x v="3"/>
    <n v="2"/>
    <n v="0"/>
    <n v="77"/>
    <x v="0"/>
    <n v="0.9"/>
    <n v="0"/>
    <n v="0"/>
    <n v="0"/>
    <n v="0"/>
    <n v="0"/>
    <n v="0"/>
    <n v="1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x v="11"/>
  </r>
  <r>
    <x v="337"/>
    <s v="eng ENG"/>
    <s v="eng"/>
    <s v="ENG"/>
    <s v="GK"/>
    <x v="3"/>
    <n v="32"/>
    <x v="2"/>
    <n v="1"/>
    <n v="0"/>
    <n v="15"/>
    <x v="0"/>
    <n v="0.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1"/>
  </r>
  <r>
    <x v="338"/>
    <s v="eng ENG"/>
    <s v="eng"/>
    <s v="ENG"/>
    <s v="MF,DF"/>
    <x v="0"/>
    <n v="18"/>
    <x v="3"/>
    <n v="2"/>
    <n v="0"/>
    <n v="7"/>
    <x v="0"/>
    <n v="0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1"/>
  </r>
  <r>
    <x v="339"/>
    <s v="es ESP"/>
    <s v="es"/>
    <s v="ESP"/>
    <s v="FW,MF"/>
    <x v="1"/>
    <n v="22"/>
    <x v="0"/>
    <n v="6"/>
    <n v="0"/>
    <n v="53"/>
    <x v="0"/>
    <n v="0.6"/>
    <n v="0"/>
    <n v="1"/>
    <n v="1"/>
    <n v="0"/>
    <n v="0"/>
    <n v="0"/>
    <n v="0"/>
    <n v="0"/>
    <n v="0.2"/>
    <n v="-0.2"/>
    <n v="0.2"/>
    <n v="0.2"/>
    <n v="0.4"/>
    <n v="4"/>
    <n v="2"/>
    <n v="4"/>
    <n v="0"/>
    <n v="1.7"/>
    <n v="1.7"/>
    <n v="0"/>
    <n v="1.7"/>
    <n v="0.41"/>
    <n v="0.31"/>
    <n v="0.73"/>
    <n v="0.41"/>
    <n v="0.73"/>
    <x v="12"/>
  </r>
  <r>
    <x v="340"/>
    <s v="no NOR"/>
    <s v="no"/>
    <s v="NOR"/>
    <s v="FW"/>
    <x v="1"/>
    <n v="23"/>
    <x v="0"/>
    <n v="31"/>
    <n v="29"/>
    <n v="2552"/>
    <x v="1"/>
    <n v="28.4"/>
    <n v="27"/>
    <n v="5"/>
    <n v="32"/>
    <n v="20"/>
    <n v="7"/>
    <n v="8"/>
    <n v="1"/>
    <n v="0"/>
    <n v="29.2"/>
    <n v="-2.1999999999999993"/>
    <n v="22.9"/>
    <n v="4.3"/>
    <n v="27.2"/>
    <n v="35"/>
    <n v="26"/>
    <n v="126"/>
    <n v="0.95"/>
    <n v="0.18"/>
    <n v="1.1299999999999999"/>
    <n v="0.71"/>
    <n v="0.88"/>
    <n v="1.03"/>
    <n v="0.15"/>
    <n v="1.18"/>
    <n v="0.81"/>
    <n v="0.96"/>
    <x v="12"/>
  </r>
  <r>
    <x v="341"/>
    <s v="be BEL"/>
    <s v="be"/>
    <s v="BEL"/>
    <s v="MF"/>
    <x v="0"/>
    <n v="32"/>
    <x v="2"/>
    <n v="18"/>
    <n v="15"/>
    <n v="1221"/>
    <x v="1"/>
    <n v="13.6"/>
    <n v="4"/>
    <n v="10"/>
    <n v="14"/>
    <n v="4"/>
    <n v="0"/>
    <n v="0"/>
    <n v="2"/>
    <n v="0"/>
    <n v="2.4"/>
    <n v="1.6"/>
    <n v="2.4"/>
    <n v="11.5"/>
    <n v="14"/>
    <n v="47"/>
    <n v="111"/>
    <n v="133"/>
    <n v="0.28999999999999998"/>
    <n v="0.74"/>
    <n v="1.03"/>
    <n v="0.28999999999999998"/>
    <n v="1.03"/>
    <n v="0.18"/>
    <n v="0.85"/>
    <n v="1.03"/>
    <n v="0.18"/>
    <n v="1.03"/>
    <x v="12"/>
  </r>
  <r>
    <x v="342"/>
    <s v="eng ENG"/>
    <s v="eng"/>
    <s v="ENG"/>
    <s v="FW,MF"/>
    <x v="1"/>
    <n v="23"/>
    <x v="0"/>
    <n v="35"/>
    <n v="33"/>
    <n v="2857"/>
    <x v="1"/>
    <n v="31.7"/>
    <n v="19"/>
    <n v="8"/>
    <n v="27"/>
    <n v="19"/>
    <n v="0"/>
    <n v="0"/>
    <n v="2"/>
    <n v="0"/>
    <n v="10.3"/>
    <n v="8.6999999999999993"/>
    <n v="10.3"/>
    <n v="8.4"/>
    <n v="18.7"/>
    <n v="93"/>
    <n v="168"/>
    <n v="269"/>
    <n v="0.6"/>
    <n v="0.25"/>
    <n v="0.85"/>
    <n v="0.6"/>
    <n v="0.85"/>
    <n v="0.33"/>
    <n v="0.26"/>
    <n v="0.59"/>
    <n v="0.33"/>
    <n v="0.59"/>
    <x v="12"/>
  </r>
  <r>
    <x v="343"/>
    <s v="ar ARG"/>
    <s v="ar"/>
    <s v="ARG"/>
    <s v="MF,FW"/>
    <x v="0"/>
    <n v="23"/>
    <x v="0"/>
    <n v="36"/>
    <n v="31"/>
    <n v="2647"/>
    <x v="1"/>
    <n v="29.4"/>
    <n v="11"/>
    <n v="8"/>
    <n v="19"/>
    <n v="9"/>
    <n v="2"/>
    <n v="2"/>
    <n v="2"/>
    <n v="0"/>
    <n v="13"/>
    <n v="-2"/>
    <n v="11.5"/>
    <n v="6.4"/>
    <n v="17.899999999999999"/>
    <n v="64"/>
    <n v="103"/>
    <n v="180"/>
    <n v="0.37"/>
    <n v="0.27"/>
    <n v="0.65"/>
    <n v="0.31"/>
    <n v="0.57999999999999996"/>
    <n v="0.44"/>
    <n v="0.22"/>
    <n v="0.66"/>
    <n v="0.39"/>
    <n v="0.61"/>
    <x v="12"/>
  </r>
  <r>
    <x v="344"/>
    <s v="be BEL"/>
    <s v="be"/>
    <s v="BEL"/>
    <s v="FW,MF"/>
    <x v="1"/>
    <n v="21"/>
    <x v="0"/>
    <n v="29"/>
    <n v="18"/>
    <n v="1595"/>
    <x v="1"/>
    <n v="17.7"/>
    <n v="3"/>
    <n v="8"/>
    <n v="11"/>
    <n v="3"/>
    <n v="0"/>
    <n v="0"/>
    <n v="3"/>
    <n v="0"/>
    <n v="2.5"/>
    <n v="0.5"/>
    <n v="2.5"/>
    <n v="4.5999999999999996"/>
    <n v="7.1"/>
    <n v="218"/>
    <n v="57"/>
    <n v="295"/>
    <n v="0.17"/>
    <n v="0.45"/>
    <n v="0.62"/>
    <n v="0.17"/>
    <n v="0.62"/>
    <n v="0.14000000000000001"/>
    <n v="0.26"/>
    <n v="0.4"/>
    <n v="0.14000000000000001"/>
    <n v="0.4"/>
    <x v="12"/>
  </r>
  <r>
    <x v="345"/>
    <s v="no NOR"/>
    <s v="no"/>
    <s v="NOR"/>
    <s v="FW,MF"/>
    <x v="1"/>
    <n v="20"/>
    <x v="0"/>
    <n v="14"/>
    <n v="2"/>
    <n v="302"/>
    <x v="0"/>
    <n v="3.4"/>
    <n v="1"/>
    <n v="1"/>
    <n v="2"/>
    <n v="1"/>
    <n v="0"/>
    <n v="0"/>
    <n v="0"/>
    <n v="0"/>
    <n v="1.4"/>
    <n v="-0.39999999999999991"/>
    <n v="1.4"/>
    <n v="1.2"/>
    <n v="2.6"/>
    <n v="13"/>
    <n v="25"/>
    <n v="38"/>
    <n v="0.3"/>
    <n v="0.3"/>
    <n v="0.6"/>
    <n v="0.3"/>
    <n v="0.6"/>
    <n v="0.41"/>
    <n v="0.37"/>
    <n v="0.78"/>
    <n v="0.41"/>
    <n v="0.78"/>
    <x v="12"/>
  </r>
  <r>
    <x v="346"/>
    <s v="es ESP"/>
    <s v="es"/>
    <s v="ESP"/>
    <s v="MF"/>
    <x v="0"/>
    <n v="27"/>
    <x v="1"/>
    <n v="34"/>
    <n v="34"/>
    <n v="2931"/>
    <x v="1"/>
    <n v="32.6"/>
    <n v="8"/>
    <n v="9"/>
    <n v="17"/>
    <n v="8"/>
    <n v="0"/>
    <n v="0"/>
    <n v="8"/>
    <n v="1"/>
    <n v="4.0999999999999996"/>
    <n v="3.9000000000000004"/>
    <n v="4.0999999999999996"/>
    <n v="3.9"/>
    <n v="8"/>
    <n v="76"/>
    <n v="376"/>
    <n v="55"/>
    <n v="0.25"/>
    <n v="0.28000000000000003"/>
    <n v="0.52"/>
    <n v="0.25"/>
    <n v="0.52"/>
    <n v="0.12"/>
    <n v="0.12"/>
    <n v="0.24"/>
    <n v="0.12"/>
    <n v="0.24"/>
    <x v="12"/>
  </r>
  <r>
    <x v="347"/>
    <s v="pt POR"/>
    <s v="pt"/>
    <s v="POR"/>
    <s v="MF,FW"/>
    <x v="0"/>
    <n v="28"/>
    <x v="1"/>
    <n v="33"/>
    <n v="29"/>
    <n v="2578"/>
    <x v="1"/>
    <n v="28.6"/>
    <n v="6"/>
    <n v="9"/>
    <n v="15"/>
    <n v="6"/>
    <n v="0"/>
    <n v="0"/>
    <n v="8"/>
    <n v="0"/>
    <n v="3.7"/>
    <n v="2.2999999999999998"/>
    <n v="3.7"/>
    <n v="7.6"/>
    <n v="11.3"/>
    <n v="140"/>
    <n v="177"/>
    <n v="260"/>
    <n v="0.21"/>
    <n v="0.31"/>
    <n v="0.52"/>
    <n v="0.21"/>
    <n v="0.52"/>
    <n v="0.13"/>
    <n v="0.27"/>
    <n v="0.4"/>
    <n v="0.13"/>
    <n v="0.4"/>
    <x v="12"/>
  </r>
  <r>
    <x v="348"/>
    <s v="eng ENG"/>
    <s v="eng"/>
    <s v="ENG"/>
    <s v="FW,MF"/>
    <x v="1"/>
    <n v="27"/>
    <x v="1"/>
    <n v="20"/>
    <n v="10"/>
    <n v="1009"/>
    <x v="1"/>
    <n v="11.2"/>
    <n v="3"/>
    <n v="1"/>
    <n v="4"/>
    <n v="3"/>
    <n v="0"/>
    <n v="0"/>
    <n v="6"/>
    <n v="0"/>
    <n v="2.1"/>
    <n v="0.89999999999999991"/>
    <n v="2.1"/>
    <n v="2.5"/>
    <n v="4.5999999999999996"/>
    <n v="87"/>
    <n v="50"/>
    <n v="146"/>
    <n v="0.27"/>
    <n v="0.09"/>
    <n v="0.36"/>
    <n v="0.27"/>
    <n v="0.36"/>
    <n v="0.19"/>
    <n v="0.22"/>
    <n v="0.41"/>
    <n v="0.19"/>
    <n v="0.41"/>
    <x v="12"/>
  </r>
  <r>
    <x v="349"/>
    <s v="pt POR"/>
    <s v="pt"/>
    <s v="POR"/>
    <s v="MF"/>
    <x v="0"/>
    <n v="24"/>
    <x v="1"/>
    <n v="17"/>
    <n v="7"/>
    <n v="661"/>
    <x v="0"/>
    <n v="7.3"/>
    <n v="0"/>
    <n v="2"/>
    <n v="2"/>
    <n v="0"/>
    <n v="0"/>
    <n v="0"/>
    <n v="0"/>
    <n v="0"/>
    <n v="0.8"/>
    <n v="-0.8"/>
    <n v="0.8"/>
    <n v="1.1000000000000001"/>
    <n v="2"/>
    <n v="28"/>
    <n v="34"/>
    <n v="58"/>
    <n v="0"/>
    <n v="0.27"/>
    <n v="0.27"/>
    <n v="0"/>
    <n v="0.27"/>
    <n v="0.11"/>
    <n v="0.15"/>
    <n v="0.27"/>
    <n v="0.11"/>
    <n v="0.27"/>
    <x v="12"/>
  </r>
  <r>
    <x v="350"/>
    <s v="eng ENG"/>
    <s v="eng"/>
    <s v="ENG"/>
    <s v="DF,MF"/>
    <x v="2"/>
    <n v="18"/>
    <x v="3"/>
    <n v="16"/>
    <n v="8"/>
    <n v="809"/>
    <x v="0"/>
    <n v="9"/>
    <n v="2"/>
    <n v="0"/>
    <n v="2"/>
    <n v="2"/>
    <n v="0"/>
    <n v="0"/>
    <n v="1"/>
    <n v="0"/>
    <n v="0.6"/>
    <n v="1.4"/>
    <n v="0.6"/>
    <n v="1.1000000000000001"/>
    <n v="1.8"/>
    <n v="21"/>
    <n v="33"/>
    <n v="46"/>
    <n v="0.22"/>
    <n v="0"/>
    <n v="0.22"/>
    <n v="0.22"/>
    <n v="0.22"/>
    <n v="7.0000000000000007E-2"/>
    <n v="0.12"/>
    <n v="0.19"/>
    <n v="7.0000000000000007E-2"/>
    <n v="0.19"/>
    <x v="12"/>
  </r>
  <r>
    <x v="351"/>
    <s v="hr CRO"/>
    <s v="hr"/>
    <s v="CRO"/>
    <s v="DF"/>
    <x v="2"/>
    <n v="21"/>
    <x v="0"/>
    <n v="28"/>
    <n v="26"/>
    <n v="2328"/>
    <x v="1"/>
    <n v="25.9"/>
    <n v="4"/>
    <n v="1"/>
    <n v="5"/>
    <n v="4"/>
    <n v="0"/>
    <n v="0"/>
    <n v="3"/>
    <n v="0"/>
    <n v="3.1"/>
    <n v="0.89999999999999991"/>
    <n v="3.1"/>
    <n v="1.4"/>
    <n v="4.5"/>
    <n v="63"/>
    <n v="136"/>
    <n v="115"/>
    <n v="0.15"/>
    <n v="0.04"/>
    <n v="0.19"/>
    <n v="0.15"/>
    <n v="0.19"/>
    <n v="0.12"/>
    <n v="0.06"/>
    <n v="0.18"/>
    <n v="0.12"/>
    <n v="0.18"/>
    <x v="12"/>
  </r>
  <r>
    <x v="352"/>
    <s v="nl NED"/>
    <s v="nl"/>
    <s v="NED"/>
    <s v="DF"/>
    <x v="2"/>
    <n v="28"/>
    <x v="1"/>
    <n v="29"/>
    <n v="24"/>
    <n v="2042"/>
    <x v="1"/>
    <n v="22.7"/>
    <n v="2"/>
    <n v="2"/>
    <n v="4"/>
    <n v="2"/>
    <n v="0"/>
    <n v="0"/>
    <n v="0"/>
    <n v="0"/>
    <n v="2.5"/>
    <n v="-0.5"/>
    <n v="2.5"/>
    <n v="1.2"/>
    <n v="3.7"/>
    <n v="24"/>
    <n v="116"/>
    <n v="18"/>
    <n v="0.09"/>
    <n v="0.09"/>
    <n v="0.18"/>
    <n v="0.09"/>
    <n v="0.18"/>
    <n v="0.11"/>
    <n v="0.05"/>
    <n v="0.16"/>
    <n v="0.11"/>
    <n v="0.16"/>
    <x v="12"/>
  </r>
  <r>
    <x v="353"/>
    <s v="eng ENG"/>
    <s v="eng"/>
    <s v="ENG"/>
    <s v="DF"/>
    <x v="2"/>
    <n v="33"/>
    <x v="2"/>
    <n v="32"/>
    <n v="30"/>
    <n v="2767"/>
    <x v="1"/>
    <n v="30.7"/>
    <n v="0"/>
    <n v="4"/>
    <n v="4"/>
    <n v="0"/>
    <n v="0"/>
    <n v="0"/>
    <n v="2"/>
    <n v="0"/>
    <n v="0.4"/>
    <n v="-0.4"/>
    <n v="0.4"/>
    <n v="2.6"/>
    <n v="3"/>
    <n v="74"/>
    <n v="157"/>
    <n v="172"/>
    <n v="0"/>
    <n v="0.13"/>
    <n v="0.13"/>
    <n v="0"/>
    <n v="0.13"/>
    <n v="0.01"/>
    <n v="0.09"/>
    <n v="0.1"/>
    <n v="0.01"/>
    <n v="0.1"/>
    <x v="12"/>
  </r>
  <r>
    <x v="354"/>
    <s v="eng ENG"/>
    <s v="eng"/>
    <s v="ENG"/>
    <s v="DF,MF"/>
    <x v="2"/>
    <n v="29"/>
    <x v="1"/>
    <n v="16"/>
    <n v="12"/>
    <n v="1064"/>
    <x v="1"/>
    <n v="11.8"/>
    <n v="1"/>
    <n v="0"/>
    <n v="1"/>
    <n v="1"/>
    <n v="0"/>
    <n v="0"/>
    <n v="2"/>
    <n v="0"/>
    <n v="1"/>
    <n v="0"/>
    <n v="1"/>
    <n v="0.2"/>
    <n v="1.3"/>
    <n v="16"/>
    <n v="57"/>
    <n v="24"/>
    <n v="0.08"/>
    <n v="0"/>
    <n v="0.08"/>
    <n v="0.08"/>
    <n v="0.08"/>
    <n v="0.09"/>
    <n v="0.02"/>
    <n v="0.11"/>
    <n v="0.09"/>
    <n v="0.11"/>
    <x v="12"/>
  </r>
  <r>
    <x v="355"/>
    <s v="ch SUI"/>
    <s v="ch"/>
    <s v="SUI"/>
    <s v="DF,MF"/>
    <x v="2"/>
    <n v="28"/>
    <x v="1"/>
    <n v="30"/>
    <n v="28"/>
    <n v="2511"/>
    <x v="1"/>
    <n v="27.9"/>
    <n v="2"/>
    <n v="0"/>
    <n v="2"/>
    <n v="2"/>
    <n v="0"/>
    <n v="0"/>
    <n v="4"/>
    <n v="1"/>
    <n v="1.9"/>
    <n v="0.10000000000000009"/>
    <n v="1.9"/>
    <n v="0.5"/>
    <n v="2.4"/>
    <n v="46"/>
    <n v="148"/>
    <n v="36"/>
    <n v="7.0000000000000007E-2"/>
    <n v="0"/>
    <n v="7.0000000000000007E-2"/>
    <n v="7.0000000000000007E-2"/>
    <n v="7.0000000000000007E-2"/>
    <n v="7.0000000000000007E-2"/>
    <n v="0.02"/>
    <n v="0.09"/>
    <n v="7.0000000000000007E-2"/>
    <n v="0.09"/>
    <x v="12"/>
  </r>
  <r>
    <x v="356"/>
    <s v="hr CRO"/>
    <s v="hr"/>
    <s v="CRO"/>
    <s v="MF"/>
    <x v="0"/>
    <n v="29"/>
    <x v="1"/>
    <n v="30"/>
    <n v="16"/>
    <n v="1551"/>
    <x v="1"/>
    <n v="17.2"/>
    <n v="1"/>
    <n v="0"/>
    <n v="1"/>
    <n v="1"/>
    <n v="0"/>
    <n v="0"/>
    <n v="4"/>
    <n v="0"/>
    <n v="1.3"/>
    <n v="-0.30000000000000004"/>
    <n v="1.3"/>
    <n v="1.6"/>
    <n v="2.9"/>
    <n v="37"/>
    <n v="100"/>
    <n v="38"/>
    <n v="0.06"/>
    <n v="0"/>
    <n v="0.06"/>
    <n v="0.06"/>
    <n v="0.06"/>
    <n v="7.0000000000000007E-2"/>
    <n v="0.09"/>
    <n v="0.17"/>
    <n v="7.0000000000000007E-2"/>
    <n v="0.17"/>
    <x v="12"/>
  </r>
  <r>
    <x v="357"/>
    <s v="br BRA"/>
    <s v="br"/>
    <s v="BRA"/>
    <s v="GK"/>
    <x v="3"/>
    <n v="29"/>
    <x v="1"/>
    <n v="33"/>
    <n v="33"/>
    <n v="2785"/>
    <x v="1"/>
    <n v="30.9"/>
    <n v="0"/>
    <n v="0"/>
    <n v="0"/>
    <n v="0"/>
    <n v="0"/>
    <n v="0"/>
    <n v="5"/>
    <n v="0"/>
    <n v="0"/>
    <n v="0"/>
    <n v="0"/>
    <n v="0.1"/>
    <n v="0.1"/>
    <n v="0"/>
    <n v="4"/>
    <n v="0"/>
    <n v="0"/>
    <n v="0"/>
    <n v="0"/>
    <n v="0"/>
    <n v="0"/>
    <n v="0"/>
    <n v="0"/>
    <n v="0"/>
    <n v="0"/>
    <n v="0"/>
    <x v="12"/>
  </r>
  <r>
    <x v="358"/>
    <s v="pt POR"/>
    <s v="pt"/>
    <s v="POR"/>
    <s v="DF"/>
    <x v="2"/>
    <n v="26"/>
    <x v="1"/>
    <n v="30"/>
    <n v="28"/>
    <n v="2559"/>
    <x v="1"/>
    <n v="28.4"/>
    <n v="0"/>
    <n v="0"/>
    <n v="0"/>
    <n v="0"/>
    <n v="0"/>
    <n v="0"/>
    <n v="0"/>
    <n v="0"/>
    <n v="1.4"/>
    <n v="-1.4"/>
    <n v="1.4"/>
    <n v="0.3"/>
    <n v="1.7"/>
    <n v="34"/>
    <n v="173"/>
    <n v="16"/>
    <n v="0"/>
    <n v="0"/>
    <n v="0"/>
    <n v="0"/>
    <n v="0"/>
    <n v="0.05"/>
    <n v="0.01"/>
    <n v="0.06"/>
    <n v="0.05"/>
    <n v="0.06"/>
    <x v="12"/>
  </r>
  <r>
    <x v="359"/>
    <s v="de GER"/>
    <s v="de"/>
    <s v="GER"/>
    <s v="GK"/>
    <x v="3"/>
    <n v="30"/>
    <x v="2"/>
    <n v="9"/>
    <n v="5"/>
    <n v="635"/>
    <x v="0"/>
    <n v="7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2"/>
  </r>
  <r>
    <x v="360"/>
    <s v="eng ENG"/>
    <s v="eng"/>
    <s v="ENG"/>
    <s v="MF"/>
    <x v="0"/>
    <n v="27"/>
    <x v="1"/>
    <n v="4"/>
    <n v="0"/>
    <n v="93"/>
    <x v="0"/>
    <n v="1"/>
    <n v="0"/>
    <n v="0"/>
    <n v="0"/>
    <n v="0"/>
    <n v="0"/>
    <n v="0"/>
    <n v="0"/>
    <n v="0"/>
    <n v="0.1"/>
    <n v="-0.1"/>
    <n v="0.1"/>
    <n v="0"/>
    <n v="0.1"/>
    <n v="7"/>
    <n v="7"/>
    <n v="3"/>
    <n v="0"/>
    <n v="0"/>
    <n v="0"/>
    <n v="0"/>
    <n v="0"/>
    <n v="7.0000000000000007E-2"/>
    <n v="0"/>
    <n v="7.0000000000000007E-2"/>
    <n v="7.0000000000000007E-2"/>
    <n v="7.0000000000000007E-2"/>
    <x v="12"/>
  </r>
  <r>
    <x v="361"/>
    <s v="es ESP"/>
    <s v="es"/>
    <s v="ESP"/>
    <s v="DF"/>
    <x v="2"/>
    <n v="29"/>
    <x v="1"/>
    <n v="1"/>
    <n v="0"/>
    <n v="12"/>
    <x v="0"/>
    <n v="0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27"/>
    <n v="0"/>
    <n v="0.27"/>
    <n v="0.27"/>
    <n v="0.27"/>
    <x v="12"/>
  </r>
  <r>
    <x v="175"/>
    <s v="eng ENG"/>
    <s v="eng"/>
    <s v="ENG"/>
    <s v="MF"/>
    <x v="0"/>
    <n v="21"/>
    <x v="0"/>
    <n v="1"/>
    <n v="0"/>
    <n v="11"/>
    <x v="0"/>
    <n v="0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2"/>
  </r>
  <r>
    <x v="362"/>
    <s v="eng ENG"/>
    <s v="eng"/>
    <s v="ENG"/>
    <s v="MF"/>
    <x v="0"/>
    <n v="20"/>
    <x v="0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2"/>
  </r>
  <r>
    <x v="363"/>
    <s v="eng ENG"/>
    <s v="eng"/>
    <s v="ENG"/>
    <s v="FW"/>
    <x v="1"/>
    <n v="19"/>
    <x v="3"/>
    <n v="4"/>
    <n v="1"/>
    <n v="70"/>
    <x v="0"/>
    <n v="0.8"/>
    <n v="0"/>
    <n v="1"/>
    <n v="1"/>
    <n v="0"/>
    <n v="0"/>
    <n v="0"/>
    <n v="0"/>
    <n v="0"/>
    <n v="0"/>
    <n v="0"/>
    <n v="0"/>
    <n v="0.2"/>
    <n v="0.2"/>
    <n v="1"/>
    <n v="2"/>
    <n v="2"/>
    <n v="0"/>
    <n v="1.29"/>
    <n v="1.29"/>
    <n v="0"/>
    <n v="1.29"/>
    <n v="0.04"/>
    <n v="0.23"/>
    <n v="0.27"/>
    <n v="0.04"/>
    <n v="0.27"/>
    <x v="13"/>
  </r>
  <r>
    <x v="364"/>
    <s v="tn TUN"/>
    <s v="tn"/>
    <s v="TUN"/>
    <s v="MF,FW"/>
    <x v="0"/>
    <n v="20"/>
    <x v="0"/>
    <n v="5"/>
    <n v="1"/>
    <n v="133"/>
    <x v="0"/>
    <n v="1.5"/>
    <n v="1"/>
    <n v="0"/>
    <n v="1"/>
    <n v="1"/>
    <n v="0"/>
    <n v="0"/>
    <n v="1"/>
    <n v="0"/>
    <n v="0"/>
    <n v="1"/>
    <n v="0"/>
    <n v="0.4"/>
    <n v="0.4"/>
    <n v="2"/>
    <n v="6"/>
    <n v="10"/>
    <n v="0.68"/>
    <n v="0"/>
    <n v="0.68"/>
    <n v="0.68"/>
    <n v="0.68"/>
    <n v="0.02"/>
    <n v="0.25"/>
    <n v="0.27"/>
    <n v="0.02"/>
    <n v="0.27"/>
    <x v="13"/>
  </r>
  <r>
    <x v="365"/>
    <s v="pt POR"/>
    <s v="pt"/>
    <s v="POR"/>
    <s v="MF,FW"/>
    <x v="0"/>
    <n v="28"/>
    <x v="1"/>
    <n v="35"/>
    <n v="35"/>
    <n v="3118"/>
    <x v="1"/>
    <n v="34.6"/>
    <n v="10"/>
    <n v="8"/>
    <n v="18"/>
    <n v="6"/>
    <n v="4"/>
    <n v="5"/>
    <n v="9"/>
    <n v="0"/>
    <n v="10"/>
    <n v="0"/>
    <n v="6.1"/>
    <n v="11.8"/>
    <n v="17.8"/>
    <n v="86"/>
    <n v="297"/>
    <n v="182"/>
    <n v="0.28999999999999998"/>
    <n v="0.23"/>
    <n v="0.52"/>
    <n v="0.17"/>
    <n v="0.4"/>
    <n v="0.28999999999999998"/>
    <n v="0.34"/>
    <n v="0.63"/>
    <n v="0.18"/>
    <n v="0.51"/>
    <x v="13"/>
  </r>
  <r>
    <x v="366"/>
    <s v="uy URU"/>
    <s v="uy"/>
    <s v="URU"/>
    <s v="FW,MF"/>
    <x v="1"/>
    <n v="21"/>
    <x v="0"/>
    <n v="9"/>
    <n v="1"/>
    <n v="172"/>
    <x v="0"/>
    <n v="1.9"/>
    <n v="0"/>
    <n v="1"/>
    <n v="1"/>
    <n v="0"/>
    <n v="0"/>
    <n v="0"/>
    <n v="0"/>
    <n v="0"/>
    <n v="0.7"/>
    <n v="-0.7"/>
    <n v="0.7"/>
    <n v="0.1"/>
    <n v="0.8"/>
    <n v="6"/>
    <n v="6"/>
    <n v="31"/>
    <n v="0"/>
    <n v="0.52"/>
    <n v="0.52"/>
    <n v="0"/>
    <n v="0.52"/>
    <n v="0.38"/>
    <n v="0.05"/>
    <n v="0.43"/>
    <n v="0.38"/>
    <n v="0.43"/>
    <x v="13"/>
  </r>
  <r>
    <x v="367"/>
    <s v="dk DEN"/>
    <s v="dk"/>
    <s v="DEN"/>
    <s v="FW"/>
    <x v="1"/>
    <n v="20"/>
    <x v="0"/>
    <n v="30"/>
    <n v="25"/>
    <n v="2158"/>
    <x v="1"/>
    <n v="24"/>
    <n v="10"/>
    <n v="2"/>
    <n v="12"/>
    <n v="10"/>
    <n v="0"/>
    <n v="0"/>
    <n v="2"/>
    <n v="0"/>
    <n v="7.6"/>
    <n v="2.4000000000000004"/>
    <n v="7.6"/>
    <n v="1.6"/>
    <n v="9.1999999999999993"/>
    <n v="36"/>
    <n v="33"/>
    <n v="111"/>
    <n v="0.42"/>
    <n v="0.08"/>
    <n v="0.5"/>
    <n v="0.42"/>
    <n v="0.5"/>
    <n v="0.32"/>
    <n v="7.0000000000000007E-2"/>
    <n v="0.38"/>
    <n v="0.32"/>
    <n v="0.38"/>
    <x v="13"/>
  </r>
  <r>
    <x v="368"/>
    <s v="ci CIV"/>
    <s v="ci"/>
    <s v="CIV"/>
    <s v="FW,MF"/>
    <x v="1"/>
    <n v="21"/>
    <x v="0"/>
    <n v="9"/>
    <n v="3"/>
    <n v="390"/>
    <x v="0"/>
    <n v="4.3"/>
    <n v="1"/>
    <n v="1"/>
    <n v="2"/>
    <n v="1"/>
    <n v="0"/>
    <n v="0"/>
    <n v="1"/>
    <n v="0"/>
    <n v="0.5"/>
    <n v="0.5"/>
    <n v="0.5"/>
    <n v="1.1000000000000001"/>
    <n v="1.6"/>
    <n v="11"/>
    <n v="10"/>
    <n v="31"/>
    <n v="0.23"/>
    <n v="0.23"/>
    <n v="0.46"/>
    <n v="0.23"/>
    <n v="0.46"/>
    <n v="0.12"/>
    <n v="0.24"/>
    <n v="0.36"/>
    <n v="0.12"/>
    <n v="0.36"/>
    <x v="13"/>
  </r>
  <r>
    <x v="369"/>
    <s v="ar ARG"/>
    <s v="ar"/>
    <s v="ARG"/>
    <s v="FW"/>
    <x v="1"/>
    <n v="19"/>
    <x v="3"/>
    <n v="36"/>
    <n v="30"/>
    <n v="2565"/>
    <x v="1"/>
    <n v="28.5"/>
    <n v="7"/>
    <n v="4"/>
    <n v="11"/>
    <n v="7"/>
    <n v="0"/>
    <n v="0"/>
    <n v="4"/>
    <n v="0"/>
    <n v="8.4"/>
    <n v="-1.4000000000000004"/>
    <n v="8.3000000000000007"/>
    <n v="5.0999999999999996"/>
    <n v="13.4"/>
    <n v="178"/>
    <n v="62"/>
    <n v="281"/>
    <n v="0.25"/>
    <n v="0.14000000000000001"/>
    <n v="0.39"/>
    <n v="0.25"/>
    <n v="0.39"/>
    <n v="0.28999999999999998"/>
    <n v="0.18"/>
    <n v="0.47"/>
    <n v="0.28999999999999998"/>
    <n v="0.47"/>
    <x v="13"/>
  </r>
  <r>
    <x v="370"/>
    <s v="sct SCO"/>
    <s v="sct"/>
    <s v="SCO"/>
    <s v="MF,FW"/>
    <x v="0"/>
    <n v="26"/>
    <x v="1"/>
    <n v="32"/>
    <n v="18"/>
    <n v="1901"/>
    <x v="1"/>
    <n v="21.1"/>
    <n v="7"/>
    <n v="1"/>
    <n v="8"/>
    <n v="7"/>
    <n v="0"/>
    <n v="0"/>
    <n v="2"/>
    <n v="0"/>
    <n v="5.7"/>
    <n v="1.2999999999999998"/>
    <n v="5.7"/>
    <n v="0.8"/>
    <n v="6.6"/>
    <n v="29"/>
    <n v="64"/>
    <n v="47"/>
    <n v="0.33"/>
    <n v="0.05"/>
    <n v="0.38"/>
    <n v="0.33"/>
    <n v="0.38"/>
    <n v="0.27"/>
    <n v="0.04"/>
    <n v="0.31"/>
    <n v="0.27"/>
    <n v="0.31"/>
    <x v="13"/>
  </r>
  <r>
    <x v="371"/>
    <s v="eng ENG"/>
    <s v="eng"/>
    <s v="ENG"/>
    <s v="FW"/>
    <x v="1"/>
    <n v="25"/>
    <x v="1"/>
    <n v="33"/>
    <n v="26"/>
    <n v="2271"/>
    <x v="1"/>
    <n v="25.2"/>
    <n v="7"/>
    <n v="2"/>
    <n v="9"/>
    <n v="5"/>
    <n v="2"/>
    <n v="2"/>
    <n v="2"/>
    <n v="0"/>
    <n v="7.4"/>
    <n v="-0.40000000000000036"/>
    <n v="5.8"/>
    <n v="2.2999999999999998"/>
    <n v="8.1"/>
    <n v="95"/>
    <n v="65"/>
    <n v="184"/>
    <n v="0.28000000000000003"/>
    <n v="0.08"/>
    <n v="0.36"/>
    <n v="0.2"/>
    <n v="0.28000000000000003"/>
    <n v="0.28999999999999998"/>
    <n v="0.09"/>
    <n v="0.38"/>
    <n v="0.23"/>
    <n v="0.32"/>
    <x v="13"/>
  </r>
  <r>
    <x v="372"/>
    <s v="dk DEN"/>
    <s v="dk"/>
    <s v="DEN"/>
    <s v="MF"/>
    <x v="0"/>
    <n v="31"/>
    <x v="2"/>
    <n v="22"/>
    <n v="12"/>
    <n v="1141"/>
    <x v="1"/>
    <n v="12.7"/>
    <n v="1"/>
    <n v="2"/>
    <n v="3"/>
    <n v="1"/>
    <n v="0"/>
    <n v="0"/>
    <n v="1"/>
    <n v="0"/>
    <n v="1"/>
    <n v="0"/>
    <n v="1"/>
    <n v="2.2999999999999998"/>
    <n v="3.3"/>
    <n v="20"/>
    <n v="68"/>
    <n v="23"/>
    <n v="0.08"/>
    <n v="0.16"/>
    <n v="0.24"/>
    <n v="0.08"/>
    <n v="0.24"/>
    <n v="0.08"/>
    <n v="0.18"/>
    <n v="0.26"/>
    <n v="0.08"/>
    <n v="0.26"/>
    <x v="13"/>
  </r>
  <r>
    <x v="373"/>
    <s v="eng ENG"/>
    <s v="eng"/>
    <s v="ENG"/>
    <s v="DF"/>
    <x v="2"/>
    <n v="30"/>
    <x v="2"/>
    <n v="22"/>
    <n v="18"/>
    <n v="1653"/>
    <x v="1"/>
    <n v="18.399999999999999"/>
    <n v="2"/>
    <n v="2"/>
    <n v="4"/>
    <n v="2"/>
    <n v="0"/>
    <n v="0"/>
    <n v="4"/>
    <n v="0"/>
    <n v="2"/>
    <n v="0"/>
    <n v="2"/>
    <n v="1.2"/>
    <n v="3.3"/>
    <n v="20"/>
    <n v="73"/>
    <n v="2"/>
    <n v="0.11"/>
    <n v="0.11"/>
    <n v="0.22"/>
    <n v="0.11"/>
    <n v="0.22"/>
    <n v="0.11"/>
    <n v="7.0000000000000007E-2"/>
    <n v="0.18"/>
    <n v="0.11"/>
    <n v="0.18"/>
    <x v="13"/>
  </r>
  <r>
    <x v="374"/>
    <s v="fr FRA"/>
    <s v="fr"/>
    <s v="FRA"/>
    <s v="FW"/>
    <x v="1"/>
    <n v="27"/>
    <x v="1"/>
    <n v="13"/>
    <n v="5"/>
    <n v="448"/>
    <x v="0"/>
    <n v="5"/>
    <n v="1"/>
    <n v="0"/>
    <n v="1"/>
    <n v="1"/>
    <n v="0"/>
    <n v="0"/>
    <n v="0"/>
    <n v="0"/>
    <n v="1.2"/>
    <n v="-0.19999999999999996"/>
    <n v="1.2"/>
    <n v="0.2"/>
    <n v="1.5"/>
    <n v="6"/>
    <n v="12"/>
    <n v="36"/>
    <n v="0.2"/>
    <n v="0"/>
    <n v="0.2"/>
    <n v="0.2"/>
    <n v="0.2"/>
    <n v="0.25"/>
    <n v="0.05"/>
    <n v="0.28999999999999998"/>
    <n v="0.25"/>
    <n v="0.28999999999999998"/>
    <x v="13"/>
  </r>
  <r>
    <x v="375"/>
    <s v="eng ENG"/>
    <s v="eng"/>
    <s v="ENG"/>
    <s v="MF"/>
    <x v="0"/>
    <n v="18"/>
    <x v="3"/>
    <n v="24"/>
    <n v="24"/>
    <n v="1924"/>
    <x v="1"/>
    <n v="21.4"/>
    <n v="3"/>
    <n v="1"/>
    <n v="4"/>
    <n v="3"/>
    <n v="0"/>
    <n v="0"/>
    <n v="3"/>
    <n v="0"/>
    <n v="0.9"/>
    <n v="2.1"/>
    <n v="0.9"/>
    <n v="0.7"/>
    <n v="1.6"/>
    <n v="25"/>
    <n v="64"/>
    <n v="36"/>
    <n v="0.14000000000000001"/>
    <n v="0.05"/>
    <n v="0.19"/>
    <n v="0.14000000000000001"/>
    <n v="0.19"/>
    <n v="0.04"/>
    <n v="0.03"/>
    <n v="7.0000000000000007E-2"/>
    <n v="0.04"/>
    <n v="7.0000000000000007E-2"/>
    <x v="13"/>
  </r>
  <r>
    <x v="376"/>
    <s v="eng ENG"/>
    <s v="eng"/>
    <s v="ENG"/>
    <s v="MF,FW"/>
    <x v="0"/>
    <n v="24"/>
    <x v="1"/>
    <n v="14"/>
    <n v="5"/>
    <n v="516"/>
    <x v="0"/>
    <n v="5.7"/>
    <n v="1"/>
    <n v="0"/>
    <n v="1"/>
    <n v="1"/>
    <n v="0"/>
    <n v="0"/>
    <n v="2"/>
    <n v="0"/>
    <n v="0.4"/>
    <n v="0.6"/>
    <n v="0.4"/>
    <n v="0.3"/>
    <n v="0.7"/>
    <n v="9"/>
    <n v="21"/>
    <n v="34"/>
    <n v="0.17"/>
    <n v="0"/>
    <n v="0.17"/>
    <n v="0.17"/>
    <n v="0.17"/>
    <n v="7.0000000000000007E-2"/>
    <n v="0.06"/>
    <n v="0.13"/>
    <n v="7.0000000000000007E-2"/>
    <n v="0.13"/>
    <x v="13"/>
  </r>
  <r>
    <x v="377"/>
    <s v="pt POR"/>
    <s v="pt"/>
    <s v="POR"/>
    <s v="DF"/>
    <x v="2"/>
    <n v="24"/>
    <x v="1"/>
    <n v="36"/>
    <n v="35"/>
    <n v="3174"/>
    <x v="1"/>
    <n v="35.299999999999997"/>
    <n v="2"/>
    <n v="3"/>
    <n v="5"/>
    <n v="2"/>
    <n v="0"/>
    <n v="0"/>
    <n v="6"/>
    <n v="1"/>
    <n v="1.7"/>
    <n v="0.30000000000000004"/>
    <n v="1.7"/>
    <n v="2.9"/>
    <n v="4.5999999999999996"/>
    <n v="52"/>
    <n v="124"/>
    <n v="111"/>
    <n v="0.06"/>
    <n v="0.09"/>
    <n v="0.14000000000000001"/>
    <n v="0.06"/>
    <n v="0.14000000000000001"/>
    <n v="0.05"/>
    <n v="0.08"/>
    <n v="0.13"/>
    <n v="0.05"/>
    <n v="0.13"/>
    <x v="13"/>
  </r>
  <r>
    <x v="378"/>
    <s v="br BRA"/>
    <s v="br"/>
    <s v="BRA"/>
    <s v="MF,DF"/>
    <x v="0"/>
    <n v="31"/>
    <x v="2"/>
    <n v="25"/>
    <n v="24"/>
    <n v="1982"/>
    <x v="1"/>
    <n v="22"/>
    <n v="1"/>
    <n v="2"/>
    <n v="3"/>
    <n v="1"/>
    <n v="0"/>
    <n v="0"/>
    <n v="7"/>
    <n v="0"/>
    <n v="3.5"/>
    <n v="-2.5"/>
    <n v="3.5"/>
    <n v="1"/>
    <n v="4.5"/>
    <n v="12"/>
    <n v="112"/>
    <n v="36"/>
    <n v="0.05"/>
    <n v="0.09"/>
    <n v="0.14000000000000001"/>
    <n v="0.05"/>
    <n v="0.14000000000000001"/>
    <n v="0.16"/>
    <n v="0.05"/>
    <n v="0.2"/>
    <n v="0.16"/>
    <n v="0.2"/>
    <x v="13"/>
  </r>
  <r>
    <x v="379"/>
    <s v="br BRA"/>
    <s v="br"/>
    <s v="BRA"/>
    <s v="FW"/>
    <x v="1"/>
    <n v="23"/>
    <x v="0"/>
    <n v="29"/>
    <n v="15"/>
    <n v="1324"/>
    <x v="1"/>
    <n v="14.7"/>
    <n v="1"/>
    <n v="1"/>
    <n v="2"/>
    <n v="1"/>
    <n v="0"/>
    <n v="0"/>
    <n v="5"/>
    <n v="0"/>
    <n v="3.4"/>
    <n v="-2.4"/>
    <n v="3.4"/>
    <n v="2.8"/>
    <n v="6.1"/>
    <n v="53"/>
    <n v="64"/>
    <n v="149"/>
    <n v="7.0000000000000007E-2"/>
    <n v="7.0000000000000007E-2"/>
    <n v="0.14000000000000001"/>
    <n v="7.0000000000000007E-2"/>
    <n v="0.14000000000000001"/>
    <n v="0.23"/>
    <n v="0.19"/>
    <n v="0.42"/>
    <n v="0.23"/>
    <n v="0.42"/>
    <x v="13"/>
  </r>
  <r>
    <x v="380"/>
    <s v="se SWE"/>
    <s v="se"/>
    <s v="SWE"/>
    <s v="DF"/>
    <x v="2"/>
    <n v="29"/>
    <x v="1"/>
    <n v="19"/>
    <n v="14"/>
    <n v="1328"/>
    <x v="1"/>
    <n v="14.8"/>
    <n v="1"/>
    <n v="1"/>
    <n v="2"/>
    <n v="1"/>
    <n v="0"/>
    <n v="0"/>
    <n v="2"/>
    <n v="0"/>
    <n v="0.8"/>
    <n v="0.19999999999999996"/>
    <n v="0.8"/>
    <n v="0.3"/>
    <n v="1.1000000000000001"/>
    <n v="17"/>
    <n v="40"/>
    <n v="17"/>
    <n v="7.0000000000000007E-2"/>
    <n v="7.0000000000000007E-2"/>
    <n v="0.14000000000000001"/>
    <n v="7.0000000000000007E-2"/>
    <n v="0.14000000000000001"/>
    <n v="0.05"/>
    <n v="0.02"/>
    <n v="7.0000000000000007E-2"/>
    <n v="0.05"/>
    <n v="7.0000000000000007E-2"/>
    <x v="13"/>
  </r>
  <r>
    <x v="381"/>
    <s v="ar ARG"/>
    <s v="ar"/>
    <s v="ARG"/>
    <s v="DF"/>
    <x v="2"/>
    <n v="25"/>
    <x v="1"/>
    <n v="11"/>
    <n v="8"/>
    <n v="646"/>
    <x v="0"/>
    <n v="7.2"/>
    <n v="0"/>
    <n v="1"/>
    <n v="1"/>
    <n v="0"/>
    <n v="0"/>
    <n v="0"/>
    <n v="3"/>
    <n v="0"/>
    <n v="0"/>
    <n v="0"/>
    <n v="0"/>
    <n v="0.1"/>
    <n v="0.1"/>
    <n v="8"/>
    <n v="28"/>
    <n v="1"/>
    <n v="0"/>
    <n v="0.14000000000000001"/>
    <n v="0.14000000000000001"/>
    <n v="0"/>
    <n v="0.14000000000000001"/>
    <n v="0"/>
    <n v="0.01"/>
    <n v="0.01"/>
    <n v="0"/>
    <n v="0.01"/>
    <x v="13"/>
  </r>
  <r>
    <x v="382"/>
    <s v="eng ENG"/>
    <s v="eng"/>
    <s v="ENG"/>
    <s v="DF"/>
    <x v="2"/>
    <n v="25"/>
    <x v="1"/>
    <n v="22"/>
    <n v="20"/>
    <n v="1780"/>
    <x v="1"/>
    <n v="19.8"/>
    <n v="0"/>
    <n v="2"/>
    <n v="2"/>
    <n v="0"/>
    <n v="0"/>
    <n v="0"/>
    <n v="4"/>
    <n v="0"/>
    <n v="0.1"/>
    <n v="-0.1"/>
    <n v="0.1"/>
    <n v="1.5"/>
    <n v="1.6"/>
    <n v="30"/>
    <n v="77"/>
    <n v="54"/>
    <n v="0"/>
    <n v="0.1"/>
    <n v="0.1"/>
    <n v="0"/>
    <n v="0.1"/>
    <n v="0.01"/>
    <n v="0.08"/>
    <n v="0.08"/>
    <n v="0.01"/>
    <n v="0.08"/>
    <x v="13"/>
  </r>
  <r>
    <x v="383"/>
    <s v="fr FRA"/>
    <s v="fr"/>
    <s v="FRA"/>
    <s v="DF"/>
    <x v="2"/>
    <n v="30"/>
    <x v="2"/>
    <n v="22"/>
    <n v="16"/>
    <n v="1375"/>
    <x v="1"/>
    <n v="15.3"/>
    <n v="1"/>
    <n v="0"/>
    <n v="1"/>
    <n v="1"/>
    <n v="0"/>
    <n v="0"/>
    <n v="2"/>
    <n v="0"/>
    <n v="1.3"/>
    <n v="-0.30000000000000004"/>
    <n v="1.3"/>
    <n v="0.1"/>
    <n v="1.3"/>
    <n v="16"/>
    <n v="59"/>
    <n v="2"/>
    <n v="7.0000000000000007E-2"/>
    <n v="0"/>
    <n v="7.0000000000000007E-2"/>
    <n v="7.0000000000000007E-2"/>
    <n v="7.0000000000000007E-2"/>
    <n v="0.08"/>
    <n v="0"/>
    <n v="0.09"/>
    <n v="0.08"/>
    <n v="0.09"/>
    <x v="13"/>
  </r>
  <r>
    <x v="384"/>
    <s v="nir NIR"/>
    <s v="nir"/>
    <s v="NIR"/>
    <s v="DF"/>
    <x v="2"/>
    <n v="35"/>
    <x v="4"/>
    <n v="23"/>
    <n v="15"/>
    <n v="1392"/>
    <x v="1"/>
    <n v="15.5"/>
    <n v="0"/>
    <n v="1"/>
    <n v="1"/>
    <n v="0"/>
    <n v="0"/>
    <n v="0"/>
    <n v="2"/>
    <n v="0"/>
    <n v="0.1"/>
    <n v="-0.1"/>
    <n v="0.1"/>
    <n v="1.2"/>
    <n v="1.2"/>
    <n v="7"/>
    <n v="37"/>
    <n v="1"/>
    <n v="0"/>
    <n v="0.06"/>
    <n v="0.06"/>
    <n v="0"/>
    <n v="0.06"/>
    <n v="0"/>
    <n v="0.08"/>
    <n v="0.08"/>
    <n v="0"/>
    <n v="0.08"/>
    <x v="13"/>
  </r>
  <r>
    <x v="385"/>
    <s v="cm CMR"/>
    <s v="cm"/>
    <s v="CMR"/>
    <s v="GK"/>
    <x v="3"/>
    <n v="27"/>
    <x v="1"/>
    <n v="38"/>
    <n v="38"/>
    <n v="3420"/>
    <x v="1"/>
    <n v="38"/>
    <n v="0"/>
    <n v="0"/>
    <n v="0"/>
    <n v="0"/>
    <n v="0"/>
    <n v="0"/>
    <n v="5"/>
    <n v="0"/>
    <n v="0"/>
    <n v="0"/>
    <n v="0"/>
    <n v="0.1"/>
    <n v="0.1"/>
    <n v="1"/>
    <n v="5"/>
    <n v="0"/>
    <n v="0"/>
    <n v="0"/>
    <n v="0"/>
    <n v="0"/>
    <n v="0"/>
    <n v="0"/>
    <n v="0"/>
    <n v="0"/>
    <n v="0"/>
    <n v="0"/>
    <x v="13"/>
  </r>
  <r>
    <x v="386"/>
    <s v="eng ENG"/>
    <s v="eng"/>
    <s v="ENG"/>
    <s v="DF"/>
    <x v="2"/>
    <n v="28"/>
    <x v="1"/>
    <n v="12"/>
    <n v="12"/>
    <n v="959"/>
    <x v="0"/>
    <n v="10.7"/>
    <n v="0"/>
    <n v="0"/>
    <n v="0"/>
    <n v="0"/>
    <n v="0"/>
    <n v="0"/>
    <n v="6"/>
    <n v="0"/>
    <n v="0"/>
    <n v="0"/>
    <n v="0"/>
    <n v="1"/>
    <n v="1"/>
    <n v="10"/>
    <n v="45"/>
    <n v="30"/>
    <n v="0"/>
    <n v="0"/>
    <n v="0"/>
    <n v="0"/>
    <n v="0"/>
    <n v="0"/>
    <n v="0.09"/>
    <n v="0.1"/>
    <n v="0"/>
    <n v="0.1"/>
    <x v="13"/>
  </r>
  <r>
    <x v="387"/>
    <s v="ma MAR"/>
    <s v="ma"/>
    <s v="MAR"/>
    <s v="MF,DF"/>
    <x v="0"/>
    <n v="26"/>
    <x v="1"/>
    <n v="21"/>
    <n v="10"/>
    <n v="938"/>
    <x v="0"/>
    <n v="10.4"/>
    <n v="0"/>
    <n v="0"/>
    <n v="0"/>
    <n v="0"/>
    <n v="0"/>
    <n v="0"/>
    <n v="6"/>
    <n v="0"/>
    <n v="0.1"/>
    <n v="-0.1"/>
    <n v="0.1"/>
    <n v="0.3"/>
    <n v="0.4"/>
    <n v="6"/>
    <n v="66"/>
    <n v="10"/>
    <n v="0"/>
    <n v="0"/>
    <n v="0"/>
    <n v="0"/>
    <n v="0"/>
    <n v="0.01"/>
    <n v="0.03"/>
    <n v="0.04"/>
    <n v="0.01"/>
    <n v="0.04"/>
    <x v="13"/>
  </r>
  <r>
    <x v="92"/>
    <s v="es ESP"/>
    <s v="es"/>
    <s v="ESP"/>
    <s v="DF"/>
    <x v="2"/>
    <n v="26"/>
    <x v="1"/>
    <n v="9"/>
    <n v="4"/>
    <n v="412"/>
    <x v="0"/>
    <n v="4.5999999999999996"/>
    <n v="0"/>
    <n v="0"/>
    <n v="0"/>
    <n v="0"/>
    <n v="0"/>
    <n v="0"/>
    <n v="3"/>
    <n v="0"/>
    <n v="0.2"/>
    <n v="-0.2"/>
    <n v="0.2"/>
    <n v="0.7"/>
    <n v="0.9"/>
    <n v="11"/>
    <n v="27"/>
    <n v="38"/>
    <n v="0"/>
    <n v="0"/>
    <n v="0"/>
    <n v="0"/>
    <n v="0"/>
    <n v="0.04"/>
    <n v="0.16"/>
    <n v="0.2"/>
    <n v="0.04"/>
    <n v="0.2"/>
    <x v="13"/>
  </r>
  <r>
    <x v="388"/>
    <s v="fr FRA"/>
    <s v="fr"/>
    <s v="FRA"/>
    <s v="DF"/>
    <x v="2"/>
    <n v="18"/>
    <x v="3"/>
    <n v="8"/>
    <n v="3"/>
    <n v="330"/>
    <x v="0"/>
    <n v="3.7"/>
    <n v="0"/>
    <n v="0"/>
    <n v="0"/>
    <n v="0"/>
    <n v="0"/>
    <n v="0"/>
    <n v="1"/>
    <n v="0"/>
    <n v="0"/>
    <n v="0"/>
    <n v="0"/>
    <n v="0"/>
    <n v="0"/>
    <n v="2"/>
    <n v="8"/>
    <n v="1"/>
    <n v="0"/>
    <n v="0"/>
    <n v="0"/>
    <n v="0"/>
    <n v="0"/>
    <n v="0"/>
    <n v="0"/>
    <n v="0"/>
    <n v="0"/>
    <n v="0"/>
    <x v="13"/>
  </r>
  <r>
    <x v="389"/>
    <s v="eng ENG"/>
    <s v="eng"/>
    <s v="ENG"/>
    <s v="FW,MF"/>
    <x v="1"/>
    <n v="23"/>
    <x v="0"/>
    <n v="3"/>
    <n v="0"/>
    <n v="79"/>
    <x v="0"/>
    <n v="0.9"/>
    <n v="0"/>
    <n v="0"/>
    <n v="0"/>
    <n v="0"/>
    <n v="0"/>
    <n v="0"/>
    <n v="0"/>
    <n v="0"/>
    <n v="0"/>
    <n v="0"/>
    <n v="0"/>
    <n v="0.1"/>
    <n v="0.1"/>
    <n v="10"/>
    <n v="4"/>
    <n v="5"/>
    <n v="0"/>
    <n v="0"/>
    <n v="0"/>
    <n v="0"/>
    <n v="0"/>
    <n v="0"/>
    <n v="0.06"/>
    <n v="0.06"/>
    <n v="0"/>
    <n v="0.06"/>
    <x v="13"/>
  </r>
  <r>
    <x v="390"/>
    <s v="eng ENG"/>
    <s v="eng"/>
    <s v="ENG"/>
    <s v="FW"/>
    <x v="1"/>
    <n v="17"/>
    <x v="3"/>
    <n v="3"/>
    <n v="0"/>
    <n v="16"/>
    <x v="0"/>
    <n v="0.2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13"/>
  </r>
  <r>
    <x v="391"/>
    <s v="nl NED"/>
    <s v="nl"/>
    <s v="NED"/>
    <s v="DF"/>
    <x v="2"/>
    <n v="26"/>
    <x v="1"/>
    <n v="1"/>
    <n v="0"/>
    <n v="3"/>
    <x v="0"/>
    <n v="0"/>
    <n v="0"/>
    <n v="0"/>
    <n v="0"/>
    <n v="0"/>
    <n v="0"/>
    <n v="0"/>
    <n v="0"/>
    <n v="0"/>
    <n v="0"/>
    <n v="0"/>
    <n v="0"/>
    <n v="0.1"/>
    <n v="0.2"/>
    <n v="0"/>
    <n v="0"/>
    <n v="1"/>
    <n v="0"/>
    <n v="0"/>
    <n v="0"/>
    <n v="0"/>
    <n v="0"/>
    <n v="1.0900000000000001"/>
    <n v="4.4400000000000004"/>
    <n v="5.54"/>
    <n v="1.0900000000000001"/>
    <n v="5.54"/>
    <x v="13"/>
  </r>
  <r>
    <x v="392"/>
    <s v="eng ENG"/>
    <s v="eng"/>
    <s v="ENG"/>
    <s v="MF"/>
    <x v="0"/>
    <n v="18"/>
    <x v="3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3"/>
  </r>
  <r>
    <x v="393"/>
    <s v="se SWE"/>
    <s v="se"/>
    <s v="SWE"/>
    <s v="FW"/>
    <x v="1"/>
    <n v="23"/>
    <x v="0"/>
    <n v="30"/>
    <n v="27"/>
    <n v="2255"/>
    <x v="1"/>
    <n v="25.1"/>
    <n v="21"/>
    <n v="2"/>
    <n v="23"/>
    <n v="16"/>
    <n v="5"/>
    <n v="6"/>
    <n v="1"/>
    <n v="0"/>
    <n v="20.3"/>
    <n v="0.69999999999999929"/>
    <n v="15.6"/>
    <n v="3.7"/>
    <n v="19.3"/>
    <n v="68"/>
    <n v="71"/>
    <n v="129"/>
    <n v="0.84"/>
    <n v="0.08"/>
    <n v="0.92"/>
    <n v="0.64"/>
    <n v="0.72"/>
    <n v="0.81"/>
    <n v="0.15"/>
    <n v="0.96"/>
    <n v="0.62"/>
    <n v="0.77"/>
    <x v="14"/>
  </r>
  <r>
    <x v="394"/>
    <s v="eng ENG"/>
    <s v="eng"/>
    <s v="ENG"/>
    <s v="FW"/>
    <x v="1"/>
    <n v="31"/>
    <x v="2"/>
    <n v="20"/>
    <n v="9"/>
    <n v="991"/>
    <x v="0"/>
    <n v="11"/>
    <n v="9"/>
    <n v="1"/>
    <n v="10"/>
    <n v="7"/>
    <n v="2"/>
    <n v="2"/>
    <n v="3"/>
    <n v="0"/>
    <n v="8.8000000000000007"/>
    <n v="0.19999999999999929"/>
    <n v="7.2"/>
    <n v="0.6"/>
    <n v="7.8"/>
    <n v="11"/>
    <n v="9"/>
    <n v="77"/>
    <n v="0.82"/>
    <n v="0.09"/>
    <n v="0.91"/>
    <n v="0.64"/>
    <n v="0.73"/>
    <n v="0.8"/>
    <n v="0.05"/>
    <n v="0.85"/>
    <n v="0.65"/>
    <n v="0.71"/>
    <x v="14"/>
  </r>
  <r>
    <x v="395"/>
    <s v="eng ENG"/>
    <s v="eng"/>
    <s v="ENG"/>
    <s v="FW,MF"/>
    <x v="1"/>
    <n v="25"/>
    <x v="1"/>
    <n v="21"/>
    <n v="7"/>
    <n v="802"/>
    <x v="0"/>
    <n v="8.9"/>
    <n v="5"/>
    <n v="3"/>
    <n v="8"/>
    <n v="5"/>
    <n v="0"/>
    <n v="0"/>
    <n v="2"/>
    <n v="0"/>
    <n v="3.6"/>
    <n v="1.4"/>
    <n v="3.6"/>
    <n v="3.2"/>
    <n v="6.8"/>
    <n v="45"/>
    <n v="34"/>
    <n v="79"/>
    <n v="0.56000000000000005"/>
    <n v="0.34"/>
    <n v="0.9"/>
    <n v="0.56000000000000005"/>
    <n v="0.9"/>
    <n v="0.4"/>
    <n v="0.36"/>
    <n v="0.76"/>
    <n v="0.4"/>
    <n v="0.76"/>
    <x v="14"/>
  </r>
  <r>
    <x v="396"/>
    <s v="eng ENG"/>
    <s v="eng"/>
    <s v="ENG"/>
    <s v="FW,DF"/>
    <x v="1"/>
    <n v="28"/>
    <x v="1"/>
    <n v="21"/>
    <n v="14"/>
    <n v="1189"/>
    <x v="1"/>
    <n v="13.2"/>
    <n v="3"/>
    <n v="7"/>
    <n v="10"/>
    <n v="3"/>
    <n v="0"/>
    <n v="0"/>
    <n v="1"/>
    <n v="0"/>
    <n v="2.1"/>
    <n v="0.89999999999999991"/>
    <n v="2.1"/>
    <n v="5"/>
    <n v="7.1"/>
    <n v="33"/>
    <n v="52"/>
    <n v="113"/>
    <n v="0.23"/>
    <n v="0.53"/>
    <n v="0.76"/>
    <n v="0.23"/>
    <n v="0.76"/>
    <n v="0.16"/>
    <n v="0.37"/>
    <n v="0.54"/>
    <n v="0.16"/>
    <n v="0.54"/>
    <x v="14"/>
  </r>
  <r>
    <x v="397"/>
    <s v="sct SCO"/>
    <s v="sct"/>
    <s v="SCO"/>
    <s v="FW,MF"/>
    <x v="1"/>
    <n v="33"/>
    <x v="2"/>
    <n v="13"/>
    <n v="0"/>
    <n v="128"/>
    <x v="0"/>
    <n v="1.4"/>
    <n v="1"/>
    <n v="0"/>
    <n v="1"/>
    <n v="1"/>
    <n v="0"/>
    <n v="0"/>
    <n v="1"/>
    <n v="0"/>
    <n v="1"/>
    <n v="0"/>
    <n v="1"/>
    <n v="0"/>
    <n v="1"/>
    <n v="5"/>
    <n v="8"/>
    <n v="13"/>
    <n v="0.7"/>
    <n v="0"/>
    <n v="0.7"/>
    <n v="0.7"/>
    <n v="0.7"/>
    <n v="0.68"/>
    <n v="0"/>
    <n v="0.68"/>
    <n v="0.68"/>
    <n v="0.68"/>
    <x v="14"/>
  </r>
  <r>
    <x v="398"/>
    <s v="eng ENG"/>
    <s v="eng"/>
    <s v="ENG"/>
    <s v="FW"/>
    <x v="1"/>
    <n v="22"/>
    <x v="0"/>
    <n v="35"/>
    <n v="34"/>
    <n v="2890"/>
    <x v="1"/>
    <n v="32.1"/>
    <n v="11"/>
    <n v="10"/>
    <n v="21"/>
    <n v="10"/>
    <n v="1"/>
    <n v="1"/>
    <n v="12"/>
    <n v="1"/>
    <n v="10.199999999999999"/>
    <n v="0.80000000000000071"/>
    <n v="9.4"/>
    <n v="8"/>
    <n v="17.399999999999999"/>
    <n v="138"/>
    <n v="101"/>
    <n v="232"/>
    <n v="0.34"/>
    <n v="0.31"/>
    <n v="0.65"/>
    <n v="0.31"/>
    <n v="0.62"/>
    <n v="0.32"/>
    <n v="0.25"/>
    <n v="0.56999999999999995"/>
    <n v="0.28999999999999998"/>
    <n v="0.54"/>
    <x v="14"/>
  </r>
  <r>
    <x v="399"/>
    <s v="eng ENG"/>
    <s v="eng"/>
    <s v="ENG"/>
    <s v="DF"/>
    <x v="2"/>
    <n v="32"/>
    <x v="2"/>
    <n v="28"/>
    <n v="26"/>
    <n v="2236"/>
    <x v="1"/>
    <n v="24.8"/>
    <n v="1"/>
    <n v="10"/>
    <n v="11"/>
    <n v="1"/>
    <n v="0"/>
    <n v="0"/>
    <n v="5"/>
    <n v="0"/>
    <n v="0.7"/>
    <n v="0.30000000000000004"/>
    <n v="0.7"/>
    <n v="7.5"/>
    <n v="8.1999999999999993"/>
    <n v="34"/>
    <n v="157"/>
    <n v="128"/>
    <n v="0.04"/>
    <n v="0.4"/>
    <n v="0.44"/>
    <n v="0.04"/>
    <n v="0.44"/>
    <n v="0.03"/>
    <n v="0.3"/>
    <n v="0.33"/>
    <n v="0.03"/>
    <n v="0.33"/>
    <x v="14"/>
  </r>
  <r>
    <x v="400"/>
    <s v="br BRA"/>
    <s v="br"/>
    <s v="BRA"/>
    <s v="MF"/>
    <x v="0"/>
    <n v="25"/>
    <x v="1"/>
    <n v="37"/>
    <n v="37"/>
    <n v="3263"/>
    <x v="1"/>
    <n v="36.299999999999997"/>
    <n v="7"/>
    <n v="8"/>
    <n v="15"/>
    <n v="7"/>
    <n v="0"/>
    <n v="0"/>
    <n v="9"/>
    <n v="0"/>
    <n v="4.8"/>
    <n v="2.2000000000000002"/>
    <n v="4.8"/>
    <n v="6.4"/>
    <n v="11.2"/>
    <n v="65"/>
    <n v="283"/>
    <n v="73"/>
    <n v="0.19"/>
    <n v="0.22"/>
    <n v="0.41"/>
    <n v="0.19"/>
    <n v="0.41"/>
    <n v="0.13"/>
    <n v="0.18"/>
    <n v="0.31"/>
    <n v="0.13"/>
    <n v="0.31"/>
    <x v="14"/>
  </r>
  <r>
    <x v="401"/>
    <s v="eng ENG"/>
    <s v="eng"/>
    <s v="ENG"/>
    <s v="MF"/>
    <x v="0"/>
    <n v="17"/>
    <x v="3"/>
    <n v="17"/>
    <n v="14"/>
    <n v="1202"/>
    <x v="1"/>
    <n v="13.4"/>
    <n v="1"/>
    <n v="3"/>
    <n v="4"/>
    <n v="1"/>
    <n v="0"/>
    <n v="0"/>
    <n v="1"/>
    <n v="0"/>
    <n v="1.2"/>
    <n v="-0.19999999999999996"/>
    <n v="1.2"/>
    <n v="1.7"/>
    <n v="2.9"/>
    <n v="14"/>
    <n v="53"/>
    <n v="54"/>
    <n v="7.0000000000000007E-2"/>
    <n v="0.22"/>
    <n v="0.3"/>
    <n v="7.0000000000000007E-2"/>
    <n v="0.3"/>
    <n v="0.09"/>
    <n v="0.13"/>
    <n v="0.22"/>
    <n v="0.09"/>
    <n v="0.22"/>
    <x v="14"/>
  </r>
  <r>
    <x v="402"/>
    <s v="eng ENG"/>
    <s v="eng"/>
    <s v="ENG"/>
    <s v="MF"/>
    <x v="0"/>
    <n v="25"/>
    <x v="1"/>
    <n v="35"/>
    <n v="30"/>
    <n v="2747"/>
    <x v="1"/>
    <n v="30.5"/>
    <n v="6"/>
    <n v="2"/>
    <n v="8"/>
    <n v="6"/>
    <n v="0"/>
    <n v="0"/>
    <n v="7"/>
    <n v="0"/>
    <n v="6.6"/>
    <n v="-0.59999999999999964"/>
    <n v="6.6"/>
    <n v="2.2999999999999998"/>
    <n v="8.8000000000000007"/>
    <n v="24"/>
    <n v="145"/>
    <n v="116"/>
    <n v="0.2"/>
    <n v="7.0000000000000007E-2"/>
    <n v="0.26"/>
    <n v="0.2"/>
    <n v="0.26"/>
    <n v="0.22"/>
    <n v="7.0000000000000007E-2"/>
    <n v="0.28999999999999998"/>
    <n v="0.22"/>
    <n v="0.28999999999999998"/>
    <x v="14"/>
  </r>
  <r>
    <x v="403"/>
    <s v="nl NED"/>
    <s v="nl"/>
    <s v="NED"/>
    <s v="DF"/>
    <x v="2"/>
    <n v="23"/>
    <x v="0"/>
    <n v="17"/>
    <n v="15"/>
    <n v="1377"/>
    <x v="1"/>
    <n v="15.3"/>
    <n v="2"/>
    <n v="2"/>
    <n v="4"/>
    <n v="2"/>
    <n v="0"/>
    <n v="0"/>
    <n v="2"/>
    <n v="0"/>
    <n v="0.6"/>
    <n v="1.4"/>
    <n v="0.6"/>
    <n v="1"/>
    <n v="1.6"/>
    <n v="0"/>
    <n v="35"/>
    <n v="5"/>
    <n v="0.13"/>
    <n v="0.13"/>
    <n v="0.26"/>
    <n v="0.13"/>
    <n v="0.26"/>
    <n v="0.04"/>
    <n v="7.0000000000000007E-2"/>
    <n v="0.11"/>
    <n v="0.04"/>
    <n v="0.11"/>
    <x v="14"/>
  </r>
  <r>
    <x v="404"/>
    <s v="br BRA"/>
    <s v="br"/>
    <s v="BRA"/>
    <s v="MF,FW"/>
    <x v="0"/>
    <n v="26"/>
    <x v="1"/>
    <n v="20"/>
    <n v="15"/>
    <n v="1279"/>
    <x v="1"/>
    <n v="14.2"/>
    <n v="2"/>
    <n v="1"/>
    <n v="3"/>
    <n v="2"/>
    <n v="0"/>
    <n v="0"/>
    <n v="6"/>
    <n v="0"/>
    <n v="3.1"/>
    <n v="-1.1000000000000001"/>
    <n v="3.1"/>
    <n v="2.8"/>
    <n v="5.9"/>
    <n v="29"/>
    <n v="56"/>
    <n v="60"/>
    <n v="0.14000000000000001"/>
    <n v="7.0000000000000007E-2"/>
    <n v="0.21"/>
    <n v="0.14000000000000001"/>
    <n v="0.21"/>
    <n v="0.22"/>
    <n v="0.2"/>
    <n v="0.41"/>
    <n v="0.22"/>
    <n v="0.41"/>
    <x v="14"/>
  </r>
  <r>
    <x v="405"/>
    <s v="it ITA"/>
    <s v="it"/>
    <s v="ITA"/>
    <s v="MF"/>
    <x v="0"/>
    <n v="23"/>
    <x v="0"/>
    <n v="8"/>
    <n v="5"/>
    <n v="438"/>
    <x v="0"/>
    <n v="4.9000000000000004"/>
    <n v="1"/>
    <n v="0"/>
    <n v="1"/>
    <n v="1"/>
    <n v="0"/>
    <n v="0"/>
    <n v="2"/>
    <n v="0"/>
    <n v="0.7"/>
    <n v="0.30000000000000004"/>
    <n v="0.7"/>
    <n v="0.6"/>
    <n v="1.3"/>
    <n v="11"/>
    <n v="19"/>
    <n v="21"/>
    <n v="0.21"/>
    <n v="0"/>
    <n v="0.21"/>
    <n v="0.21"/>
    <n v="0.21"/>
    <n v="0.13"/>
    <n v="0.13"/>
    <n v="0.26"/>
    <n v="0.13"/>
    <n v="0.26"/>
    <x v="14"/>
  </r>
  <r>
    <x v="406"/>
    <s v="eng ENG"/>
    <s v="eng"/>
    <s v="ENG"/>
    <s v="MF"/>
    <x v="0"/>
    <n v="23"/>
    <x v="0"/>
    <n v="9"/>
    <n v="5"/>
    <n v="419"/>
    <x v="0"/>
    <n v="4.7"/>
    <n v="1"/>
    <n v="0"/>
    <n v="1"/>
    <n v="1"/>
    <n v="0"/>
    <n v="0"/>
    <n v="0"/>
    <n v="0"/>
    <n v="0.8"/>
    <n v="0.19999999999999996"/>
    <n v="0.8"/>
    <n v="0.6"/>
    <n v="1.4"/>
    <n v="16"/>
    <n v="17"/>
    <n v="26"/>
    <n v="0.21"/>
    <n v="0"/>
    <n v="0.21"/>
    <n v="0.21"/>
    <n v="0.21"/>
    <n v="0.17"/>
    <n v="0.12"/>
    <n v="0.3"/>
    <n v="0.17"/>
    <n v="0.3"/>
    <x v="14"/>
  </r>
  <r>
    <x v="407"/>
    <s v="py PAR"/>
    <s v="py"/>
    <s v="PAR"/>
    <s v="FW"/>
    <x v="1"/>
    <n v="29"/>
    <x v="1"/>
    <n v="33"/>
    <n v="23"/>
    <n v="1937"/>
    <x v="1"/>
    <n v="21.5"/>
    <n v="3"/>
    <n v="1"/>
    <n v="4"/>
    <n v="3"/>
    <n v="0"/>
    <n v="0"/>
    <n v="2"/>
    <n v="0"/>
    <n v="4.5"/>
    <n v="-1.5"/>
    <n v="4.5"/>
    <n v="2.6"/>
    <n v="7.2"/>
    <n v="78"/>
    <n v="78"/>
    <n v="162"/>
    <n v="0.14000000000000001"/>
    <n v="0.05"/>
    <n v="0.19"/>
    <n v="0.14000000000000001"/>
    <n v="0.19"/>
    <n v="0.21"/>
    <n v="0.12"/>
    <n v="0.33"/>
    <n v="0.21"/>
    <n v="0.33"/>
    <x v="14"/>
  </r>
  <r>
    <x v="408"/>
    <s v="sct SCO"/>
    <s v="sct"/>
    <s v="SCO"/>
    <s v="MF,FW"/>
    <x v="0"/>
    <n v="20"/>
    <x v="0"/>
    <n v="21"/>
    <n v="10"/>
    <n v="1027"/>
    <x v="1"/>
    <n v="11.4"/>
    <n v="0"/>
    <n v="2"/>
    <n v="2"/>
    <n v="0"/>
    <n v="0"/>
    <n v="0"/>
    <n v="3"/>
    <n v="0"/>
    <n v="1.5"/>
    <n v="-1.5"/>
    <n v="1.5"/>
    <n v="1.9"/>
    <n v="3.5"/>
    <n v="37"/>
    <n v="57"/>
    <n v="70"/>
    <n v="0"/>
    <n v="0.18"/>
    <n v="0.18"/>
    <n v="0"/>
    <n v="0.18"/>
    <n v="0.13"/>
    <n v="0.17"/>
    <n v="0.3"/>
    <n v="0.13"/>
    <n v="0.3"/>
    <x v="14"/>
  </r>
  <r>
    <x v="409"/>
    <s v="ch SUI"/>
    <s v="ch"/>
    <s v="SUI"/>
    <s v="DF"/>
    <x v="2"/>
    <n v="31"/>
    <x v="2"/>
    <n v="36"/>
    <n v="35"/>
    <n v="3054"/>
    <x v="1"/>
    <n v="33.9"/>
    <n v="4"/>
    <n v="1"/>
    <n v="5"/>
    <n v="4"/>
    <n v="0"/>
    <n v="0"/>
    <n v="5"/>
    <n v="0"/>
    <n v="2.5"/>
    <n v="1.5"/>
    <n v="2.5"/>
    <n v="0.7"/>
    <n v="3.3"/>
    <n v="28"/>
    <n v="133"/>
    <n v="20"/>
    <n v="0.12"/>
    <n v="0.03"/>
    <n v="0.15"/>
    <n v="0.12"/>
    <n v="0.15"/>
    <n v="7.0000000000000007E-2"/>
    <n v="0.02"/>
    <n v="0.1"/>
    <n v="7.0000000000000007E-2"/>
    <n v="0.1"/>
    <x v="14"/>
  </r>
  <r>
    <x v="410"/>
    <s v="eng ENG"/>
    <s v="eng"/>
    <s v="ENG"/>
    <s v="DF"/>
    <x v="2"/>
    <n v="31"/>
    <x v="2"/>
    <n v="33"/>
    <n v="32"/>
    <n v="2726"/>
    <x v="1"/>
    <n v="30.3"/>
    <n v="2"/>
    <n v="2"/>
    <n v="4"/>
    <n v="2"/>
    <n v="0"/>
    <n v="0"/>
    <n v="4"/>
    <n v="0"/>
    <n v="3.1"/>
    <n v="-1.1000000000000001"/>
    <n v="3.1"/>
    <n v="1.1000000000000001"/>
    <n v="4.2"/>
    <n v="14"/>
    <n v="75"/>
    <n v="25"/>
    <n v="7.0000000000000007E-2"/>
    <n v="7.0000000000000007E-2"/>
    <n v="0.13"/>
    <n v="7.0000000000000007E-2"/>
    <n v="0.13"/>
    <n v="0.1"/>
    <n v="0.04"/>
    <n v="0.14000000000000001"/>
    <n v="0.1"/>
    <n v="0.14000000000000001"/>
    <x v="14"/>
  </r>
  <r>
    <x v="411"/>
    <s v="eng ENG"/>
    <s v="eng"/>
    <s v="ENG"/>
    <s v="DF"/>
    <x v="2"/>
    <n v="18"/>
    <x v="3"/>
    <n v="18"/>
    <n v="8"/>
    <n v="781"/>
    <x v="0"/>
    <n v="8.6999999999999993"/>
    <n v="1"/>
    <n v="0"/>
    <n v="1"/>
    <n v="1"/>
    <n v="0"/>
    <n v="0"/>
    <n v="2"/>
    <n v="0"/>
    <n v="0.3"/>
    <n v="0.7"/>
    <n v="0.3"/>
    <n v="0.3"/>
    <n v="0.6"/>
    <n v="19"/>
    <n v="46"/>
    <n v="27"/>
    <n v="0.12"/>
    <n v="0"/>
    <n v="0.12"/>
    <n v="0.12"/>
    <n v="0.12"/>
    <n v="0.04"/>
    <n v="0.03"/>
    <n v="7.0000000000000007E-2"/>
    <n v="0.04"/>
    <n v="7.0000000000000007E-2"/>
    <x v="14"/>
  </r>
  <r>
    <x v="412"/>
    <s v="eng ENG"/>
    <s v="eng"/>
    <s v="ENG"/>
    <s v="DF"/>
    <x v="2"/>
    <n v="29"/>
    <x v="1"/>
    <n v="16"/>
    <n v="13"/>
    <n v="1080"/>
    <x v="1"/>
    <n v="12"/>
    <n v="1"/>
    <n v="0"/>
    <n v="1"/>
    <n v="1"/>
    <n v="0"/>
    <n v="0"/>
    <n v="4"/>
    <n v="0"/>
    <n v="0.7"/>
    <n v="0.30000000000000004"/>
    <n v="0.7"/>
    <n v="0.1"/>
    <n v="0.8"/>
    <n v="8"/>
    <n v="31"/>
    <n v="3"/>
    <n v="0.08"/>
    <n v="0"/>
    <n v="0.08"/>
    <n v="0.08"/>
    <n v="0.08"/>
    <n v="0.06"/>
    <n v="0.01"/>
    <n v="7.0000000000000007E-2"/>
    <n v="0.06"/>
    <n v="7.0000000000000007E-2"/>
    <x v="14"/>
  </r>
  <r>
    <x v="413"/>
    <s v="eng ENG"/>
    <s v="eng"/>
    <s v="ENG"/>
    <s v="DF"/>
    <x v="2"/>
    <n v="20"/>
    <x v="0"/>
    <n v="26"/>
    <n v="12"/>
    <n v="1314"/>
    <x v="1"/>
    <n v="14.6"/>
    <n v="1"/>
    <n v="0"/>
    <n v="1"/>
    <n v="1"/>
    <n v="0"/>
    <n v="0"/>
    <n v="1"/>
    <n v="0"/>
    <n v="0.4"/>
    <n v="0.6"/>
    <n v="0.4"/>
    <n v="0.8"/>
    <n v="1.2"/>
    <n v="44"/>
    <n v="61"/>
    <n v="76"/>
    <n v="7.0000000000000007E-2"/>
    <n v="0"/>
    <n v="7.0000000000000007E-2"/>
    <n v="7.0000000000000007E-2"/>
    <n v="7.0000000000000007E-2"/>
    <n v="0.03"/>
    <n v="0.05"/>
    <n v="0.08"/>
    <n v="0.03"/>
    <n v="0.08"/>
    <x v="14"/>
  </r>
  <r>
    <x v="414"/>
    <s v="sk SVK"/>
    <s v="sk"/>
    <s v="SVK"/>
    <s v="GK"/>
    <x v="3"/>
    <n v="34"/>
    <x v="2"/>
    <n v="23"/>
    <n v="22"/>
    <n v="1985"/>
    <x v="1"/>
    <n v="22.1"/>
    <n v="0"/>
    <n v="0"/>
    <n v="0"/>
    <n v="0"/>
    <n v="0"/>
    <n v="0"/>
    <n v="1"/>
    <n v="0"/>
    <n v="0"/>
    <n v="0"/>
    <n v="0"/>
    <n v="0.1"/>
    <n v="0.1"/>
    <n v="0"/>
    <n v="0"/>
    <n v="0"/>
    <n v="0"/>
    <n v="0"/>
    <n v="0"/>
    <n v="0"/>
    <n v="0"/>
    <n v="0"/>
    <n v="0"/>
    <n v="0"/>
    <n v="0"/>
    <n v="0"/>
    <x v="14"/>
  </r>
  <r>
    <x v="415"/>
    <s v="eng ENG"/>
    <s v="eng"/>
    <s v="ENG"/>
    <s v="GK"/>
    <x v="3"/>
    <n v="31"/>
    <x v="2"/>
    <n v="15"/>
    <n v="15"/>
    <n v="1345"/>
    <x v="1"/>
    <n v="14.9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4"/>
  </r>
  <r>
    <x v="416"/>
    <s v="se SWE"/>
    <s v="se"/>
    <s v="SWE"/>
    <s v="DF"/>
    <x v="2"/>
    <n v="28"/>
    <x v="1"/>
    <n v="17"/>
    <n v="8"/>
    <n v="913"/>
    <x v="0"/>
    <n v="10.1"/>
    <n v="0"/>
    <n v="0"/>
    <n v="0"/>
    <n v="0"/>
    <n v="0"/>
    <n v="0"/>
    <n v="2"/>
    <n v="0"/>
    <n v="0.2"/>
    <n v="-0.2"/>
    <n v="0.2"/>
    <n v="1"/>
    <n v="1.2"/>
    <n v="12"/>
    <n v="29"/>
    <n v="33"/>
    <n v="0"/>
    <n v="0"/>
    <n v="0"/>
    <n v="0"/>
    <n v="0"/>
    <n v="0.02"/>
    <n v="0.1"/>
    <n v="0.12"/>
    <n v="0.02"/>
    <n v="0.12"/>
    <x v="14"/>
  </r>
  <r>
    <x v="417"/>
    <s v="de GER"/>
    <s v="de"/>
    <s v="GER"/>
    <s v="GK"/>
    <x v="3"/>
    <n v="30"/>
    <x v="2"/>
    <n v="1"/>
    <n v="1"/>
    <n v="9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4"/>
  </r>
  <r>
    <x v="418"/>
    <s v="eng ENG"/>
    <s v="eng"/>
    <s v="ENG"/>
    <s v="DF"/>
    <x v="2"/>
    <n v="27"/>
    <x v="1"/>
    <n v="3"/>
    <n v="1"/>
    <n v="78"/>
    <x v="0"/>
    <n v="0.9"/>
    <n v="0"/>
    <n v="0"/>
    <n v="0"/>
    <n v="0"/>
    <n v="0"/>
    <n v="0"/>
    <n v="1"/>
    <n v="0"/>
    <n v="0"/>
    <n v="0"/>
    <n v="0"/>
    <n v="0"/>
    <n v="0"/>
    <n v="1"/>
    <n v="2"/>
    <n v="0"/>
    <n v="0"/>
    <n v="0"/>
    <n v="0"/>
    <n v="0"/>
    <n v="0"/>
    <n v="0"/>
    <n v="0.03"/>
    <n v="0.03"/>
    <n v="0"/>
    <n v="0.03"/>
    <x v="14"/>
  </r>
  <r>
    <x v="419"/>
    <s v="eng ENG"/>
    <s v="eng"/>
    <s v="ENG"/>
    <s v="FW"/>
    <x v="1"/>
    <n v="18"/>
    <x v="3"/>
    <n v="1"/>
    <n v="0"/>
    <n v="25"/>
    <x v="0"/>
    <n v="0.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4"/>
  </r>
  <r>
    <x v="420"/>
    <s v="wls WAL"/>
    <s v="wls"/>
    <s v="WAL"/>
    <s v="DF"/>
    <x v="2"/>
    <n v="31"/>
    <x v="2"/>
    <n v="5"/>
    <n v="0"/>
    <n v="20"/>
    <x v="0"/>
    <n v="0.2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.11"/>
    <n v="0"/>
    <n v="0.11"/>
    <n v="0.11"/>
    <n v="0.11"/>
    <x v="14"/>
  </r>
  <r>
    <x v="421"/>
    <s v="ie IRL"/>
    <s v="ie"/>
    <s v="IRL"/>
    <s v="DF,FW"/>
    <x v="2"/>
    <n v="19"/>
    <x v="3"/>
    <n v="2"/>
    <n v="0"/>
    <n v="13"/>
    <x v="0"/>
    <n v="0.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14"/>
  </r>
  <r>
    <x v="422"/>
    <s v="eng ENG"/>
    <s v="eng"/>
    <s v="ENG"/>
    <s v="MF"/>
    <x v="0"/>
    <n v="20"/>
    <x v="0"/>
    <n v="4"/>
    <n v="0"/>
    <n v="13"/>
    <x v="0"/>
    <n v="0.1"/>
    <n v="0"/>
    <n v="0"/>
    <n v="0"/>
    <n v="0"/>
    <n v="0"/>
    <n v="0"/>
    <n v="1"/>
    <n v="0"/>
    <n v="0"/>
    <n v="0"/>
    <n v="0"/>
    <n v="0"/>
    <n v="0"/>
    <n v="2"/>
    <n v="3"/>
    <n v="3"/>
    <n v="0"/>
    <n v="0"/>
    <n v="0"/>
    <n v="0"/>
    <n v="0"/>
    <n v="0"/>
    <n v="0"/>
    <n v="0"/>
    <n v="0"/>
    <n v="0"/>
    <x v="14"/>
  </r>
  <r>
    <x v="423"/>
    <s v="eng ENG"/>
    <s v="eng"/>
    <s v="ENG"/>
    <s v="MF"/>
    <x v="0"/>
    <n v="20"/>
    <x v="0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4"/>
  </r>
  <r>
    <x v="424"/>
    <s v="eng ENG"/>
    <s v="eng"/>
    <s v="ENG"/>
    <s v="FW"/>
    <x v="1"/>
    <n v="19"/>
    <x v="3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4"/>
  </r>
  <r>
    <x v="425"/>
    <s v="ng NGA"/>
    <s v="ng"/>
    <s v="NGA"/>
    <s v="FW"/>
    <x v="1"/>
    <n v="25"/>
    <x v="1"/>
    <n v="20"/>
    <n v="12"/>
    <n v="1042"/>
    <x v="1"/>
    <n v="11.6"/>
    <n v="6"/>
    <n v="3"/>
    <n v="9"/>
    <n v="6"/>
    <n v="0"/>
    <n v="0"/>
    <n v="2"/>
    <n v="0"/>
    <n v="4.7"/>
    <n v="1.2999999999999998"/>
    <n v="4.7"/>
    <n v="1.7"/>
    <n v="6.4"/>
    <n v="8"/>
    <n v="14"/>
    <n v="45"/>
    <n v="0.52"/>
    <n v="0.26"/>
    <n v="0.78"/>
    <n v="0.52"/>
    <n v="0.78"/>
    <n v="0.41"/>
    <n v="0.15"/>
    <n v="0.56000000000000005"/>
    <n v="0.41"/>
    <n v="0.56000000000000005"/>
    <x v="15"/>
  </r>
  <r>
    <x v="426"/>
    <s v="nz NZL"/>
    <s v="nz"/>
    <s v="NZL"/>
    <s v="FW"/>
    <x v="1"/>
    <n v="31"/>
    <x v="2"/>
    <n v="31"/>
    <n v="20"/>
    <n v="1812"/>
    <x v="1"/>
    <n v="20.100000000000001"/>
    <n v="14"/>
    <n v="1"/>
    <n v="15"/>
    <n v="14"/>
    <n v="0"/>
    <n v="0"/>
    <n v="0"/>
    <n v="0"/>
    <n v="11.9"/>
    <n v="2.0999999999999996"/>
    <n v="11.9"/>
    <n v="2.1"/>
    <n v="14"/>
    <n v="16"/>
    <n v="30"/>
    <n v="76"/>
    <n v="0.7"/>
    <n v="0.05"/>
    <n v="0.75"/>
    <n v="0.7"/>
    <n v="0.75"/>
    <n v="0.59"/>
    <n v="0.1"/>
    <n v="0.7"/>
    <n v="0.59"/>
    <n v="0.7"/>
    <x v="15"/>
  </r>
  <r>
    <x v="427"/>
    <s v="se SWE"/>
    <s v="se"/>
    <s v="SWE"/>
    <s v="FW,MF"/>
    <x v="1"/>
    <n v="21"/>
    <x v="0"/>
    <n v="36"/>
    <n v="25"/>
    <n v="2433"/>
    <x v="1"/>
    <n v="27"/>
    <n v="5"/>
    <n v="9"/>
    <n v="14"/>
    <n v="5"/>
    <n v="0"/>
    <n v="0"/>
    <n v="1"/>
    <n v="0"/>
    <n v="6.6"/>
    <n v="-1.5999999999999996"/>
    <n v="6.6"/>
    <n v="6.7"/>
    <n v="13.3"/>
    <n v="98"/>
    <n v="49"/>
    <n v="196"/>
    <n v="0.18"/>
    <n v="0.33"/>
    <n v="0.52"/>
    <n v="0.18"/>
    <n v="0.52"/>
    <n v="0.24"/>
    <n v="0.25"/>
    <n v="0.49"/>
    <n v="0.24"/>
    <n v="0.49"/>
    <x v="15"/>
  </r>
  <r>
    <x v="428"/>
    <s v="eng ENG"/>
    <s v="eng"/>
    <s v="ENG"/>
    <s v="FW,MF"/>
    <x v="1"/>
    <n v="22"/>
    <x v="0"/>
    <n v="29"/>
    <n v="20"/>
    <n v="1854"/>
    <x v="1"/>
    <n v="20.6"/>
    <n v="8"/>
    <n v="1"/>
    <n v="9"/>
    <n v="8"/>
    <n v="0"/>
    <n v="0"/>
    <n v="0"/>
    <n v="0"/>
    <n v="2.7"/>
    <n v="5.3"/>
    <n v="2.7"/>
    <n v="2.8"/>
    <n v="5.5"/>
    <n v="111"/>
    <n v="58"/>
    <n v="171"/>
    <n v="0.39"/>
    <n v="0.05"/>
    <n v="0.44"/>
    <n v="0.39"/>
    <n v="0.44"/>
    <n v="0.13"/>
    <n v="0.14000000000000001"/>
    <n v="0.27"/>
    <n v="0.13"/>
    <n v="0.27"/>
    <x v="15"/>
  </r>
  <r>
    <x v="429"/>
    <s v="eng ENG"/>
    <s v="eng"/>
    <s v="ENG"/>
    <s v="MF,FW"/>
    <x v="0"/>
    <n v="23"/>
    <x v="0"/>
    <n v="37"/>
    <n v="35"/>
    <n v="3156"/>
    <x v="1"/>
    <n v="35.1"/>
    <n v="5"/>
    <n v="10"/>
    <n v="15"/>
    <n v="4"/>
    <n v="1"/>
    <n v="1"/>
    <n v="9"/>
    <n v="0"/>
    <n v="6.9"/>
    <n v="-1.9000000000000004"/>
    <n v="6.1"/>
    <n v="8.4"/>
    <n v="14.6"/>
    <n v="80"/>
    <n v="170"/>
    <n v="181"/>
    <n v="0.14000000000000001"/>
    <n v="0.28999999999999998"/>
    <n v="0.43"/>
    <n v="0.11"/>
    <n v="0.4"/>
    <n v="0.2"/>
    <n v="0.24"/>
    <n v="0.44"/>
    <n v="0.17"/>
    <n v="0.42"/>
    <x v="15"/>
  </r>
  <r>
    <x v="430"/>
    <s v="us USA"/>
    <s v="us"/>
    <s v="USA"/>
    <s v="FW,MF"/>
    <x v="1"/>
    <n v="20"/>
    <x v="0"/>
    <n v="9"/>
    <n v="2"/>
    <n v="235"/>
    <x v="0"/>
    <n v="2.6"/>
    <n v="0"/>
    <n v="1"/>
    <n v="1"/>
    <n v="0"/>
    <n v="0"/>
    <n v="0"/>
    <n v="0"/>
    <n v="0"/>
    <n v="0.3"/>
    <n v="-0.3"/>
    <n v="0.3"/>
    <n v="0.5"/>
    <n v="0.8"/>
    <n v="3"/>
    <n v="12"/>
    <n v="14"/>
    <n v="0"/>
    <n v="0.38"/>
    <n v="0.38"/>
    <n v="0"/>
    <n v="0.38"/>
    <n v="0.11"/>
    <n v="0.18"/>
    <n v="0.28999999999999998"/>
    <n v="0.11"/>
    <n v="0.28999999999999998"/>
    <x v="15"/>
  </r>
  <r>
    <x v="431"/>
    <s v="eng ENG"/>
    <s v="eng"/>
    <s v="ENG"/>
    <s v="DF"/>
    <x v="2"/>
    <n v="27"/>
    <x v="1"/>
    <n v="23"/>
    <n v="15"/>
    <n v="1459"/>
    <x v="1"/>
    <n v="16.2"/>
    <n v="1"/>
    <n v="3"/>
    <n v="4"/>
    <n v="1"/>
    <n v="0"/>
    <n v="0"/>
    <n v="3"/>
    <n v="0"/>
    <n v="1.6"/>
    <n v="-0.60000000000000009"/>
    <n v="1.6"/>
    <n v="1.5"/>
    <n v="3.2"/>
    <n v="10"/>
    <n v="42"/>
    <n v="34"/>
    <n v="0.06"/>
    <n v="0.19"/>
    <n v="0.25"/>
    <n v="0.06"/>
    <n v="0.25"/>
    <n v="0.1"/>
    <n v="0.1"/>
    <n v="0.2"/>
    <n v="0.1"/>
    <n v="0.2"/>
    <x v="15"/>
  </r>
  <r>
    <x v="432"/>
    <s v="ar ARG"/>
    <s v="ar"/>
    <s v="ARG"/>
    <s v="MF,FW"/>
    <x v="0"/>
    <n v="25"/>
    <x v="1"/>
    <n v="26"/>
    <n v="19"/>
    <n v="1495"/>
    <x v="1"/>
    <n v="16.600000000000001"/>
    <n v="2"/>
    <n v="2"/>
    <n v="4"/>
    <n v="2"/>
    <n v="0"/>
    <n v="0"/>
    <n v="4"/>
    <n v="0"/>
    <n v="1.3"/>
    <n v="0.7"/>
    <n v="1.3"/>
    <n v="1"/>
    <n v="2.2999999999999998"/>
    <n v="14"/>
    <n v="91"/>
    <n v="43"/>
    <n v="0.12"/>
    <n v="0.12"/>
    <n v="0.24"/>
    <n v="0.12"/>
    <n v="0.24"/>
    <n v="0.08"/>
    <n v="0.06"/>
    <n v="0.14000000000000001"/>
    <n v="0.08"/>
    <n v="0.14000000000000001"/>
    <x v="15"/>
  </r>
  <r>
    <x v="433"/>
    <s v="ci CIV"/>
    <s v="ci"/>
    <s v="CIV"/>
    <s v="DF,MF"/>
    <x v="2"/>
    <n v="30"/>
    <x v="2"/>
    <n v="12"/>
    <n v="10"/>
    <n v="833"/>
    <x v="0"/>
    <n v="9.3000000000000007"/>
    <n v="0"/>
    <n v="2"/>
    <n v="2"/>
    <n v="0"/>
    <n v="0"/>
    <n v="0"/>
    <n v="2"/>
    <n v="0"/>
    <n v="0.2"/>
    <n v="-0.2"/>
    <n v="0.2"/>
    <n v="0.5"/>
    <n v="0.6"/>
    <n v="10"/>
    <n v="47"/>
    <n v="29"/>
    <n v="0"/>
    <n v="0.22"/>
    <n v="0.22"/>
    <n v="0"/>
    <n v="0.22"/>
    <n v="0.02"/>
    <n v="0.05"/>
    <n v="7.0000000000000007E-2"/>
    <n v="0.02"/>
    <n v="7.0000000000000007E-2"/>
    <x v="15"/>
  </r>
  <r>
    <x v="434"/>
    <s v="ar ARG"/>
    <s v="ar"/>
    <s v="ARG"/>
    <s v="DF"/>
    <x v="2"/>
    <n v="26"/>
    <x v="1"/>
    <n v="14"/>
    <n v="8"/>
    <n v="801"/>
    <x v="0"/>
    <n v="8.9"/>
    <n v="0"/>
    <n v="2"/>
    <n v="2"/>
    <n v="0"/>
    <n v="0"/>
    <n v="0"/>
    <n v="5"/>
    <n v="0"/>
    <n v="0.1"/>
    <n v="-0.1"/>
    <n v="0.1"/>
    <n v="1.4"/>
    <n v="1.5"/>
    <n v="10"/>
    <n v="28"/>
    <n v="32"/>
    <n v="0"/>
    <n v="0.22"/>
    <n v="0.22"/>
    <n v="0"/>
    <n v="0.22"/>
    <n v="0.01"/>
    <n v="0.15"/>
    <n v="0.17"/>
    <n v="0.01"/>
    <n v="0.17"/>
    <x v="15"/>
  </r>
  <r>
    <x v="435"/>
    <s v="br BRA"/>
    <s v="br"/>
    <s v="BRA"/>
    <s v="MF"/>
    <x v="0"/>
    <n v="22"/>
    <x v="0"/>
    <n v="29"/>
    <n v="20"/>
    <n v="1792"/>
    <x v="1"/>
    <n v="19.899999999999999"/>
    <n v="2"/>
    <n v="2"/>
    <n v="4"/>
    <n v="2"/>
    <n v="0"/>
    <n v="0"/>
    <n v="4"/>
    <n v="0"/>
    <n v="1.8"/>
    <n v="0.19999999999999996"/>
    <n v="1.8"/>
    <n v="1.5"/>
    <n v="3.4"/>
    <n v="22"/>
    <n v="83"/>
    <n v="28"/>
    <n v="0.1"/>
    <n v="0.1"/>
    <n v="0.2"/>
    <n v="0.1"/>
    <n v="0.2"/>
    <n v="0.09"/>
    <n v="0.08"/>
    <n v="0.17"/>
    <n v="0.09"/>
    <n v="0.17"/>
    <x v="15"/>
  </r>
  <r>
    <x v="436"/>
    <s v="ci CIV"/>
    <s v="ci"/>
    <s v="CIV"/>
    <s v="DF"/>
    <x v="2"/>
    <n v="32"/>
    <x v="2"/>
    <n v="20"/>
    <n v="18"/>
    <n v="1438"/>
    <x v="1"/>
    <n v="16"/>
    <n v="2"/>
    <n v="1"/>
    <n v="3"/>
    <n v="2"/>
    <n v="0"/>
    <n v="0"/>
    <n v="3"/>
    <n v="1"/>
    <n v="1.5"/>
    <n v="0.5"/>
    <n v="1.5"/>
    <n v="1.3"/>
    <n v="2.8"/>
    <n v="4"/>
    <n v="32"/>
    <n v="3"/>
    <n v="0.13"/>
    <n v="0.06"/>
    <n v="0.19"/>
    <n v="0.13"/>
    <n v="0.19"/>
    <n v="0.09"/>
    <n v="0.08"/>
    <n v="0.18"/>
    <n v="0.09"/>
    <n v="0.18"/>
    <x v="15"/>
  </r>
  <r>
    <x v="437"/>
    <s v="be BEL"/>
    <s v="be"/>
    <s v="BEL"/>
    <s v="FW"/>
    <x v="1"/>
    <n v="28"/>
    <x v="1"/>
    <n v="20"/>
    <n v="6"/>
    <n v="606"/>
    <x v="0"/>
    <n v="6.7"/>
    <n v="0"/>
    <n v="1"/>
    <n v="1"/>
    <n v="0"/>
    <n v="0"/>
    <n v="0"/>
    <n v="1"/>
    <n v="0"/>
    <n v="1.4"/>
    <n v="-1.4"/>
    <n v="1.4"/>
    <n v="2.1"/>
    <n v="3.5"/>
    <n v="19"/>
    <n v="14"/>
    <n v="41"/>
    <n v="0"/>
    <n v="0.15"/>
    <n v="0.15"/>
    <n v="0"/>
    <n v="0.15"/>
    <n v="0.21"/>
    <n v="0.31"/>
    <n v="0.51"/>
    <n v="0.21"/>
    <n v="0.51"/>
    <x v="15"/>
  </r>
  <r>
    <x v="438"/>
    <s v="ng NGA"/>
    <s v="ng"/>
    <s v="NGA"/>
    <s v="DF"/>
    <x v="2"/>
    <n v="26"/>
    <x v="1"/>
    <n v="22"/>
    <n v="20"/>
    <n v="1692"/>
    <x v="1"/>
    <n v="18.8"/>
    <n v="1"/>
    <n v="1"/>
    <n v="2"/>
    <n v="1"/>
    <n v="0"/>
    <n v="0"/>
    <n v="3"/>
    <n v="0"/>
    <n v="0.3"/>
    <n v="0.7"/>
    <n v="0.3"/>
    <n v="0.9"/>
    <n v="1.2"/>
    <n v="53"/>
    <n v="68"/>
    <n v="38"/>
    <n v="0.05"/>
    <n v="0.05"/>
    <n v="0.11"/>
    <n v="0.05"/>
    <n v="0.11"/>
    <n v="0.01"/>
    <n v="0.05"/>
    <n v="0.06"/>
    <n v="0.01"/>
    <n v="0.06"/>
    <x v="15"/>
  </r>
  <r>
    <x v="439"/>
    <s v="eng ENG"/>
    <s v="eng"/>
    <s v="ENG"/>
    <s v="MF"/>
    <x v="0"/>
    <n v="25"/>
    <x v="1"/>
    <n v="35"/>
    <n v="21"/>
    <n v="1992"/>
    <x v="1"/>
    <n v="22.1"/>
    <n v="1"/>
    <n v="1"/>
    <n v="2"/>
    <n v="1"/>
    <n v="0"/>
    <n v="0"/>
    <n v="6"/>
    <n v="0"/>
    <n v="2.6"/>
    <n v="-1.6"/>
    <n v="2.6"/>
    <n v="0.8"/>
    <n v="3.5"/>
    <n v="18"/>
    <n v="73"/>
    <n v="37"/>
    <n v="0.05"/>
    <n v="0.05"/>
    <n v="0.09"/>
    <n v="0.05"/>
    <n v="0.09"/>
    <n v="0.12"/>
    <n v="0.04"/>
    <n v="0.16"/>
    <n v="0.12"/>
    <n v="0.16"/>
    <x v="15"/>
  </r>
  <r>
    <x v="440"/>
    <s v="br BRA"/>
    <s v="br"/>
    <s v="BRA"/>
    <s v="DF"/>
    <x v="2"/>
    <n v="21"/>
    <x v="0"/>
    <n v="32"/>
    <n v="32"/>
    <n v="2789"/>
    <x v="1"/>
    <n v="31"/>
    <n v="0"/>
    <n v="2"/>
    <n v="2"/>
    <n v="0"/>
    <n v="0"/>
    <n v="0"/>
    <n v="5"/>
    <n v="0"/>
    <n v="1.8"/>
    <n v="-1.8"/>
    <n v="1.8"/>
    <n v="1.2"/>
    <n v="3"/>
    <n v="22"/>
    <n v="89"/>
    <n v="7"/>
    <n v="0"/>
    <n v="0.06"/>
    <n v="0.06"/>
    <n v="0"/>
    <n v="0.06"/>
    <n v="0.06"/>
    <n v="0.04"/>
    <n v="0.1"/>
    <n v="0.06"/>
    <n v="0.1"/>
    <x v="15"/>
  </r>
  <r>
    <x v="441"/>
    <s v="be BEL"/>
    <s v="be"/>
    <s v="BEL"/>
    <s v="MF"/>
    <x v="0"/>
    <n v="25"/>
    <x v="1"/>
    <n v="20"/>
    <n v="19"/>
    <n v="1563"/>
    <x v="1"/>
    <n v="17.399999999999999"/>
    <n v="1"/>
    <n v="0"/>
    <n v="1"/>
    <n v="1"/>
    <n v="0"/>
    <n v="0"/>
    <n v="6"/>
    <n v="0"/>
    <n v="0.8"/>
    <n v="0.19999999999999996"/>
    <n v="0.8"/>
    <n v="0.2"/>
    <n v="1.1000000000000001"/>
    <n v="13"/>
    <n v="45"/>
    <n v="14"/>
    <n v="0.06"/>
    <n v="0"/>
    <n v="0.06"/>
    <n v="0.06"/>
    <n v="0.06"/>
    <n v="0.05"/>
    <n v="0.01"/>
    <n v="0.06"/>
    <n v="0.05"/>
    <n v="0.06"/>
    <x v="15"/>
  </r>
  <r>
    <x v="442"/>
    <s v="sn SEN"/>
    <s v="sn"/>
    <s v="SEN"/>
    <s v="DF"/>
    <x v="2"/>
    <n v="27"/>
    <x v="1"/>
    <n v="21"/>
    <n v="15"/>
    <n v="1460"/>
    <x v="1"/>
    <n v="16.2"/>
    <n v="1"/>
    <n v="0"/>
    <n v="1"/>
    <n v="1"/>
    <n v="0"/>
    <n v="0"/>
    <n v="5"/>
    <n v="1"/>
    <n v="1.1000000000000001"/>
    <n v="-0.10000000000000009"/>
    <n v="1.1000000000000001"/>
    <n v="0.1"/>
    <n v="1.2"/>
    <n v="13"/>
    <n v="39"/>
    <n v="6"/>
    <n v="0.06"/>
    <n v="0"/>
    <n v="0.06"/>
    <n v="0.06"/>
    <n v="0.06"/>
    <n v="7.0000000000000007E-2"/>
    <n v="0.01"/>
    <n v="0.08"/>
    <n v="7.0000000000000007E-2"/>
    <n v="0.08"/>
    <x v="15"/>
  </r>
  <r>
    <x v="443"/>
    <s v="wls WAL"/>
    <s v="wls"/>
    <s v="WAL"/>
    <s v="DF"/>
    <x v="2"/>
    <n v="22"/>
    <x v="0"/>
    <n v="26"/>
    <n v="18"/>
    <n v="1637"/>
    <x v="1"/>
    <n v="18.2"/>
    <n v="0"/>
    <n v="1"/>
    <n v="1"/>
    <n v="0"/>
    <n v="0"/>
    <n v="0"/>
    <n v="4"/>
    <n v="0"/>
    <n v="0.8"/>
    <n v="-0.8"/>
    <n v="0.8"/>
    <n v="1.6"/>
    <n v="2.5"/>
    <n v="48"/>
    <n v="47"/>
    <n v="86"/>
    <n v="0"/>
    <n v="0.05"/>
    <n v="0.05"/>
    <n v="0"/>
    <n v="0.05"/>
    <n v="0.04"/>
    <n v="0.09"/>
    <n v="0.13"/>
    <n v="0.04"/>
    <n v="0.13"/>
    <x v="15"/>
  </r>
  <r>
    <x v="444"/>
    <s v="us USA"/>
    <s v="us"/>
    <s v="USA"/>
    <s v="GK"/>
    <x v="3"/>
    <n v="29"/>
    <x v="1"/>
    <n v="17"/>
    <n v="17"/>
    <n v="1530"/>
    <x v="1"/>
    <n v="17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5"/>
  </r>
  <r>
    <x v="445"/>
    <s v="be BEL"/>
    <s v="be"/>
    <s v="BEL"/>
    <s v="GK"/>
    <x v="3"/>
    <n v="31"/>
    <x v="2"/>
    <n v="16"/>
    <n v="16"/>
    <n v="1440"/>
    <x v="1"/>
    <n v="16"/>
    <n v="0"/>
    <n v="0"/>
    <n v="0"/>
    <n v="0"/>
    <n v="0"/>
    <n v="0"/>
    <n v="1"/>
    <n v="0"/>
    <n v="0"/>
    <n v="0"/>
    <n v="0"/>
    <n v="0.1"/>
    <n v="0.1"/>
    <n v="0"/>
    <n v="0"/>
    <n v="0"/>
    <n v="0"/>
    <n v="0"/>
    <n v="0"/>
    <n v="0"/>
    <n v="0"/>
    <n v="0"/>
    <n v="0"/>
    <n v="0"/>
    <n v="0"/>
    <n v="0"/>
    <x v="15"/>
  </r>
  <r>
    <x v="446"/>
    <s v="ci CIV"/>
    <s v="ci"/>
    <s v="CIV"/>
    <s v="MF"/>
    <x v="0"/>
    <n v="25"/>
    <x v="1"/>
    <n v="17"/>
    <n v="13"/>
    <n v="1035"/>
    <x v="1"/>
    <n v="11.5"/>
    <n v="0"/>
    <n v="0"/>
    <n v="0"/>
    <n v="0"/>
    <n v="0"/>
    <n v="0"/>
    <n v="6"/>
    <n v="0"/>
    <n v="0.6"/>
    <n v="-0.6"/>
    <n v="0.6"/>
    <n v="0.4"/>
    <n v="1"/>
    <n v="5"/>
    <n v="44"/>
    <n v="7"/>
    <n v="0"/>
    <n v="0"/>
    <n v="0"/>
    <n v="0"/>
    <n v="0"/>
    <n v="0.06"/>
    <n v="0.03"/>
    <n v="0.09"/>
    <n v="0.06"/>
    <n v="0.09"/>
    <x v="15"/>
  </r>
  <r>
    <x v="447"/>
    <s v="ie IRL"/>
    <s v="ie"/>
    <s v="IRL"/>
    <s v="DF"/>
    <x v="2"/>
    <n v="21"/>
    <x v="0"/>
    <n v="11"/>
    <n v="8"/>
    <n v="783"/>
    <x v="0"/>
    <n v="8.6999999999999993"/>
    <n v="0"/>
    <n v="0"/>
    <n v="0"/>
    <n v="0"/>
    <n v="0"/>
    <n v="0"/>
    <n v="2"/>
    <n v="0"/>
    <n v="0.1"/>
    <n v="-0.1"/>
    <n v="0.1"/>
    <n v="0.1"/>
    <n v="0.2"/>
    <n v="1"/>
    <n v="8"/>
    <n v="0"/>
    <n v="0"/>
    <n v="0"/>
    <n v="0"/>
    <n v="0"/>
    <n v="0"/>
    <n v="0.02"/>
    <n v="0.01"/>
    <n v="0.03"/>
    <n v="0.02"/>
    <n v="0.03"/>
    <x v="15"/>
  </r>
  <r>
    <x v="448"/>
    <s v="pt POR"/>
    <s v="pt"/>
    <s v="POR"/>
    <s v="DF"/>
    <x v="2"/>
    <n v="23"/>
    <x v="0"/>
    <n v="8"/>
    <n v="5"/>
    <n v="457"/>
    <x v="0"/>
    <n v="5.0999999999999996"/>
    <n v="0"/>
    <n v="0"/>
    <n v="0"/>
    <n v="0"/>
    <n v="0"/>
    <n v="0"/>
    <n v="2"/>
    <n v="0"/>
    <n v="0.2"/>
    <n v="-0.2"/>
    <n v="0.2"/>
    <n v="0.5"/>
    <n v="0.7"/>
    <n v="14"/>
    <n v="24"/>
    <n v="12"/>
    <n v="0"/>
    <n v="0"/>
    <n v="0"/>
    <n v="0"/>
    <n v="0"/>
    <n v="0.03"/>
    <n v="0.1"/>
    <n v="0.13"/>
    <n v="0.03"/>
    <n v="0.13"/>
    <x v="15"/>
  </r>
  <r>
    <x v="449"/>
    <s v="gr GRE"/>
    <s v="gr"/>
    <s v="GRE"/>
    <s v="GK"/>
    <x v="3"/>
    <n v="29"/>
    <x v="1"/>
    <n v="5"/>
    <n v="5"/>
    <n v="450"/>
    <x v="0"/>
    <n v="5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.01"/>
    <n v="0.01"/>
    <n v="0"/>
    <n v="0.01"/>
    <x v="15"/>
  </r>
  <r>
    <x v="450"/>
    <s v="eng ENG"/>
    <s v="eng"/>
    <s v="ENG"/>
    <s v="DF"/>
    <x v="2"/>
    <n v="26"/>
    <x v="1"/>
    <n v="7"/>
    <n v="5"/>
    <n v="439"/>
    <x v="0"/>
    <n v="4.9000000000000004"/>
    <n v="0"/>
    <n v="0"/>
    <n v="0"/>
    <n v="0"/>
    <n v="0"/>
    <n v="0"/>
    <n v="0"/>
    <n v="1"/>
    <n v="0.1"/>
    <n v="-0.1"/>
    <n v="0.1"/>
    <n v="0.2"/>
    <n v="0.3"/>
    <n v="0"/>
    <n v="8"/>
    <n v="1"/>
    <n v="0"/>
    <n v="0"/>
    <n v="0"/>
    <n v="0"/>
    <n v="0"/>
    <n v="0.02"/>
    <n v="0.04"/>
    <n v="0.06"/>
    <n v="0.02"/>
    <n v="0.06"/>
    <x v="15"/>
  </r>
  <r>
    <x v="451"/>
    <s v="sct SCO"/>
    <s v="sct"/>
    <s v="SCO"/>
    <s v="DF"/>
    <x v="2"/>
    <n v="26"/>
    <x v="1"/>
    <n v="5"/>
    <n v="5"/>
    <n v="416"/>
    <x v="0"/>
    <n v="4.5999999999999996"/>
    <n v="0"/>
    <n v="0"/>
    <n v="0"/>
    <n v="0"/>
    <n v="0"/>
    <n v="0"/>
    <n v="0"/>
    <n v="0"/>
    <n v="0.2"/>
    <n v="-0.2"/>
    <n v="0.2"/>
    <n v="0.2"/>
    <n v="0.4"/>
    <n v="1"/>
    <n v="10"/>
    <n v="0"/>
    <n v="0"/>
    <n v="0"/>
    <n v="0"/>
    <n v="0"/>
    <n v="0"/>
    <n v="0.05"/>
    <n v="0.04"/>
    <n v="0.08"/>
    <n v="0.05"/>
    <n v="0.08"/>
    <x v="15"/>
  </r>
  <r>
    <x v="452"/>
    <s v="br BRA"/>
    <s v="br"/>
    <s v="BRA"/>
    <s v="DF"/>
    <x v="2"/>
    <n v="34"/>
    <x v="2"/>
    <n v="7"/>
    <n v="4"/>
    <n v="375"/>
    <x v="0"/>
    <n v="4.2"/>
    <n v="0"/>
    <n v="0"/>
    <n v="0"/>
    <n v="0"/>
    <n v="0"/>
    <n v="0"/>
    <n v="4"/>
    <n v="0"/>
    <n v="0.1"/>
    <n v="-0.1"/>
    <n v="0.1"/>
    <n v="0.1"/>
    <n v="0.2"/>
    <n v="1"/>
    <n v="6"/>
    <n v="0"/>
    <n v="0"/>
    <n v="0"/>
    <n v="0"/>
    <n v="0"/>
    <n v="0"/>
    <n v="0.03"/>
    <n v="0.01"/>
    <n v="0.04"/>
    <n v="0.03"/>
    <n v="0.04"/>
    <x v="15"/>
  </r>
  <r>
    <x v="453"/>
    <s v="wls WAL"/>
    <s v="wls"/>
    <s v="WAL"/>
    <s v="FW,MF"/>
    <x v="1"/>
    <n v="22"/>
    <x v="0"/>
    <n v="3"/>
    <n v="3"/>
    <n v="237"/>
    <x v="0"/>
    <n v="2.6"/>
    <n v="0"/>
    <n v="0"/>
    <n v="0"/>
    <n v="0"/>
    <n v="0"/>
    <n v="0"/>
    <n v="0"/>
    <n v="0"/>
    <n v="0.3"/>
    <n v="-0.3"/>
    <n v="0.3"/>
    <n v="0.2"/>
    <n v="0.5"/>
    <n v="8"/>
    <n v="1"/>
    <n v="14"/>
    <n v="0"/>
    <n v="0"/>
    <n v="0"/>
    <n v="0"/>
    <n v="0"/>
    <n v="0.12"/>
    <n v="0.08"/>
    <n v="0.21"/>
    <n v="0.12"/>
    <n v="0.21"/>
    <x v="15"/>
  </r>
  <r>
    <x v="454"/>
    <s v="sn SEN"/>
    <s v="sn"/>
    <s v="SEN"/>
    <s v="MF"/>
    <x v="0"/>
    <n v="33"/>
    <x v="2"/>
    <n v="12"/>
    <n v="2"/>
    <n v="212"/>
    <x v="0"/>
    <n v="2.4"/>
    <n v="0"/>
    <n v="0"/>
    <n v="0"/>
    <n v="0"/>
    <n v="0"/>
    <n v="0"/>
    <n v="2"/>
    <n v="0"/>
    <n v="0.3"/>
    <n v="-0.3"/>
    <n v="0.3"/>
    <n v="0"/>
    <n v="0.3"/>
    <n v="0"/>
    <n v="5"/>
    <n v="5"/>
    <n v="0"/>
    <n v="0"/>
    <n v="0"/>
    <n v="0"/>
    <n v="0"/>
    <n v="0.12"/>
    <n v="0.02"/>
    <n v="0.14000000000000001"/>
    <n v="0.12"/>
    <n v="0.14000000000000001"/>
    <x v="15"/>
  </r>
  <r>
    <x v="455"/>
    <s v="pt POR"/>
    <s v="pt"/>
    <s v="POR"/>
    <s v="MF,FW"/>
    <x v="0"/>
    <n v="18"/>
    <x v="3"/>
    <n v="4"/>
    <n v="0"/>
    <n v="17"/>
    <x v="0"/>
    <n v="0.2"/>
    <n v="0"/>
    <n v="0"/>
    <n v="0"/>
    <n v="0"/>
    <n v="0"/>
    <n v="0"/>
    <n v="0"/>
    <n v="0"/>
    <n v="0"/>
    <n v="0"/>
    <n v="0"/>
    <n v="0"/>
    <n v="0"/>
    <n v="2"/>
    <n v="2"/>
    <n v="1"/>
    <n v="0"/>
    <n v="0"/>
    <n v="0"/>
    <n v="0"/>
    <n v="0"/>
    <n v="0"/>
    <n v="0"/>
    <n v="0"/>
    <n v="0"/>
    <n v="0"/>
    <x v="15"/>
  </r>
  <r>
    <x v="456"/>
    <s v="br BRA"/>
    <s v="br"/>
    <s v="BRA"/>
    <s v="MF"/>
    <x v="0"/>
    <n v="19"/>
    <x v="3"/>
    <n v="1"/>
    <n v="0"/>
    <n v="8"/>
    <x v="0"/>
    <n v="0.1"/>
    <n v="0"/>
    <n v="0"/>
    <n v="0"/>
    <n v="0"/>
    <n v="0"/>
    <n v="0"/>
    <n v="0"/>
    <n v="0"/>
    <n v="0.1"/>
    <n v="-0.1"/>
    <n v="0.1"/>
    <n v="0"/>
    <n v="0.1"/>
    <n v="0"/>
    <n v="0"/>
    <n v="0"/>
    <n v="0"/>
    <n v="0"/>
    <n v="0"/>
    <n v="0"/>
    <n v="0"/>
    <n v="0.64"/>
    <n v="0"/>
    <n v="0.64"/>
    <n v="0.64"/>
    <n v="0.64"/>
    <x v="15"/>
  </r>
  <r>
    <x v="457"/>
    <s v="cr CRC"/>
    <s v="cr"/>
    <s v="CRC"/>
    <s v="FW"/>
    <x v="1"/>
    <n v="20"/>
    <x v="0"/>
    <n v="1"/>
    <n v="0"/>
    <n v="5"/>
    <x v="0"/>
    <n v="0.1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15"/>
  </r>
  <r>
    <x v="458"/>
    <s v="sct SCO"/>
    <s v="sct"/>
    <s v="SCO"/>
    <s v="FW"/>
    <x v="1"/>
    <n v="27"/>
    <x v="1"/>
    <n v="21"/>
    <n v="15"/>
    <n v="1280"/>
    <x v="1"/>
    <n v="14.2"/>
    <n v="6"/>
    <n v="3"/>
    <n v="9"/>
    <n v="4"/>
    <n v="2"/>
    <n v="2"/>
    <n v="7"/>
    <n v="2"/>
    <n v="6.9"/>
    <n v="-0.90000000000000036"/>
    <n v="5.3"/>
    <n v="2"/>
    <n v="7.3"/>
    <n v="6"/>
    <n v="30"/>
    <n v="60"/>
    <n v="0.42"/>
    <n v="0.21"/>
    <n v="0.63"/>
    <n v="0.28000000000000003"/>
    <n v="0.49"/>
    <n v="0.48"/>
    <n v="0.14000000000000001"/>
    <n v="0.62"/>
    <n v="0.37"/>
    <n v="0.51"/>
    <x v="16"/>
  </r>
  <r>
    <x v="459"/>
    <s v="cl CHI"/>
    <s v="cl"/>
    <s v="CHI"/>
    <s v="FW,MF"/>
    <x v="1"/>
    <n v="24"/>
    <x v="1"/>
    <n v="14"/>
    <n v="14"/>
    <n v="1105"/>
    <x v="1"/>
    <n v="12.3"/>
    <n v="6"/>
    <n v="1"/>
    <n v="7"/>
    <n v="5"/>
    <n v="1"/>
    <n v="1"/>
    <n v="3"/>
    <n v="0"/>
    <n v="6.1"/>
    <n v="-9.9999999999999645E-2"/>
    <n v="5.3"/>
    <n v="1.5"/>
    <n v="6.7"/>
    <n v="23"/>
    <n v="37"/>
    <n v="78"/>
    <n v="0.49"/>
    <n v="0.08"/>
    <n v="0.56999999999999995"/>
    <n v="0.41"/>
    <n v="0.49"/>
    <n v="0.49"/>
    <n v="0.12"/>
    <n v="0.61"/>
    <n v="0.43"/>
    <n v="0.55000000000000004"/>
    <x v="16"/>
  </r>
  <r>
    <x v="460"/>
    <s v="nl NED"/>
    <s v="nl"/>
    <s v="NED"/>
    <s v="MF"/>
    <x v="0"/>
    <n v="26"/>
    <x v="1"/>
    <n v="36"/>
    <n v="34"/>
    <n v="2910"/>
    <x v="1"/>
    <n v="32.299999999999997"/>
    <n v="4"/>
    <n v="6"/>
    <n v="10"/>
    <n v="4"/>
    <n v="0"/>
    <n v="0"/>
    <n v="9"/>
    <n v="0"/>
    <n v="3"/>
    <n v="1"/>
    <n v="3"/>
    <n v="6.1"/>
    <n v="9.1"/>
    <n v="36"/>
    <n v="135"/>
    <n v="86"/>
    <n v="0.12"/>
    <n v="0.19"/>
    <n v="0.31"/>
    <n v="0.12"/>
    <n v="0.31"/>
    <n v="0.09"/>
    <n v="0.19"/>
    <n v="0.28000000000000003"/>
    <n v="0.09"/>
    <n v="0.28000000000000003"/>
    <x v="16"/>
  </r>
  <r>
    <x v="362"/>
    <s v="eng ENG"/>
    <s v="eng"/>
    <s v="ENG"/>
    <s v="MF,FW"/>
    <x v="0"/>
    <n v="20"/>
    <x v="0"/>
    <n v="30"/>
    <n v="20"/>
    <n v="1822"/>
    <x v="1"/>
    <n v="20.2"/>
    <n v="3"/>
    <n v="3"/>
    <n v="6"/>
    <n v="2"/>
    <n v="1"/>
    <n v="1"/>
    <n v="2"/>
    <n v="0"/>
    <n v="3.1"/>
    <n v="-0.10000000000000009"/>
    <n v="2.2999999999999998"/>
    <n v="2.9"/>
    <n v="5.2"/>
    <n v="55"/>
    <n v="51"/>
    <n v="110"/>
    <n v="0.15"/>
    <n v="0.15"/>
    <n v="0.3"/>
    <n v="0.1"/>
    <n v="0.25"/>
    <n v="0.15"/>
    <n v="0.15"/>
    <n v="0.3"/>
    <n v="0.11"/>
    <n v="0.26"/>
    <x v="16"/>
  </r>
  <r>
    <x v="52"/>
    <s v="eng ENG"/>
    <s v="eng"/>
    <s v="ENG"/>
    <s v="FW,MF"/>
    <x v="1"/>
    <n v="22"/>
    <x v="0"/>
    <n v="29"/>
    <n v="21"/>
    <n v="1832"/>
    <x v="1"/>
    <n v="20.399999999999999"/>
    <n v="4"/>
    <n v="1"/>
    <n v="5"/>
    <n v="4"/>
    <n v="0"/>
    <n v="0"/>
    <n v="1"/>
    <n v="0"/>
    <n v="5.5"/>
    <n v="-1.5"/>
    <n v="5.5"/>
    <n v="2.8"/>
    <n v="8.3000000000000007"/>
    <n v="33"/>
    <n v="15"/>
    <n v="113"/>
    <n v="0.2"/>
    <n v="0.05"/>
    <n v="0.25"/>
    <n v="0.2"/>
    <n v="0.25"/>
    <n v="0.27"/>
    <n v="0.14000000000000001"/>
    <n v="0.41"/>
    <n v="0.27"/>
    <n v="0.41"/>
    <x v="16"/>
  </r>
  <r>
    <x v="461"/>
    <s v="eng ENG"/>
    <s v="eng"/>
    <s v="ENG"/>
    <s v="DF,MF"/>
    <x v="2"/>
    <n v="28"/>
    <x v="1"/>
    <n v="24"/>
    <n v="14"/>
    <n v="1367"/>
    <x v="1"/>
    <n v="15.2"/>
    <n v="0"/>
    <n v="2"/>
    <n v="2"/>
    <n v="0"/>
    <n v="0"/>
    <n v="0"/>
    <n v="3"/>
    <n v="0"/>
    <n v="0.2"/>
    <n v="-0.2"/>
    <n v="0.2"/>
    <n v="0.9"/>
    <n v="1.1000000000000001"/>
    <n v="16"/>
    <n v="55"/>
    <n v="44"/>
    <n v="0"/>
    <n v="0.13"/>
    <n v="0.13"/>
    <n v="0"/>
    <n v="0.13"/>
    <n v="0.01"/>
    <n v="0.06"/>
    <n v="7.0000000000000007E-2"/>
    <n v="0.01"/>
    <n v="7.0000000000000007E-2"/>
    <x v="16"/>
  </r>
  <r>
    <x v="462"/>
    <s v="eng ENG"/>
    <s v="eng"/>
    <s v="ENG"/>
    <s v="DF"/>
    <x v="2"/>
    <n v="23"/>
    <x v="0"/>
    <n v="34"/>
    <n v="32"/>
    <n v="2788"/>
    <x v="1"/>
    <n v="31"/>
    <n v="3"/>
    <n v="0"/>
    <n v="3"/>
    <n v="3"/>
    <n v="0"/>
    <n v="0"/>
    <n v="9"/>
    <n v="0"/>
    <n v="2.2999999999999998"/>
    <n v="0.70000000000000018"/>
    <n v="2.2999999999999998"/>
    <n v="1"/>
    <n v="3.3"/>
    <n v="38"/>
    <n v="60"/>
    <n v="92"/>
    <n v="0.1"/>
    <n v="0"/>
    <n v="0.1"/>
    <n v="0.1"/>
    <n v="0.1"/>
    <n v="7.0000000000000007E-2"/>
    <n v="0.03"/>
    <n v="0.11"/>
    <n v="7.0000000000000007E-2"/>
    <n v="0.11"/>
    <x v="16"/>
  </r>
  <r>
    <x v="463"/>
    <s v="gr GRE"/>
    <s v="gr"/>
    <s v="GRE"/>
    <s v="DF"/>
    <x v="2"/>
    <n v="30"/>
    <x v="2"/>
    <n v="13"/>
    <n v="11"/>
    <n v="969"/>
    <x v="0"/>
    <n v="10.8"/>
    <n v="0"/>
    <n v="1"/>
    <n v="1"/>
    <n v="0"/>
    <n v="0"/>
    <n v="0"/>
    <n v="4"/>
    <n v="0"/>
    <n v="0"/>
    <n v="0"/>
    <n v="0"/>
    <n v="0.8"/>
    <n v="0.8"/>
    <n v="9"/>
    <n v="31"/>
    <n v="24"/>
    <n v="0"/>
    <n v="0.09"/>
    <n v="0.09"/>
    <n v="0"/>
    <n v="0.09"/>
    <n v="0"/>
    <n v="7.0000000000000007E-2"/>
    <n v="0.08"/>
    <n v="0"/>
    <n v="0.08"/>
    <x v="16"/>
  </r>
  <r>
    <x v="464"/>
    <s v="ba BIH"/>
    <s v="ba"/>
    <s v="BIH"/>
    <s v="DF"/>
    <x v="2"/>
    <n v="24"/>
    <x v="1"/>
    <n v="31"/>
    <n v="29"/>
    <n v="2649"/>
    <x v="1"/>
    <n v="29.4"/>
    <n v="2"/>
    <n v="0"/>
    <n v="2"/>
    <n v="2"/>
    <n v="0"/>
    <n v="0"/>
    <n v="11"/>
    <n v="1"/>
    <n v="3.1"/>
    <n v="-1.1000000000000001"/>
    <n v="3.1"/>
    <n v="0.8"/>
    <n v="4"/>
    <n v="15"/>
    <n v="43"/>
    <n v="21"/>
    <n v="7.0000000000000007E-2"/>
    <n v="0"/>
    <n v="7.0000000000000007E-2"/>
    <n v="7.0000000000000007E-2"/>
    <n v="7.0000000000000007E-2"/>
    <n v="0.11"/>
    <n v="0.03"/>
    <n v="0.14000000000000001"/>
    <n v="0.11"/>
    <n v="0.14000000000000001"/>
    <x v="16"/>
  </r>
  <r>
    <x v="465"/>
    <s v="eng ENG"/>
    <s v="eng"/>
    <s v="ENG"/>
    <s v="DF"/>
    <x v="2"/>
    <n v="29"/>
    <x v="1"/>
    <n v="34"/>
    <n v="31"/>
    <n v="2885"/>
    <x v="1"/>
    <n v="32.1"/>
    <n v="1"/>
    <n v="1"/>
    <n v="2"/>
    <n v="1"/>
    <n v="0"/>
    <n v="0"/>
    <n v="10"/>
    <n v="0"/>
    <n v="1.2"/>
    <n v="-0.19999999999999996"/>
    <n v="1.2"/>
    <n v="1.2"/>
    <n v="2.4"/>
    <n v="8"/>
    <n v="63"/>
    <n v="14"/>
    <n v="0.03"/>
    <n v="0.03"/>
    <n v="0.06"/>
    <n v="0.03"/>
    <n v="0.06"/>
    <n v="0.04"/>
    <n v="0.04"/>
    <n v="0.08"/>
    <n v="0.04"/>
    <n v="0.08"/>
    <x v="16"/>
  </r>
  <r>
    <x v="466"/>
    <s v="nir NIR"/>
    <s v="nir"/>
    <s v="NIR"/>
    <s v="MF"/>
    <x v="0"/>
    <n v="32"/>
    <x v="2"/>
    <n v="27"/>
    <n v="16"/>
    <n v="1440"/>
    <x v="1"/>
    <n v="16"/>
    <n v="1"/>
    <n v="0"/>
    <n v="1"/>
    <n v="0"/>
    <n v="1"/>
    <n v="1"/>
    <n v="8"/>
    <n v="0"/>
    <n v="1.1000000000000001"/>
    <n v="-0.10000000000000009"/>
    <n v="0.3"/>
    <n v="0.6"/>
    <n v="0.9"/>
    <n v="3"/>
    <n v="73"/>
    <n v="10"/>
    <n v="0.06"/>
    <n v="0"/>
    <n v="0.06"/>
    <n v="0"/>
    <n v="0"/>
    <n v="7.0000000000000007E-2"/>
    <n v="0.04"/>
    <n v="0.11"/>
    <n v="0.02"/>
    <n v="0.06"/>
    <x v="16"/>
  </r>
  <r>
    <x v="467"/>
    <s v="br BRA"/>
    <s v="br"/>
    <s v="BRA"/>
    <s v="MF"/>
    <x v="0"/>
    <n v="24"/>
    <x v="1"/>
    <n v="36"/>
    <n v="29"/>
    <n v="2668"/>
    <x v="1"/>
    <n v="29.6"/>
    <n v="1"/>
    <n v="0"/>
    <n v="1"/>
    <n v="1"/>
    <n v="0"/>
    <n v="0"/>
    <n v="3"/>
    <n v="0"/>
    <n v="0.6"/>
    <n v="0.4"/>
    <n v="0.6"/>
    <n v="0.2"/>
    <n v="0.8"/>
    <n v="7"/>
    <n v="66"/>
    <n v="21"/>
    <n v="0.03"/>
    <n v="0"/>
    <n v="0.03"/>
    <n v="0.03"/>
    <n v="0.03"/>
    <n v="0.02"/>
    <n v="0.01"/>
    <n v="0.03"/>
    <n v="0.02"/>
    <n v="0.03"/>
    <x v="16"/>
  </r>
  <r>
    <x v="468"/>
    <s v="eng ENG"/>
    <s v="eng"/>
    <s v="ENG"/>
    <s v="GK"/>
    <x v="3"/>
    <n v="32"/>
    <x v="2"/>
    <n v="30"/>
    <n v="29"/>
    <n v="2649"/>
    <x v="1"/>
    <n v="29.4"/>
    <n v="0"/>
    <n v="0"/>
    <n v="0"/>
    <n v="0"/>
    <n v="0"/>
    <n v="0"/>
    <n v="2"/>
    <n v="0"/>
    <n v="0"/>
    <n v="0"/>
    <n v="0"/>
    <n v="0.1"/>
    <n v="0.1"/>
    <n v="0"/>
    <n v="0"/>
    <n v="0"/>
    <n v="0"/>
    <n v="0"/>
    <n v="0"/>
    <n v="0"/>
    <n v="0"/>
    <n v="0"/>
    <n v="0"/>
    <n v="0"/>
    <n v="0"/>
    <n v="0"/>
    <x v="16"/>
  </r>
  <r>
    <x v="469"/>
    <s v="us USA"/>
    <s v="us"/>
    <s v="USA"/>
    <s v="DF"/>
    <x v="2"/>
    <n v="24"/>
    <x v="1"/>
    <n v="32"/>
    <n v="28"/>
    <n v="2572"/>
    <x v="1"/>
    <n v="28.6"/>
    <n v="0"/>
    <n v="0"/>
    <n v="0"/>
    <n v="0"/>
    <n v="0"/>
    <n v="0"/>
    <n v="4"/>
    <n v="0"/>
    <n v="0.4"/>
    <n v="-0.4"/>
    <n v="0.4"/>
    <n v="1.1000000000000001"/>
    <n v="1.5"/>
    <n v="10"/>
    <n v="40"/>
    <n v="15"/>
    <n v="0"/>
    <n v="0"/>
    <n v="0"/>
    <n v="0"/>
    <n v="0"/>
    <n v="0.01"/>
    <n v="0.04"/>
    <n v="0.05"/>
    <n v="0.01"/>
    <n v="0.05"/>
    <x v="16"/>
  </r>
  <r>
    <x v="470"/>
    <s v="eng ENG"/>
    <s v="eng"/>
    <s v="ENG"/>
    <s v="MF,DF"/>
    <x v="0"/>
    <n v="19"/>
    <x v="3"/>
    <n v="20"/>
    <n v="12"/>
    <n v="938"/>
    <x v="0"/>
    <n v="10.4"/>
    <n v="0"/>
    <n v="0"/>
    <n v="0"/>
    <n v="0"/>
    <n v="0"/>
    <n v="0"/>
    <n v="1"/>
    <n v="0"/>
    <n v="0.4"/>
    <n v="-0.4"/>
    <n v="0.4"/>
    <n v="0.1"/>
    <n v="0.5"/>
    <n v="12"/>
    <n v="18"/>
    <n v="22"/>
    <n v="0"/>
    <n v="0"/>
    <n v="0"/>
    <n v="0"/>
    <n v="0"/>
    <n v="0.04"/>
    <n v="0.01"/>
    <n v="0.05"/>
    <n v="0.04"/>
    <n v="0.05"/>
    <x v="16"/>
  </r>
  <r>
    <x v="471"/>
    <s v="eng ENG"/>
    <s v="eng"/>
    <s v="ENG"/>
    <s v="MF"/>
    <x v="0"/>
    <n v="19"/>
    <x v="3"/>
    <n v="12"/>
    <n v="11"/>
    <n v="943"/>
    <x v="0"/>
    <n v="10.5"/>
    <n v="0"/>
    <n v="0"/>
    <n v="0"/>
    <n v="0"/>
    <n v="0"/>
    <n v="0"/>
    <n v="2"/>
    <n v="0"/>
    <n v="0"/>
    <n v="0"/>
    <n v="0"/>
    <n v="0.7"/>
    <n v="0.8"/>
    <n v="13"/>
    <n v="43"/>
    <n v="4"/>
    <n v="0"/>
    <n v="0"/>
    <n v="0"/>
    <n v="0"/>
    <n v="0"/>
    <n v="0"/>
    <n v="7.0000000000000007E-2"/>
    <n v="7.0000000000000007E-2"/>
    <n v="0"/>
    <n v="7.0000000000000007E-2"/>
    <x v="16"/>
  </r>
  <r>
    <x v="472"/>
    <s v="eng ENG"/>
    <s v="eng"/>
    <s v="ENG"/>
    <s v="DF"/>
    <x v="2"/>
    <n v="22"/>
    <x v="0"/>
    <n v="12"/>
    <n v="11"/>
    <n v="917"/>
    <x v="0"/>
    <n v="10.199999999999999"/>
    <n v="0"/>
    <n v="0"/>
    <n v="0"/>
    <n v="0"/>
    <n v="0"/>
    <n v="0"/>
    <n v="3"/>
    <n v="0"/>
    <n v="0.5"/>
    <n v="-0.5"/>
    <n v="0.5"/>
    <n v="0.1"/>
    <n v="0.6"/>
    <n v="8"/>
    <n v="33"/>
    <n v="22"/>
    <n v="0"/>
    <n v="0"/>
    <n v="0"/>
    <n v="0"/>
    <n v="0"/>
    <n v="0.05"/>
    <n v="0"/>
    <n v="0.06"/>
    <n v="0.05"/>
    <n v="0.06"/>
    <x v="16"/>
  </r>
  <r>
    <x v="473"/>
    <s v="dk DEN"/>
    <s v="dk"/>
    <s v="DEN"/>
    <s v="FW"/>
    <x v="1"/>
    <n v="19"/>
    <x v="3"/>
    <n v="21"/>
    <n v="9"/>
    <n v="786"/>
    <x v="0"/>
    <n v="8.6999999999999993"/>
    <n v="0"/>
    <n v="0"/>
    <n v="0"/>
    <n v="0"/>
    <n v="0"/>
    <n v="0"/>
    <n v="4"/>
    <n v="0"/>
    <n v="1.6"/>
    <n v="-1.6"/>
    <n v="1.6"/>
    <n v="0.1"/>
    <n v="1.7"/>
    <n v="7"/>
    <n v="2"/>
    <n v="41"/>
    <n v="0"/>
    <n v="0"/>
    <n v="0"/>
    <n v="0"/>
    <n v="0"/>
    <n v="0.19"/>
    <n v="0.01"/>
    <n v="0.2"/>
    <n v="0.19"/>
    <n v="0.2"/>
    <x v="16"/>
  </r>
  <r>
    <x v="474"/>
    <s v="hr CRO"/>
    <s v="hr"/>
    <s v="CRO"/>
    <s v="GK"/>
    <x v="3"/>
    <n v="27"/>
    <x v="1"/>
    <n v="9"/>
    <n v="9"/>
    <n v="771"/>
    <x v="0"/>
    <n v="8.6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6"/>
  </r>
  <r>
    <x v="475"/>
    <s v="eng ENG"/>
    <s v="eng"/>
    <s v="ENG"/>
    <s v="DF"/>
    <x v="2"/>
    <n v="26"/>
    <x v="1"/>
    <n v="10"/>
    <n v="9"/>
    <n v="710"/>
    <x v="0"/>
    <n v="7.9"/>
    <n v="0"/>
    <n v="0"/>
    <n v="0"/>
    <n v="0"/>
    <n v="0"/>
    <n v="0"/>
    <n v="3"/>
    <n v="1"/>
    <n v="0.6"/>
    <n v="-0.6"/>
    <n v="0.6"/>
    <n v="0.4"/>
    <n v="1.1000000000000001"/>
    <n v="0"/>
    <n v="13"/>
    <n v="0"/>
    <n v="0"/>
    <n v="0"/>
    <n v="0"/>
    <n v="0"/>
    <n v="0"/>
    <n v="0.08"/>
    <n v="0.05"/>
    <n v="0.13"/>
    <n v="0.08"/>
    <n v="0.13"/>
    <x v="16"/>
  </r>
  <r>
    <x v="476"/>
    <s v="dz ALG"/>
    <s v="dz"/>
    <s v="ALG"/>
    <s v="DF"/>
    <x v="2"/>
    <n v="22"/>
    <x v="0"/>
    <n v="11"/>
    <n v="6"/>
    <n v="531"/>
    <x v="0"/>
    <n v="5.9"/>
    <n v="0"/>
    <n v="0"/>
    <n v="0"/>
    <n v="0"/>
    <n v="0"/>
    <n v="0"/>
    <n v="1"/>
    <n v="0"/>
    <n v="0.2"/>
    <n v="-0.2"/>
    <n v="0.2"/>
    <n v="0.3"/>
    <n v="0.5"/>
    <n v="18"/>
    <n v="14"/>
    <n v="12"/>
    <n v="0"/>
    <n v="0"/>
    <n v="0"/>
    <n v="0"/>
    <n v="0"/>
    <n v="0.04"/>
    <n v="0.05"/>
    <n v="0.09"/>
    <n v="0.04"/>
    <n v="0.09"/>
    <x v="16"/>
  </r>
  <r>
    <x v="477"/>
    <s v="ie IRL"/>
    <s v="ie"/>
    <s v="IRL"/>
    <s v="DF"/>
    <x v="2"/>
    <n v="30"/>
    <x v="2"/>
    <n v="6"/>
    <n v="6"/>
    <n v="482"/>
    <x v="0"/>
    <n v="5.4"/>
    <n v="0"/>
    <n v="0"/>
    <n v="0"/>
    <n v="0"/>
    <n v="0"/>
    <n v="0"/>
    <n v="2"/>
    <n v="0"/>
    <n v="0.2"/>
    <n v="-0.2"/>
    <n v="0.2"/>
    <n v="0"/>
    <n v="0.2"/>
    <n v="0"/>
    <n v="5"/>
    <n v="1"/>
    <n v="0"/>
    <n v="0"/>
    <n v="0"/>
    <n v="0"/>
    <n v="0"/>
    <n v="0.03"/>
    <n v="0"/>
    <n v="0.03"/>
    <n v="0.03"/>
    <n v="0.03"/>
    <x v="16"/>
  </r>
  <r>
    <x v="478"/>
    <s v="eng ENG"/>
    <s v="eng"/>
    <s v="ENG"/>
    <s v="DF,MF"/>
    <x v="2"/>
    <n v="26"/>
    <x v="1"/>
    <n v="10"/>
    <n v="4"/>
    <n v="503"/>
    <x v="0"/>
    <n v="5.6"/>
    <n v="0"/>
    <n v="0"/>
    <n v="0"/>
    <n v="0"/>
    <n v="0"/>
    <n v="0"/>
    <n v="1"/>
    <n v="0"/>
    <n v="0.6"/>
    <n v="-0.6"/>
    <n v="0.6"/>
    <n v="0.7"/>
    <n v="1.3"/>
    <n v="5"/>
    <n v="12"/>
    <n v="11"/>
    <n v="0"/>
    <n v="0"/>
    <n v="0"/>
    <n v="0"/>
    <n v="0"/>
    <n v="0.1"/>
    <n v="0.13"/>
    <n v="0.23"/>
    <n v="0.1"/>
    <n v="0.23"/>
    <x v="16"/>
  </r>
  <r>
    <x v="479"/>
    <s v="tn TUN"/>
    <s v="tn"/>
    <s v="TUN"/>
    <s v="MF"/>
    <x v="0"/>
    <n v="22"/>
    <x v="0"/>
    <n v="15"/>
    <n v="4"/>
    <n v="419"/>
    <x v="0"/>
    <n v="4.7"/>
    <n v="0"/>
    <n v="0"/>
    <n v="0"/>
    <n v="0"/>
    <n v="0"/>
    <n v="0"/>
    <n v="2"/>
    <n v="0"/>
    <n v="0.8"/>
    <n v="-0.8"/>
    <n v="0.8"/>
    <n v="0.3"/>
    <n v="1.1000000000000001"/>
    <n v="3"/>
    <n v="12"/>
    <n v="21"/>
    <n v="0"/>
    <n v="0"/>
    <n v="0"/>
    <n v="0"/>
    <n v="0"/>
    <n v="0.17"/>
    <n v="0.06"/>
    <n v="0.23"/>
    <n v="0.17"/>
    <n v="0.23"/>
    <x v="16"/>
  </r>
  <r>
    <x v="480"/>
    <s v="ci CIV"/>
    <s v="ci"/>
    <s v="CIV"/>
    <s v="FW,MF"/>
    <x v="1"/>
    <n v="20"/>
    <x v="0"/>
    <n v="8"/>
    <n v="3"/>
    <n v="387"/>
    <x v="0"/>
    <n v="4.3"/>
    <n v="0"/>
    <n v="0"/>
    <n v="0"/>
    <n v="0"/>
    <n v="0"/>
    <n v="0"/>
    <n v="0"/>
    <n v="0"/>
    <n v="0.3"/>
    <n v="-0.3"/>
    <n v="0.3"/>
    <n v="0.5"/>
    <n v="0.8"/>
    <n v="7"/>
    <n v="9"/>
    <n v="14"/>
    <n v="0"/>
    <n v="0"/>
    <n v="0"/>
    <n v="0"/>
    <n v="0"/>
    <n v="0.06"/>
    <n v="0.13"/>
    <n v="0.19"/>
    <n v="0.06"/>
    <n v="0.19"/>
    <x v="16"/>
  </r>
  <r>
    <x v="481"/>
    <s v="eng ENG"/>
    <s v="eng"/>
    <s v="ENG"/>
    <s v="FW,MF"/>
    <x v="1"/>
    <n v="23"/>
    <x v="0"/>
    <n v="13"/>
    <n v="3"/>
    <n v="346"/>
    <x v="0"/>
    <n v="3.8"/>
    <n v="0"/>
    <n v="0"/>
    <n v="0"/>
    <n v="0"/>
    <n v="0"/>
    <n v="0"/>
    <n v="0"/>
    <n v="1"/>
    <n v="0.4"/>
    <n v="-0.4"/>
    <n v="0.4"/>
    <n v="0.1"/>
    <n v="0.5"/>
    <n v="1"/>
    <n v="3"/>
    <n v="21"/>
    <n v="0"/>
    <n v="0"/>
    <n v="0"/>
    <n v="0"/>
    <n v="0"/>
    <n v="0.09"/>
    <n v="0.03"/>
    <n v="0.12"/>
    <n v="0.09"/>
    <n v="0.12"/>
    <x v="16"/>
  </r>
  <r>
    <x v="482"/>
    <s v="eng ENG"/>
    <s v="eng"/>
    <s v="ENG"/>
    <s v="DF,MF"/>
    <x v="2"/>
    <n v="35"/>
    <x v="4"/>
    <n v="8"/>
    <n v="3"/>
    <n v="321"/>
    <x v="0"/>
    <n v="3.6"/>
    <n v="0"/>
    <n v="0"/>
    <n v="0"/>
    <n v="0"/>
    <n v="0"/>
    <n v="0"/>
    <n v="1"/>
    <n v="0"/>
    <n v="0.1"/>
    <n v="-0.1"/>
    <n v="0.1"/>
    <n v="0.3"/>
    <n v="0.4"/>
    <n v="1"/>
    <n v="7"/>
    <n v="6"/>
    <n v="0"/>
    <n v="0"/>
    <n v="0"/>
    <n v="0"/>
    <n v="0"/>
    <n v="0.04"/>
    <n v="7.0000000000000007E-2"/>
    <n v="0.1"/>
    <n v="0.04"/>
    <n v="0.1"/>
    <x v="16"/>
  </r>
  <r>
    <x v="483"/>
    <s v="eng ENG"/>
    <s v="eng"/>
    <s v="ENG"/>
    <s v="MF"/>
    <x v="0"/>
    <n v="25"/>
    <x v="1"/>
    <n v="9"/>
    <n v="2"/>
    <n v="221"/>
    <x v="0"/>
    <n v="2.5"/>
    <n v="0"/>
    <n v="0"/>
    <n v="0"/>
    <n v="0"/>
    <n v="0"/>
    <n v="0"/>
    <n v="2"/>
    <n v="0"/>
    <n v="0.4"/>
    <n v="-0.4"/>
    <n v="0.4"/>
    <n v="0.1"/>
    <n v="0.4"/>
    <n v="3"/>
    <n v="8"/>
    <n v="3"/>
    <n v="0"/>
    <n v="0"/>
    <n v="0"/>
    <n v="0"/>
    <n v="0"/>
    <n v="0.14000000000000001"/>
    <n v="0.03"/>
    <n v="0.17"/>
    <n v="0.14000000000000001"/>
    <n v="0.17"/>
    <x v="16"/>
  </r>
  <r>
    <x v="484"/>
    <s v="wls WAL"/>
    <s v="wls"/>
    <s v="WAL"/>
    <s v="DF"/>
    <x v="2"/>
    <n v="24"/>
    <x v="1"/>
    <n v="5"/>
    <n v="2"/>
    <n v="110"/>
    <x v="0"/>
    <n v="1.2"/>
    <n v="0"/>
    <n v="0"/>
    <n v="0"/>
    <n v="0"/>
    <n v="0"/>
    <n v="0"/>
    <n v="1"/>
    <n v="0"/>
    <n v="0"/>
    <n v="0"/>
    <n v="0"/>
    <n v="0"/>
    <n v="0"/>
    <n v="3"/>
    <n v="2"/>
    <n v="6"/>
    <n v="0"/>
    <n v="0"/>
    <n v="0"/>
    <n v="0"/>
    <n v="0"/>
    <n v="0"/>
    <n v="0.01"/>
    <n v="0.01"/>
    <n v="0"/>
    <n v="0.01"/>
    <x v="16"/>
  </r>
  <r>
    <x v="485"/>
    <s v="sct SCO"/>
    <s v="sct"/>
    <s v="SCO"/>
    <s v="MF,DF"/>
    <x v="0"/>
    <n v="31"/>
    <x v="2"/>
    <n v="4"/>
    <n v="1"/>
    <n v="92"/>
    <x v="0"/>
    <n v="1"/>
    <n v="0"/>
    <n v="0"/>
    <n v="0"/>
    <n v="0"/>
    <n v="0"/>
    <n v="0"/>
    <n v="1"/>
    <n v="0"/>
    <n v="0"/>
    <n v="0"/>
    <n v="0"/>
    <n v="0.4"/>
    <n v="0.4"/>
    <n v="2"/>
    <n v="3"/>
    <n v="0"/>
    <n v="0"/>
    <n v="0"/>
    <n v="0"/>
    <n v="0"/>
    <n v="0"/>
    <n v="0"/>
    <n v="0.44"/>
    <n v="0.44"/>
    <n v="0"/>
    <n v="0.44"/>
    <x v="16"/>
  </r>
  <r>
    <x v="486"/>
    <s v="ie IRL"/>
    <s v="ie"/>
    <s v="IRL"/>
    <s v="DF"/>
    <x v="2"/>
    <n v="17"/>
    <x v="3"/>
    <n v="1"/>
    <n v="0"/>
    <n v="28"/>
    <x v="0"/>
    <n v="0.3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x v="16"/>
  </r>
  <r>
    <x v="487"/>
    <s v="eng ENG"/>
    <s v="eng"/>
    <s v="ENG"/>
    <s v="FW"/>
    <x v="1"/>
    <n v="19"/>
    <x v="3"/>
    <n v="1"/>
    <n v="0"/>
    <n v="21"/>
    <x v="0"/>
    <n v="0.2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16"/>
  </r>
  <r>
    <x v="488"/>
    <s v="eng ENG"/>
    <s v="eng"/>
    <s v="ENG"/>
    <s v="FW"/>
    <x v="1"/>
    <n v="19"/>
    <x v="3"/>
    <n v="2"/>
    <n v="0"/>
    <n v="13"/>
    <x v="0"/>
    <n v="0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6"/>
  </r>
  <r>
    <x v="489"/>
    <s v="eng ENG"/>
    <s v="eng"/>
    <s v="ENG"/>
    <s v="MF"/>
    <x v="0"/>
    <n v="18"/>
    <x v="3"/>
    <n v="1"/>
    <n v="0"/>
    <n v="10"/>
    <x v="0"/>
    <n v="0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6"/>
  </r>
  <r>
    <x v="490"/>
    <s v="sct SCO"/>
    <s v="sct"/>
    <s v="SCO"/>
    <s v="FW"/>
    <x v="1"/>
    <n v="17"/>
    <x v="3"/>
    <n v="1"/>
    <n v="0"/>
    <n v="8"/>
    <x v="0"/>
    <n v="0.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x v="16"/>
  </r>
  <r>
    <x v="491"/>
    <s v="ar ARG"/>
    <s v="ar"/>
    <s v="ARG"/>
    <s v="FW"/>
    <x v="1"/>
    <n v="19"/>
    <x v="3"/>
    <n v="8"/>
    <n v="0"/>
    <n v="50"/>
    <x v="0"/>
    <n v="0.6"/>
    <n v="1"/>
    <n v="0"/>
    <n v="1"/>
    <n v="1"/>
    <n v="0"/>
    <n v="0"/>
    <n v="1"/>
    <n v="0"/>
    <n v="0.2"/>
    <n v="0.8"/>
    <n v="0.2"/>
    <n v="0"/>
    <n v="0.2"/>
    <n v="0"/>
    <n v="1"/>
    <n v="3"/>
    <n v="1.8"/>
    <n v="0"/>
    <n v="1.8"/>
    <n v="1.8"/>
    <n v="1.8"/>
    <n v="0.45"/>
    <n v="0"/>
    <n v="0.45"/>
    <n v="0.45"/>
    <n v="0.45"/>
    <x v="17"/>
  </r>
  <r>
    <x v="492"/>
    <s v="br BRA"/>
    <s v="br"/>
    <s v="BRA"/>
    <s v="FW"/>
    <x v="1"/>
    <n v="26"/>
    <x v="1"/>
    <n v="28"/>
    <n v="18"/>
    <n v="1491"/>
    <x v="1"/>
    <n v="16.600000000000001"/>
    <n v="11"/>
    <n v="4"/>
    <n v="15"/>
    <n v="11"/>
    <n v="0"/>
    <n v="0"/>
    <n v="3"/>
    <n v="0"/>
    <n v="9.6"/>
    <n v="1.4000000000000004"/>
    <n v="9.6"/>
    <n v="2.1"/>
    <n v="11.7"/>
    <n v="26"/>
    <n v="38"/>
    <n v="106"/>
    <n v="0.66"/>
    <n v="0.24"/>
    <n v="0.91"/>
    <n v="0.66"/>
    <n v="0.91"/>
    <n v="0.57999999999999996"/>
    <n v="0.13"/>
    <n v="0.7"/>
    <n v="0.57999999999999996"/>
    <n v="0.7"/>
    <x v="17"/>
  </r>
  <r>
    <x v="493"/>
    <s v="il ISR"/>
    <s v="il"/>
    <s v="ISR"/>
    <s v="FW"/>
    <x v="1"/>
    <n v="24"/>
    <x v="1"/>
    <n v="5"/>
    <n v="2"/>
    <n v="199"/>
    <x v="0"/>
    <n v="2.2000000000000002"/>
    <n v="0"/>
    <n v="2"/>
    <n v="2"/>
    <n v="0"/>
    <n v="0"/>
    <n v="0"/>
    <n v="1"/>
    <n v="0"/>
    <n v="0.4"/>
    <n v="-0.4"/>
    <n v="0.4"/>
    <n v="0.8"/>
    <n v="1.2"/>
    <n v="17"/>
    <n v="11"/>
    <n v="44"/>
    <n v="0"/>
    <n v="0.9"/>
    <n v="0.9"/>
    <n v="0"/>
    <n v="0.9"/>
    <n v="0.19"/>
    <n v="0.38"/>
    <n v="0.56000000000000005"/>
    <n v="0.19"/>
    <n v="0.56000000000000005"/>
    <x v="17"/>
  </r>
  <r>
    <x v="494"/>
    <s v="hr CRO"/>
    <s v="hr"/>
    <s v="CRO"/>
    <s v="FW"/>
    <x v="1"/>
    <n v="34"/>
    <x v="2"/>
    <n v="5"/>
    <n v="0"/>
    <n v="103"/>
    <x v="0"/>
    <n v="1.1000000000000001"/>
    <n v="0"/>
    <n v="1"/>
    <n v="1"/>
    <n v="0"/>
    <n v="0"/>
    <n v="0"/>
    <n v="2"/>
    <n v="0"/>
    <n v="0.1"/>
    <n v="-0.1"/>
    <n v="0.1"/>
    <n v="0.9"/>
    <n v="1"/>
    <n v="15"/>
    <n v="9"/>
    <n v="17"/>
    <n v="0"/>
    <n v="0.87"/>
    <n v="0.87"/>
    <n v="0"/>
    <n v="0.87"/>
    <n v="0.1"/>
    <n v="0.75"/>
    <n v="0.85"/>
    <n v="0.1"/>
    <n v="0.85"/>
    <x v="17"/>
  </r>
  <r>
    <x v="495"/>
    <s v="kr KOR"/>
    <s v="kr"/>
    <s v="KOR"/>
    <s v="FW"/>
    <x v="1"/>
    <n v="31"/>
    <x v="2"/>
    <n v="35"/>
    <n v="34"/>
    <n v="2934"/>
    <x v="1"/>
    <n v="32.6"/>
    <n v="17"/>
    <n v="10"/>
    <n v="27"/>
    <n v="15"/>
    <n v="2"/>
    <n v="2"/>
    <n v="1"/>
    <n v="0"/>
    <n v="12"/>
    <n v="5"/>
    <n v="10.4"/>
    <n v="11.8"/>
    <n v="22.2"/>
    <n v="119"/>
    <n v="139"/>
    <n v="325"/>
    <n v="0.52"/>
    <n v="0.31"/>
    <n v="0.83"/>
    <n v="0.46"/>
    <n v="0.77"/>
    <n v="0.37"/>
    <n v="0.36"/>
    <n v="0.73"/>
    <n v="0.32"/>
    <n v="0.68"/>
    <x v="17"/>
  </r>
  <r>
    <x v="496"/>
    <s v="ar ARG"/>
    <s v="ar"/>
    <s v="ARG"/>
    <s v="MF"/>
    <x v="0"/>
    <n v="27"/>
    <x v="1"/>
    <n v="22"/>
    <n v="4"/>
    <n v="506"/>
    <x v="0"/>
    <n v="5.6"/>
    <n v="2"/>
    <n v="2"/>
    <n v="4"/>
    <n v="2"/>
    <n v="0"/>
    <n v="0"/>
    <n v="2"/>
    <n v="0"/>
    <n v="0.6"/>
    <n v="1.4"/>
    <n v="0.6"/>
    <n v="1.9"/>
    <n v="2.5"/>
    <n v="25"/>
    <n v="68"/>
    <n v="29"/>
    <n v="0.36"/>
    <n v="0.36"/>
    <n v="0.71"/>
    <n v="0.36"/>
    <n v="0.71"/>
    <n v="0.1"/>
    <n v="0.34"/>
    <n v="0.45"/>
    <n v="0.1"/>
    <n v="0.45"/>
    <x v="17"/>
  </r>
  <r>
    <x v="453"/>
    <s v="wls WAL"/>
    <s v="wls"/>
    <s v="WAL"/>
    <s v="FW"/>
    <x v="1"/>
    <n v="22"/>
    <x v="0"/>
    <n v="32"/>
    <n v="23"/>
    <n v="2085"/>
    <x v="1"/>
    <n v="23.2"/>
    <n v="5"/>
    <n v="10"/>
    <n v="15"/>
    <n v="5"/>
    <n v="0"/>
    <n v="0"/>
    <n v="3"/>
    <n v="0"/>
    <n v="10.3"/>
    <n v="-5.3000000000000007"/>
    <n v="10.3"/>
    <n v="8.1"/>
    <n v="18.3"/>
    <n v="97"/>
    <n v="72"/>
    <n v="293"/>
    <n v="0.22"/>
    <n v="0.43"/>
    <n v="0.65"/>
    <n v="0.22"/>
    <n v="0.65"/>
    <n v="0.44"/>
    <n v="0.35"/>
    <n v="0.79"/>
    <n v="0.44"/>
    <n v="0.79"/>
    <x v="17"/>
  </r>
  <r>
    <x v="497"/>
    <s v="de GER"/>
    <s v="de"/>
    <s v="GER"/>
    <s v="FW"/>
    <x v="1"/>
    <n v="27"/>
    <x v="1"/>
    <n v="13"/>
    <n v="10"/>
    <n v="809"/>
    <x v="0"/>
    <n v="9"/>
    <n v="2"/>
    <n v="3"/>
    <n v="5"/>
    <n v="2"/>
    <n v="0"/>
    <n v="0"/>
    <n v="1"/>
    <n v="0"/>
    <n v="3.7"/>
    <n v="-1.7000000000000002"/>
    <n v="3.7"/>
    <n v="2.7"/>
    <n v="6.4"/>
    <n v="79"/>
    <n v="41"/>
    <n v="124"/>
    <n v="0.22"/>
    <n v="0.33"/>
    <n v="0.56000000000000005"/>
    <n v="0.22"/>
    <n v="0.56000000000000005"/>
    <n v="0.41"/>
    <n v="0.3"/>
    <n v="0.72"/>
    <n v="0.41"/>
    <n v="0.72"/>
    <x v="17"/>
  </r>
  <r>
    <x v="498"/>
    <s v="eng ENG"/>
    <s v="eng"/>
    <s v="ENG"/>
    <s v="MF"/>
    <x v="0"/>
    <n v="26"/>
    <x v="1"/>
    <n v="28"/>
    <n v="26"/>
    <n v="2135"/>
    <x v="1"/>
    <n v="23.7"/>
    <n v="4"/>
    <n v="9"/>
    <n v="13"/>
    <n v="4"/>
    <n v="0"/>
    <n v="0"/>
    <n v="5"/>
    <n v="0"/>
    <n v="6.4"/>
    <n v="-2.4000000000000004"/>
    <n v="6.4"/>
    <n v="5.9"/>
    <n v="12.4"/>
    <n v="58"/>
    <n v="224"/>
    <n v="156"/>
    <n v="0.17"/>
    <n v="0.38"/>
    <n v="0.55000000000000004"/>
    <n v="0.17"/>
    <n v="0.55000000000000004"/>
    <n v="0.27"/>
    <n v="0.25"/>
    <n v="0.52"/>
    <n v="0.27"/>
    <n v="0.52"/>
    <x v="17"/>
  </r>
  <r>
    <x v="499"/>
    <s v="se SWE"/>
    <s v="se"/>
    <s v="SWE"/>
    <s v="FW,MF"/>
    <x v="1"/>
    <n v="23"/>
    <x v="0"/>
    <n v="36"/>
    <n v="31"/>
    <n v="2762"/>
    <x v="1"/>
    <n v="30.7"/>
    <n v="8"/>
    <n v="3"/>
    <n v="11"/>
    <n v="8"/>
    <n v="0"/>
    <n v="0"/>
    <n v="7"/>
    <n v="0"/>
    <n v="4.7"/>
    <n v="3.3"/>
    <n v="4.7"/>
    <n v="7.7"/>
    <n v="12.4"/>
    <n v="151"/>
    <n v="144"/>
    <n v="388"/>
    <n v="0.26"/>
    <n v="0.1"/>
    <n v="0.36"/>
    <n v="0.26"/>
    <n v="0.36"/>
    <n v="0.15"/>
    <n v="0.25"/>
    <n v="0.4"/>
    <n v="0.15"/>
    <n v="0.4"/>
    <x v="17"/>
  </r>
  <r>
    <x v="500"/>
    <s v="es ESP"/>
    <s v="es"/>
    <s v="ESP"/>
    <s v="DF"/>
    <x v="2"/>
    <n v="23"/>
    <x v="0"/>
    <n v="35"/>
    <n v="35"/>
    <n v="3089"/>
    <x v="1"/>
    <n v="34.299999999999997"/>
    <n v="3"/>
    <n v="7"/>
    <n v="10"/>
    <n v="3"/>
    <n v="0"/>
    <n v="0"/>
    <n v="3"/>
    <n v="0"/>
    <n v="2.9"/>
    <n v="0.10000000000000009"/>
    <n v="2.9"/>
    <n v="7.2"/>
    <n v="10.1"/>
    <n v="57"/>
    <n v="194"/>
    <n v="158"/>
    <n v="0.09"/>
    <n v="0.2"/>
    <n v="0.28999999999999998"/>
    <n v="0.09"/>
    <n v="0.28999999999999998"/>
    <n v="0.09"/>
    <n v="0.21"/>
    <n v="0.3"/>
    <n v="0.09"/>
    <n v="0.3"/>
    <x v="17"/>
  </r>
  <r>
    <x v="501"/>
    <s v="sn SEN"/>
    <s v="sn"/>
    <s v="SEN"/>
    <s v="MF"/>
    <x v="0"/>
    <n v="20"/>
    <x v="0"/>
    <n v="34"/>
    <n v="27"/>
    <n v="2069"/>
    <x v="1"/>
    <n v="23"/>
    <n v="3"/>
    <n v="3"/>
    <n v="6"/>
    <n v="3"/>
    <n v="0"/>
    <n v="0"/>
    <n v="9"/>
    <n v="0"/>
    <n v="3.4"/>
    <n v="-0.39999999999999991"/>
    <n v="3.4"/>
    <n v="2.2000000000000002"/>
    <n v="5.7"/>
    <n v="43"/>
    <n v="150"/>
    <n v="90"/>
    <n v="0.13"/>
    <n v="0.13"/>
    <n v="0.26"/>
    <n v="0.13"/>
    <n v="0.26"/>
    <n v="0.15"/>
    <n v="0.1"/>
    <n v="0.25"/>
    <n v="0.15"/>
    <n v="0.25"/>
    <x v="17"/>
  </r>
  <r>
    <x v="502"/>
    <s v="it ITA"/>
    <s v="it"/>
    <s v="ITA"/>
    <s v="DF"/>
    <x v="2"/>
    <n v="20"/>
    <x v="0"/>
    <n v="28"/>
    <n v="28"/>
    <n v="2391"/>
    <x v="1"/>
    <n v="26.6"/>
    <n v="2"/>
    <n v="3"/>
    <n v="5"/>
    <n v="2"/>
    <n v="0"/>
    <n v="0"/>
    <n v="7"/>
    <n v="1"/>
    <n v="2.4"/>
    <n v="-0.39999999999999991"/>
    <n v="2.4"/>
    <n v="2.2000000000000002"/>
    <n v="4.5999999999999996"/>
    <n v="83"/>
    <n v="155"/>
    <n v="138"/>
    <n v="0.08"/>
    <n v="0.11"/>
    <n v="0.19"/>
    <n v="0.08"/>
    <n v="0.19"/>
    <n v="0.09"/>
    <n v="0.08"/>
    <n v="0.17"/>
    <n v="0.09"/>
    <n v="0.17"/>
    <x v="17"/>
  </r>
  <r>
    <x v="503"/>
    <s v="uy URU"/>
    <s v="uy"/>
    <s v="URU"/>
    <s v="MF"/>
    <x v="0"/>
    <n v="26"/>
    <x v="1"/>
    <n v="23"/>
    <n v="13"/>
    <n v="1005"/>
    <x v="1"/>
    <n v="11.2"/>
    <n v="1"/>
    <n v="1"/>
    <n v="2"/>
    <n v="1"/>
    <n v="0"/>
    <n v="0"/>
    <n v="7"/>
    <n v="0"/>
    <n v="1.9"/>
    <n v="-0.89999999999999991"/>
    <n v="1.9"/>
    <n v="0.5"/>
    <n v="2.4"/>
    <n v="16"/>
    <n v="72"/>
    <n v="31"/>
    <n v="0.09"/>
    <n v="0.09"/>
    <n v="0.18"/>
    <n v="0.09"/>
    <n v="0.18"/>
    <n v="0.17"/>
    <n v="0.04"/>
    <n v="0.22"/>
    <n v="0.17"/>
    <n v="0.22"/>
    <x v="17"/>
  </r>
  <r>
    <x v="504"/>
    <s v="ar ARG"/>
    <s v="ar"/>
    <s v="ARG"/>
    <s v="DF"/>
    <x v="2"/>
    <n v="25"/>
    <x v="1"/>
    <n v="33"/>
    <n v="33"/>
    <n v="2790"/>
    <x v="1"/>
    <n v="31"/>
    <n v="5"/>
    <n v="0"/>
    <n v="5"/>
    <n v="5"/>
    <n v="0"/>
    <n v="0"/>
    <n v="7"/>
    <n v="1"/>
    <n v="3.5"/>
    <n v="1.5"/>
    <n v="3.5"/>
    <n v="0.4"/>
    <n v="3.9"/>
    <n v="32"/>
    <n v="179"/>
    <n v="8"/>
    <n v="0.16"/>
    <n v="0"/>
    <n v="0.16"/>
    <n v="0.16"/>
    <n v="0.16"/>
    <n v="0.11"/>
    <n v="0.01"/>
    <n v="0.13"/>
    <n v="0.11"/>
    <n v="0.13"/>
    <x v="17"/>
  </r>
  <r>
    <x v="505"/>
    <s v="nl NED"/>
    <s v="nl"/>
    <s v="NED"/>
    <s v="DF"/>
    <x v="2"/>
    <n v="22"/>
    <x v="0"/>
    <n v="27"/>
    <n v="27"/>
    <n v="2339"/>
    <x v="1"/>
    <n v="26"/>
    <n v="3"/>
    <n v="0"/>
    <n v="3"/>
    <n v="3"/>
    <n v="0"/>
    <n v="0"/>
    <n v="5"/>
    <n v="0"/>
    <n v="0.6"/>
    <n v="2.4"/>
    <n v="0.6"/>
    <n v="0"/>
    <n v="0.6"/>
    <n v="19"/>
    <n v="108"/>
    <n v="9"/>
    <n v="0.12"/>
    <n v="0"/>
    <n v="0.12"/>
    <n v="0.12"/>
    <n v="0.12"/>
    <n v="0.02"/>
    <n v="0"/>
    <n v="0.02"/>
    <n v="0.02"/>
    <n v="0.02"/>
    <x v="17"/>
  </r>
  <r>
    <x v="506"/>
    <s v="wls WAL"/>
    <s v="wls"/>
    <s v="WAL"/>
    <s v="DF"/>
    <x v="2"/>
    <n v="30"/>
    <x v="2"/>
    <n v="17"/>
    <n v="12"/>
    <n v="1090"/>
    <x v="1"/>
    <n v="12.1"/>
    <n v="1"/>
    <n v="0"/>
    <n v="1"/>
    <n v="1"/>
    <n v="0"/>
    <n v="0"/>
    <n v="2"/>
    <n v="0"/>
    <n v="2.2999999999999998"/>
    <n v="-1.2999999999999998"/>
    <n v="2.2999999999999998"/>
    <n v="0.4"/>
    <n v="2.7"/>
    <n v="13"/>
    <n v="71"/>
    <n v="20"/>
    <n v="0.08"/>
    <n v="0"/>
    <n v="0.08"/>
    <n v="0.08"/>
    <n v="0.08"/>
    <n v="0.19"/>
    <n v="0.03"/>
    <n v="0.23"/>
    <n v="0.19"/>
    <n v="0.23"/>
    <x v="17"/>
  </r>
  <r>
    <x v="507"/>
    <s v="br BRA"/>
    <s v="br"/>
    <s v="BRA"/>
    <s v="DF"/>
    <x v="2"/>
    <n v="24"/>
    <x v="1"/>
    <n v="22"/>
    <n v="11"/>
    <n v="1161"/>
    <x v="1"/>
    <n v="12.9"/>
    <n v="1"/>
    <n v="0"/>
    <n v="1"/>
    <n v="1"/>
    <n v="0"/>
    <n v="0"/>
    <n v="4"/>
    <n v="0"/>
    <n v="0.2"/>
    <n v="0.8"/>
    <n v="0.2"/>
    <n v="0.4"/>
    <n v="0.6"/>
    <n v="21"/>
    <n v="57"/>
    <n v="35"/>
    <n v="0.08"/>
    <n v="0"/>
    <n v="0.08"/>
    <n v="0.08"/>
    <n v="0.08"/>
    <n v="0.02"/>
    <n v="0.03"/>
    <n v="0.05"/>
    <n v="0.02"/>
    <n v="0.05"/>
    <x v="17"/>
  </r>
  <r>
    <x v="508"/>
    <s v="it ITA"/>
    <s v="it"/>
    <s v="ITA"/>
    <s v="GK"/>
    <x v="3"/>
    <n v="26"/>
    <x v="1"/>
    <n v="38"/>
    <n v="38"/>
    <n v="3420"/>
    <x v="1"/>
    <n v="38"/>
    <n v="0"/>
    <n v="0"/>
    <n v="0"/>
    <n v="0"/>
    <n v="0"/>
    <n v="0"/>
    <n v="2"/>
    <n v="0"/>
    <n v="0"/>
    <n v="0"/>
    <n v="0"/>
    <n v="0"/>
    <n v="0"/>
    <n v="0"/>
    <n v="3"/>
    <n v="0"/>
    <n v="0"/>
    <n v="0"/>
    <n v="0"/>
    <n v="0"/>
    <n v="0"/>
    <n v="0"/>
    <n v="0"/>
    <n v="0"/>
    <n v="0"/>
    <n v="0"/>
    <x v="17"/>
  </r>
  <r>
    <x v="509"/>
    <s v="ml MLI"/>
    <s v="ml"/>
    <s v="MLI"/>
    <s v="MF"/>
    <x v="0"/>
    <n v="26"/>
    <x v="1"/>
    <n v="28"/>
    <n v="26"/>
    <n v="2068"/>
    <x v="1"/>
    <n v="23"/>
    <n v="0"/>
    <n v="0"/>
    <n v="0"/>
    <n v="0"/>
    <n v="0"/>
    <n v="0"/>
    <n v="10"/>
    <n v="2"/>
    <n v="1.4"/>
    <n v="-1.4"/>
    <n v="1.4"/>
    <n v="0.4"/>
    <n v="1.8"/>
    <n v="43"/>
    <n v="169"/>
    <n v="13"/>
    <n v="0"/>
    <n v="0"/>
    <n v="0"/>
    <n v="0"/>
    <n v="0"/>
    <n v="0.06"/>
    <n v="0.02"/>
    <n v="0.08"/>
    <n v="0.06"/>
    <n v="0.08"/>
    <x v="17"/>
  </r>
  <r>
    <x v="510"/>
    <s v="dk DEN"/>
    <s v="dk"/>
    <s v="DEN"/>
    <s v="MF"/>
    <x v="0"/>
    <n v="27"/>
    <x v="1"/>
    <n v="36"/>
    <n v="8"/>
    <n v="1311"/>
    <x v="1"/>
    <n v="14.6"/>
    <n v="0"/>
    <n v="0"/>
    <n v="0"/>
    <n v="0"/>
    <n v="0"/>
    <n v="0"/>
    <n v="4"/>
    <n v="0"/>
    <n v="0.7"/>
    <n v="-0.7"/>
    <n v="0.7"/>
    <n v="1.2"/>
    <n v="1.9"/>
    <n v="17"/>
    <n v="134"/>
    <n v="29"/>
    <n v="0"/>
    <n v="0"/>
    <n v="0"/>
    <n v="0"/>
    <n v="0"/>
    <n v="0.05"/>
    <n v="0.08"/>
    <n v="0.13"/>
    <n v="0.05"/>
    <n v="0.13"/>
    <x v="17"/>
  </r>
  <r>
    <x v="511"/>
    <s v="eng ENG"/>
    <s v="eng"/>
    <s v="ENG"/>
    <s v="MF,DF"/>
    <x v="0"/>
    <n v="22"/>
    <x v="0"/>
    <n v="21"/>
    <n v="5"/>
    <n v="707"/>
    <x v="0"/>
    <n v="7.9"/>
    <n v="0"/>
    <n v="0"/>
    <n v="0"/>
    <n v="0"/>
    <n v="0"/>
    <n v="0"/>
    <n v="3"/>
    <n v="0"/>
    <n v="0.7"/>
    <n v="-0.7"/>
    <n v="0.7"/>
    <n v="0.6"/>
    <n v="1.3"/>
    <n v="8"/>
    <n v="37"/>
    <n v="25"/>
    <n v="0"/>
    <n v="0"/>
    <n v="0"/>
    <n v="0"/>
    <n v="0"/>
    <n v="0.09"/>
    <n v="7.0000000000000007E-2"/>
    <n v="0.16"/>
    <n v="0.09"/>
    <n v="0.16"/>
    <x v="17"/>
  </r>
  <r>
    <x v="512"/>
    <s v="ro ROU"/>
    <s v="ro"/>
    <s v="ROU"/>
    <s v="DF"/>
    <x v="2"/>
    <n v="21"/>
    <x v="0"/>
    <n v="9"/>
    <n v="4"/>
    <n v="429"/>
    <x v="0"/>
    <n v="4.8"/>
    <n v="0"/>
    <n v="0"/>
    <n v="0"/>
    <n v="0"/>
    <n v="0"/>
    <n v="0"/>
    <n v="1"/>
    <n v="0"/>
    <n v="0.1"/>
    <n v="-0.1"/>
    <n v="0.1"/>
    <n v="0"/>
    <n v="0.1"/>
    <n v="5"/>
    <n v="8"/>
    <n v="1"/>
    <n v="0"/>
    <n v="0"/>
    <n v="0"/>
    <n v="0"/>
    <n v="0"/>
    <n v="0.03"/>
    <n v="0"/>
    <n v="0.03"/>
    <n v="0.03"/>
    <n v="0.03"/>
    <x v="17"/>
  </r>
  <r>
    <x v="513"/>
    <s v="es ESP"/>
    <s v="es"/>
    <s v="ESP"/>
    <s v="FW,MF"/>
    <x v="1"/>
    <n v="22"/>
    <x v="0"/>
    <n v="11"/>
    <n v="2"/>
    <n v="209"/>
    <x v="0"/>
    <n v="2.2999999999999998"/>
    <n v="0"/>
    <n v="0"/>
    <n v="0"/>
    <n v="0"/>
    <n v="0"/>
    <n v="0"/>
    <n v="0"/>
    <n v="0"/>
    <n v="0.8"/>
    <n v="-0.8"/>
    <n v="0.8"/>
    <n v="0.2"/>
    <n v="1"/>
    <n v="11"/>
    <n v="16"/>
    <n v="49"/>
    <n v="0"/>
    <n v="0"/>
    <n v="0"/>
    <n v="0"/>
    <n v="0"/>
    <n v="0.32"/>
    <n v="0.09"/>
    <n v="0.41"/>
    <n v="0.32"/>
    <n v="0.41"/>
    <x v="17"/>
  </r>
  <r>
    <x v="514"/>
    <s v="eng ENG"/>
    <s v="eng"/>
    <s v="ENG"/>
    <s v="DF"/>
    <x v="2"/>
    <n v="29"/>
    <x v="1"/>
    <n v="4"/>
    <n v="1"/>
    <n v="201"/>
    <x v="0"/>
    <n v="2.2000000000000002"/>
    <n v="0"/>
    <n v="0"/>
    <n v="0"/>
    <n v="0"/>
    <n v="0"/>
    <n v="0"/>
    <n v="0"/>
    <n v="0"/>
    <n v="0"/>
    <n v="0"/>
    <n v="0"/>
    <n v="0"/>
    <n v="0"/>
    <n v="0"/>
    <n v="3"/>
    <n v="0"/>
    <n v="0"/>
    <n v="0"/>
    <n v="0"/>
    <n v="0"/>
    <n v="0"/>
    <n v="0"/>
    <n v="0"/>
    <n v="0"/>
    <n v="0"/>
    <n v="0"/>
    <x v="17"/>
  </r>
  <r>
    <x v="515"/>
    <s v="co COL"/>
    <s v="co"/>
    <s v="COL"/>
    <s v="DF"/>
    <x v="2"/>
    <n v="27"/>
    <x v="1"/>
    <n v="1"/>
    <n v="0"/>
    <n v="77"/>
    <x v="0"/>
    <n v="0.9"/>
    <n v="0"/>
    <n v="0"/>
    <n v="0"/>
    <n v="0"/>
    <n v="0"/>
    <n v="0"/>
    <n v="1"/>
    <n v="0"/>
    <n v="0.1"/>
    <n v="-0.1"/>
    <n v="0.1"/>
    <n v="0"/>
    <n v="0.1"/>
    <n v="0"/>
    <n v="2"/>
    <n v="0"/>
    <n v="0"/>
    <n v="0"/>
    <n v="0"/>
    <n v="0"/>
    <n v="0"/>
    <n v="0.14000000000000001"/>
    <n v="0"/>
    <n v="0.14000000000000001"/>
    <n v="0.14000000000000001"/>
    <n v="0.14000000000000001"/>
    <x v="17"/>
  </r>
  <r>
    <x v="516"/>
    <s v="eng ENG"/>
    <s v="eng"/>
    <s v="ENG"/>
    <s v="FW"/>
    <x v="1"/>
    <n v="19"/>
    <x v="3"/>
    <n v="4"/>
    <n v="0"/>
    <n v="22"/>
    <x v="0"/>
    <n v="0.2"/>
    <n v="0"/>
    <n v="0"/>
    <n v="0"/>
    <n v="0"/>
    <n v="0"/>
    <n v="0"/>
    <n v="0"/>
    <n v="0"/>
    <n v="0"/>
    <n v="0"/>
    <n v="0"/>
    <n v="0"/>
    <n v="0"/>
    <n v="0"/>
    <n v="1"/>
    <n v="4"/>
    <n v="0"/>
    <n v="0"/>
    <n v="0"/>
    <n v="0"/>
    <n v="0"/>
    <n v="0"/>
    <n v="0"/>
    <n v="0"/>
    <n v="0"/>
    <n v="0"/>
    <x v="17"/>
  </r>
  <r>
    <x v="517"/>
    <s v="eng ENG"/>
    <s v="eng"/>
    <s v="ENG"/>
    <s v="MF"/>
    <x v="0"/>
    <n v="15"/>
    <x v="3"/>
    <n v="2"/>
    <n v="0"/>
    <n v="4"/>
    <x v="0"/>
    <n v="0"/>
    <n v="0"/>
    <n v="0"/>
    <n v="0"/>
    <n v="0"/>
    <n v="0"/>
    <n v="0"/>
    <n v="0"/>
    <n v="0"/>
    <n v="0"/>
    <n v="0"/>
    <n v="0"/>
    <n v="0"/>
    <n v="0"/>
    <n v="2"/>
    <n v="1"/>
    <n v="2"/>
    <n v="0"/>
    <n v="0"/>
    <n v="0"/>
    <n v="0"/>
    <n v="0"/>
    <n v="0"/>
    <n v="0"/>
    <n v="0"/>
    <n v="0"/>
    <n v="0"/>
    <x v="17"/>
  </r>
  <r>
    <x v="518"/>
    <s v="eng ENG"/>
    <s v="eng"/>
    <s v="ENG"/>
    <s v="FW"/>
    <x v="1"/>
    <n v="18"/>
    <x v="3"/>
    <n v="3"/>
    <n v="0"/>
    <n v="3"/>
    <x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7"/>
  </r>
  <r>
    <x v="519"/>
    <s v="eng ENG"/>
    <s v="eng"/>
    <s v="ENG"/>
    <s v="FW"/>
    <x v="1"/>
    <n v="18"/>
    <x v="3"/>
    <n v="3"/>
    <n v="0"/>
    <n v="34"/>
    <x v="0"/>
    <n v="0.4"/>
    <n v="1"/>
    <n v="0"/>
    <n v="1"/>
    <n v="1"/>
    <n v="0"/>
    <n v="0"/>
    <n v="0"/>
    <n v="0"/>
    <n v="0.3"/>
    <n v="0.7"/>
    <n v="0.3"/>
    <n v="0"/>
    <n v="0.3"/>
    <n v="0"/>
    <n v="1"/>
    <n v="3"/>
    <n v="2.65"/>
    <n v="0"/>
    <n v="2.65"/>
    <n v="2.65"/>
    <n v="2.65"/>
    <n v="0.82"/>
    <n v="0"/>
    <n v="0.82"/>
    <n v="0.82"/>
    <n v="0.82"/>
    <x v="18"/>
  </r>
  <r>
    <x v="520"/>
    <s v="ci CIV"/>
    <s v="ci"/>
    <s v="CIV"/>
    <s v="MF,FW"/>
    <x v="0"/>
    <n v="26"/>
    <x v="1"/>
    <n v="7"/>
    <n v="1"/>
    <n v="112"/>
    <x v="0"/>
    <n v="1.2"/>
    <n v="1"/>
    <n v="0"/>
    <n v="1"/>
    <n v="1"/>
    <n v="0"/>
    <n v="0"/>
    <n v="0"/>
    <n v="0"/>
    <n v="0.4"/>
    <n v="0.6"/>
    <n v="0.4"/>
    <n v="0.2"/>
    <n v="0.6"/>
    <n v="3"/>
    <n v="2"/>
    <n v="8"/>
    <n v="0.8"/>
    <n v="0"/>
    <n v="0.8"/>
    <n v="0.8"/>
    <n v="0.8"/>
    <n v="0.32"/>
    <n v="0.13"/>
    <n v="0.46"/>
    <n v="0.32"/>
    <n v="0.46"/>
    <x v="18"/>
  </r>
  <r>
    <x v="521"/>
    <s v="eng ENG"/>
    <s v="eng"/>
    <s v="ENG"/>
    <s v="FW"/>
    <x v="1"/>
    <n v="26"/>
    <x v="1"/>
    <n v="34"/>
    <n v="34"/>
    <n v="3019"/>
    <x v="1"/>
    <n v="33.5"/>
    <n v="16"/>
    <n v="6"/>
    <n v="22"/>
    <n v="16"/>
    <n v="0"/>
    <n v="0"/>
    <n v="2"/>
    <n v="0"/>
    <n v="11.6"/>
    <n v="4.4000000000000004"/>
    <n v="11.6"/>
    <n v="5.5"/>
    <n v="17.2"/>
    <n v="90"/>
    <n v="52"/>
    <n v="186"/>
    <n v="0.48"/>
    <n v="0.18"/>
    <n v="0.66"/>
    <n v="0.48"/>
    <n v="0.66"/>
    <n v="0.35"/>
    <n v="0.16"/>
    <n v="0.51"/>
    <n v="0.35"/>
    <n v="0.51"/>
    <x v="18"/>
  </r>
  <r>
    <x v="522"/>
    <s v="gh GHA"/>
    <s v="gh"/>
    <s v="GHA"/>
    <s v="FW,MF"/>
    <x v="1"/>
    <n v="22"/>
    <x v="0"/>
    <n v="33"/>
    <n v="27"/>
    <n v="2484"/>
    <x v="1"/>
    <n v="27.6"/>
    <n v="8"/>
    <n v="6"/>
    <n v="14"/>
    <n v="8"/>
    <n v="0"/>
    <n v="0"/>
    <n v="6"/>
    <n v="0"/>
    <n v="5.0999999999999996"/>
    <n v="2.9000000000000004"/>
    <n v="5.0999999999999996"/>
    <n v="3.5"/>
    <n v="8.6"/>
    <n v="117"/>
    <n v="80"/>
    <n v="216"/>
    <n v="0.28999999999999998"/>
    <n v="0.22"/>
    <n v="0.51"/>
    <n v="0.28999999999999998"/>
    <n v="0.51"/>
    <n v="0.19"/>
    <n v="0.13"/>
    <n v="0.31"/>
    <n v="0.19"/>
    <n v="0.31"/>
    <x v="18"/>
  </r>
  <r>
    <x v="523"/>
    <s v="eng ENG"/>
    <s v="eng"/>
    <s v="ENG"/>
    <s v="MF"/>
    <x v="0"/>
    <n v="28"/>
    <x v="1"/>
    <n v="37"/>
    <n v="34"/>
    <n v="3001"/>
    <x v="1"/>
    <n v="33.299999999999997"/>
    <n v="7"/>
    <n v="7"/>
    <n v="14"/>
    <n v="5"/>
    <n v="2"/>
    <n v="2"/>
    <n v="4"/>
    <n v="0"/>
    <n v="6"/>
    <n v="1"/>
    <n v="4.4000000000000004"/>
    <n v="7.8"/>
    <n v="12.3"/>
    <n v="18"/>
    <n v="144"/>
    <n v="63"/>
    <n v="0.21"/>
    <n v="0.21"/>
    <n v="0.42"/>
    <n v="0.15"/>
    <n v="0.36"/>
    <n v="0.18"/>
    <n v="0.23"/>
    <n v="0.41"/>
    <n v="0.13"/>
    <n v="0.37"/>
    <x v="18"/>
  </r>
  <r>
    <x v="524"/>
    <s v="jm JAM"/>
    <s v="jm"/>
    <s v="JAM"/>
    <s v="FW"/>
    <x v="1"/>
    <n v="33"/>
    <x v="2"/>
    <n v="26"/>
    <n v="21"/>
    <n v="1695"/>
    <x v="1"/>
    <n v="18.8"/>
    <n v="6"/>
    <n v="2"/>
    <n v="8"/>
    <n v="6"/>
    <n v="0"/>
    <n v="0"/>
    <n v="6"/>
    <n v="0"/>
    <n v="5.8"/>
    <n v="0.20000000000000018"/>
    <n v="5.8"/>
    <n v="0.9"/>
    <n v="6.7"/>
    <n v="48"/>
    <n v="22"/>
    <n v="104"/>
    <n v="0.32"/>
    <n v="0.11"/>
    <n v="0.42"/>
    <n v="0.32"/>
    <n v="0.42"/>
    <n v="0.31"/>
    <n v="0.05"/>
    <n v="0.35"/>
    <n v="0.31"/>
    <n v="0.35"/>
    <x v="18"/>
  </r>
  <r>
    <x v="525"/>
    <s v="br BRA"/>
    <s v="br"/>
    <s v="BRA"/>
    <s v="FW,MF"/>
    <x v="1"/>
    <n v="25"/>
    <x v="1"/>
    <n v="31"/>
    <n v="31"/>
    <n v="2622"/>
    <x v="1"/>
    <n v="29.1"/>
    <n v="4"/>
    <n v="6"/>
    <n v="10"/>
    <n v="2"/>
    <n v="2"/>
    <n v="2"/>
    <n v="10"/>
    <n v="0"/>
    <n v="5.4"/>
    <n v="-1.4000000000000004"/>
    <n v="3.8"/>
    <n v="5.4"/>
    <n v="9.1999999999999993"/>
    <n v="34"/>
    <n v="187"/>
    <n v="116"/>
    <n v="0.14000000000000001"/>
    <n v="0.21"/>
    <n v="0.34"/>
    <n v="7.0000000000000007E-2"/>
    <n v="0.27"/>
    <n v="0.18"/>
    <n v="0.18"/>
    <n v="0.37"/>
    <n v="0.13"/>
    <n v="0.32"/>
    <x v="18"/>
  </r>
  <r>
    <x v="526"/>
    <s v="cz CZE"/>
    <s v="cz"/>
    <s v="CZE"/>
    <s v="MF"/>
    <x v="0"/>
    <n v="28"/>
    <x v="1"/>
    <n v="37"/>
    <n v="34"/>
    <n v="2870"/>
    <x v="1"/>
    <n v="31.9"/>
    <n v="7"/>
    <n v="2"/>
    <n v="9"/>
    <n v="7"/>
    <n v="0"/>
    <n v="0"/>
    <n v="7"/>
    <n v="0"/>
    <n v="6.7"/>
    <n v="0.29999999999999982"/>
    <n v="6.7"/>
    <n v="1.7"/>
    <n v="8.4"/>
    <n v="7"/>
    <n v="86"/>
    <n v="39"/>
    <n v="0.22"/>
    <n v="0.06"/>
    <n v="0.28000000000000003"/>
    <n v="0.22"/>
    <n v="0.28000000000000003"/>
    <n v="0.21"/>
    <n v="0.05"/>
    <n v="0.26"/>
    <n v="0.21"/>
    <n v="0.26"/>
    <x v="18"/>
  </r>
  <r>
    <x v="527"/>
    <s v="eng ENG"/>
    <s v="eng"/>
    <s v="ENG"/>
    <s v="FW"/>
    <x v="1"/>
    <n v="31"/>
    <x v="2"/>
    <n v="20"/>
    <n v="3"/>
    <n v="404"/>
    <x v="0"/>
    <n v="4.5"/>
    <n v="1"/>
    <n v="0"/>
    <n v="1"/>
    <n v="1"/>
    <n v="0"/>
    <n v="0"/>
    <n v="1"/>
    <n v="0"/>
    <n v="1.3"/>
    <n v="-0.30000000000000004"/>
    <n v="1.3"/>
    <n v="0.3"/>
    <n v="1.5"/>
    <n v="7"/>
    <n v="8"/>
    <n v="29"/>
    <n v="0.22"/>
    <n v="0"/>
    <n v="0.22"/>
    <n v="0.22"/>
    <n v="0.22"/>
    <n v="0.28000000000000003"/>
    <n v="0.06"/>
    <n v="0.34"/>
    <n v="0.28000000000000003"/>
    <n v="0.34"/>
    <x v="18"/>
  </r>
  <r>
    <x v="528"/>
    <s v="cz CZE"/>
    <s v="cz"/>
    <s v="CZE"/>
    <s v="DF"/>
    <x v="2"/>
    <n v="30"/>
    <x v="2"/>
    <n v="36"/>
    <n v="36"/>
    <n v="3132"/>
    <x v="1"/>
    <n v="34.799999999999997"/>
    <n v="0"/>
    <n v="7"/>
    <n v="7"/>
    <n v="0"/>
    <n v="0"/>
    <n v="0"/>
    <n v="7"/>
    <n v="1"/>
    <n v="0.3"/>
    <n v="-0.3"/>
    <n v="0.3"/>
    <n v="4"/>
    <n v="4.3"/>
    <n v="68"/>
    <n v="119"/>
    <n v="126"/>
    <n v="0"/>
    <n v="0.2"/>
    <n v="0.2"/>
    <n v="0"/>
    <n v="0.2"/>
    <n v="0.01"/>
    <n v="0.11"/>
    <n v="0.12"/>
    <n v="0.01"/>
    <n v="0.12"/>
    <x v="18"/>
  </r>
  <r>
    <x v="529"/>
    <s v="dz ALG"/>
    <s v="dz"/>
    <s v="ALG"/>
    <s v="FW,MF"/>
    <x v="1"/>
    <n v="27"/>
    <x v="1"/>
    <n v="13"/>
    <n v="5"/>
    <n v="620"/>
    <x v="0"/>
    <n v="6.9"/>
    <n v="0"/>
    <n v="1"/>
    <n v="1"/>
    <n v="0"/>
    <n v="0"/>
    <n v="1"/>
    <n v="1"/>
    <n v="0"/>
    <n v="1.8"/>
    <n v="-1.8"/>
    <n v="1"/>
    <n v="1.4"/>
    <n v="2.5"/>
    <n v="28"/>
    <n v="28"/>
    <n v="70"/>
    <n v="0"/>
    <n v="0.15"/>
    <n v="0.15"/>
    <n v="0"/>
    <n v="0.15"/>
    <n v="0.27"/>
    <n v="0.21"/>
    <n v="0.47"/>
    <n v="0.15"/>
    <n v="0.36"/>
    <x v="18"/>
  </r>
  <r>
    <x v="530"/>
    <s v="fr FRA"/>
    <s v="fr"/>
    <s v="FRA"/>
    <s v="DF"/>
    <x v="2"/>
    <n v="28"/>
    <x v="1"/>
    <n v="33"/>
    <n v="32"/>
    <n v="2838"/>
    <x v="1"/>
    <n v="31.5"/>
    <n v="3"/>
    <n v="0"/>
    <n v="3"/>
    <n v="3"/>
    <n v="0"/>
    <n v="0"/>
    <n v="3"/>
    <n v="0"/>
    <n v="1.8"/>
    <n v="1.2"/>
    <n v="1.8"/>
    <n v="0.2"/>
    <n v="2"/>
    <n v="7"/>
    <n v="53"/>
    <n v="1"/>
    <n v="0.1"/>
    <n v="0"/>
    <n v="0.1"/>
    <n v="0.1"/>
    <n v="0.1"/>
    <n v="0.06"/>
    <n v="0.01"/>
    <n v="0.06"/>
    <n v="0.06"/>
    <n v="0.06"/>
    <x v="18"/>
  </r>
  <r>
    <x v="531"/>
    <s v="it ITA"/>
    <s v="it"/>
    <s v="ITA"/>
    <s v="DF"/>
    <x v="2"/>
    <n v="28"/>
    <x v="1"/>
    <n v="36"/>
    <n v="35"/>
    <n v="3137"/>
    <x v="1"/>
    <n v="34.9"/>
    <n v="1"/>
    <n v="2"/>
    <n v="3"/>
    <n v="1"/>
    <n v="0"/>
    <n v="0"/>
    <n v="10"/>
    <n v="0"/>
    <n v="1.5"/>
    <n v="-0.5"/>
    <n v="1.5"/>
    <n v="2.4"/>
    <n v="3.9"/>
    <n v="59"/>
    <n v="125"/>
    <n v="124"/>
    <n v="0.03"/>
    <n v="0.06"/>
    <n v="0.09"/>
    <n v="0.03"/>
    <n v="0.09"/>
    <n v="0.04"/>
    <n v="7.0000000000000007E-2"/>
    <n v="0.11"/>
    <n v="0.04"/>
    <n v="0.11"/>
    <x v="18"/>
  </r>
  <r>
    <x v="532"/>
    <s v="mx MEX"/>
    <s v="mx"/>
    <s v="MEX"/>
    <s v="MF"/>
    <x v="0"/>
    <n v="25"/>
    <x v="1"/>
    <n v="31"/>
    <n v="28"/>
    <n v="2377"/>
    <x v="1"/>
    <n v="26.4"/>
    <n v="1"/>
    <n v="1"/>
    <n v="2"/>
    <n v="1"/>
    <n v="0"/>
    <n v="0"/>
    <n v="11"/>
    <n v="0"/>
    <n v="1.3"/>
    <n v="-0.30000000000000004"/>
    <n v="1.3"/>
    <n v="0.6"/>
    <n v="1.9"/>
    <n v="20"/>
    <n v="91"/>
    <n v="26"/>
    <n v="0.04"/>
    <n v="0.04"/>
    <n v="0.08"/>
    <n v="0.04"/>
    <n v="0.08"/>
    <n v="0.05"/>
    <n v="0.02"/>
    <n v="7.0000000000000007E-2"/>
    <n v="0.05"/>
    <n v="7.0000000000000007E-2"/>
    <x v="18"/>
  </r>
  <r>
    <x v="533"/>
    <s v="gr GRE"/>
    <s v="gr"/>
    <s v="GRE"/>
    <s v="DF"/>
    <x v="2"/>
    <n v="25"/>
    <x v="1"/>
    <n v="19"/>
    <n v="16"/>
    <n v="1500"/>
    <x v="1"/>
    <n v="16.7"/>
    <n v="1"/>
    <n v="0"/>
    <n v="1"/>
    <n v="1"/>
    <n v="0"/>
    <n v="0"/>
    <n v="2"/>
    <n v="0"/>
    <n v="1.2"/>
    <n v="-0.19999999999999996"/>
    <n v="1.2"/>
    <n v="0.2"/>
    <n v="1.4"/>
    <n v="10"/>
    <n v="38"/>
    <n v="2"/>
    <n v="0.06"/>
    <n v="0"/>
    <n v="0.06"/>
    <n v="0.06"/>
    <n v="0.06"/>
    <n v="7.0000000000000007E-2"/>
    <n v="0.01"/>
    <n v="0.08"/>
    <n v="7.0000000000000007E-2"/>
    <n v="0.08"/>
    <x v="18"/>
  </r>
  <r>
    <x v="534"/>
    <s v="ma MAR"/>
    <s v="ma"/>
    <s v="MAR"/>
    <s v="DF"/>
    <x v="2"/>
    <n v="27"/>
    <x v="1"/>
    <n v="21"/>
    <n v="21"/>
    <n v="1857"/>
    <x v="1"/>
    <n v="20.6"/>
    <n v="1"/>
    <n v="0"/>
    <n v="1"/>
    <n v="1"/>
    <n v="0"/>
    <n v="0"/>
    <n v="3"/>
    <n v="1"/>
    <n v="1.5"/>
    <n v="-0.5"/>
    <n v="1.5"/>
    <n v="0.3"/>
    <n v="1.8"/>
    <n v="10"/>
    <n v="68"/>
    <n v="3"/>
    <n v="0.05"/>
    <n v="0"/>
    <n v="0.05"/>
    <n v="0.05"/>
    <n v="0.05"/>
    <n v="7.0000000000000007E-2"/>
    <n v="0.01"/>
    <n v="0.09"/>
    <n v="7.0000000000000007E-2"/>
    <n v="0.09"/>
    <x v="18"/>
  </r>
  <r>
    <x v="535"/>
    <s v="fr FRA"/>
    <s v="fr"/>
    <s v="FRA"/>
    <s v="GK"/>
    <x v="3"/>
    <n v="30"/>
    <x v="2"/>
    <n v="31"/>
    <n v="31"/>
    <n v="2699"/>
    <x v="1"/>
    <n v="30"/>
    <n v="0"/>
    <n v="0"/>
    <n v="0"/>
    <n v="0"/>
    <n v="0"/>
    <n v="0"/>
    <n v="1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18"/>
  </r>
  <r>
    <x v="536"/>
    <s v="pl POL"/>
    <s v="pl"/>
    <s v="POL"/>
    <s v="GK"/>
    <x v="3"/>
    <n v="38"/>
    <x v="4"/>
    <n v="10"/>
    <n v="7"/>
    <n v="721"/>
    <x v="0"/>
    <n v="8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18"/>
  </r>
  <r>
    <x v="537"/>
    <s v="it ITA"/>
    <s v="it"/>
    <s v="ITA"/>
    <s v="DF"/>
    <x v="2"/>
    <n v="35"/>
    <x v="4"/>
    <n v="11"/>
    <n v="7"/>
    <n v="635"/>
    <x v="0"/>
    <n v="7.1"/>
    <n v="0"/>
    <n v="0"/>
    <n v="0"/>
    <n v="0"/>
    <n v="0"/>
    <n v="0"/>
    <n v="1"/>
    <n v="0"/>
    <n v="0"/>
    <n v="0"/>
    <n v="0"/>
    <n v="0"/>
    <n v="0"/>
    <n v="2"/>
    <n v="4"/>
    <n v="0"/>
    <n v="0"/>
    <n v="0"/>
    <n v="0"/>
    <n v="0"/>
    <n v="0"/>
    <n v="0.01"/>
    <n v="0"/>
    <n v="0.01"/>
    <n v="0.01"/>
    <n v="0.01"/>
    <x v="18"/>
  </r>
  <r>
    <x v="538"/>
    <s v="eng ENG"/>
    <s v="eng"/>
    <s v="ENG"/>
    <s v="DF,FW"/>
    <x v="2"/>
    <n v="23"/>
    <x v="0"/>
    <n v="14"/>
    <n v="4"/>
    <n v="544"/>
    <x v="0"/>
    <n v="6"/>
    <n v="0"/>
    <n v="0"/>
    <n v="0"/>
    <n v="0"/>
    <n v="0"/>
    <n v="0"/>
    <n v="1"/>
    <n v="0"/>
    <n v="0.2"/>
    <n v="-0.2"/>
    <n v="0.2"/>
    <n v="0"/>
    <n v="0.2"/>
    <n v="17"/>
    <n v="22"/>
    <n v="33"/>
    <n v="0"/>
    <n v="0"/>
    <n v="0"/>
    <n v="0"/>
    <n v="0"/>
    <n v="0.03"/>
    <n v="0"/>
    <n v="0.03"/>
    <n v="0.03"/>
    <n v="0.03"/>
    <x v="18"/>
  </r>
  <r>
    <x v="539"/>
    <s v="eng ENG"/>
    <s v="eng"/>
    <s v="ENG"/>
    <s v="DF,FW"/>
    <x v="2"/>
    <n v="33"/>
    <x v="2"/>
    <n v="11"/>
    <n v="4"/>
    <n v="436"/>
    <x v="0"/>
    <n v="4.8"/>
    <n v="0"/>
    <n v="0"/>
    <n v="0"/>
    <n v="0"/>
    <n v="0"/>
    <n v="0"/>
    <n v="1"/>
    <n v="0"/>
    <n v="0"/>
    <n v="0"/>
    <n v="0"/>
    <n v="0.4"/>
    <n v="0.4"/>
    <n v="4"/>
    <n v="26"/>
    <n v="6"/>
    <n v="0"/>
    <n v="0"/>
    <n v="0"/>
    <n v="0"/>
    <n v="0"/>
    <n v="0"/>
    <n v="0.09"/>
    <n v="0.09"/>
    <n v="0"/>
    <n v="0.09"/>
    <x v="18"/>
  </r>
  <r>
    <x v="540"/>
    <s v="es ESP"/>
    <s v="es"/>
    <s v="ESP"/>
    <s v="MF,FW"/>
    <x v="0"/>
    <n v="27"/>
    <x v="1"/>
    <n v="15"/>
    <n v="4"/>
    <n v="426"/>
    <x v="0"/>
    <n v="4.7"/>
    <n v="0"/>
    <n v="0"/>
    <n v="0"/>
    <n v="0"/>
    <n v="0"/>
    <n v="0"/>
    <n v="0"/>
    <n v="0"/>
    <n v="0.3"/>
    <n v="-0.3"/>
    <n v="0.3"/>
    <n v="0.3"/>
    <n v="0.6"/>
    <n v="4"/>
    <n v="29"/>
    <n v="27"/>
    <n v="0"/>
    <n v="0"/>
    <n v="0"/>
    <n v="0"/>
    <n v="0"/>
    <n v="7.0000000000000007E-2"/>
    <n v="7.0000000000000007E-2"/>
    <n v="0.13"/>
    <n v="7.0000000000000007E-2"/>
    <n v="0.13"/>
    <x v="18"/>
  </r>
  <r>
    <x v="360"/>
    <s v="eng ENG"/>
    <s v="eng"/>
    <s v="ENG"/>
    <s v="MF"/>
    <x v="0"/>
    <n v="27"/>
    <x v="1"/>
    <n v="8"/>
    <n v="3"/>
    <n v="309"/>
    <x v="0"/>
    <n v="3.4"/>
    <n v="0"/>
    <n v="0"/>
    <n v="0"/>
    <n v="0"/>
    <n v="0"/>
    <n v="0"/>
    <n v="3"/>
    <n v="1"/>
    <n v="0.1"/>
    <n v="-0.1"/>
    <n v="0.1"/>
    <n v="0"/>
    <n v="0.1"/>
    <n v="3"/>
    <n v="19"/>
    <n v="4"/>
    <n v="0"/>
    <n v="0"/>
    <n v="0"/>
    <n v="0"/>
    <n v="0"/>
    <n v="0.02"/>
    <n v="0"/>
    <n v="0.02"/>
    <n v="0.02"/>
    <n v="0.02"/>
    <x v="18"/>
  </r>
  <r>
    <x v="541"/>
    <s v="eng ENG"/>
    <s v="eng"/>
    <s v="ENG"/>
    <s v="FW"/>
    <x v="1"/>
    <n v="18"/>
    <x v="3"/>
    <n v="5"/>
    <n v="0"/>
    <n v="80"/>
    <x v="0"/>
    <n v="0.9"/>
    <n v="0"/>
    <n v="0"/>
    <n v="0"/>
    <n v="0"/>
    <n v="0"/>
    <n v="0"/>
    <n v="0"/>
    <n v="0"/>
    <n v="0.1"/>
    <n v="-0.1"/>
    <n v="0.1"/>
    <n v="0"/>
    <n v="0.1"/>
    <n v="0"/>
    <n v="0"/>
    <n v="5"/>
    <n v="0"/>
    <n v="0"/>
    <n v="0"/>
    <n v="0"/>
    <n v="0"/>
    <n v="0.17"/>
    <n v="0"/>
    <n v="0.17"/>
    <n v="0.17"/>
    <n v="0.17"/>
    <x v="18"/>
  </r>
  <r>
    <x v="542"/>
    <s v="de GER"/>
    <s v="de"/>
    <s v="GER"/>
    <s v="DF,MF"/>
    <x v="2"/>
    <n v="26"/>
    <x v="1"/>
    <n v="4"/>
    <n v="0"/>
    <n v="22"/>
    <x v="0"/>
    <n v="0.2"/>
    <n v="0"/>
    <n v="0"/>
    <n v="0"/>
    <n v="0"/>
    <n v="0"/>
    <n v="0"/>
    <n v="2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x v="18"/>
  </r>
  <r>
    <x v="543"/>
    <s v="eng ENG"/>
    <s v="eng"/>
    <s v="ENG"/>
    <s v="DF"/>
    <x v="2"/>
    <n v="18"/>
    <x v="3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8"/>
  </r>
  <r>
    <x v="544"/>
    <s v="at AUT"/>
    <s v="at"/>
    <s v="AUT"/>
    <s v="FW"/>
    <x v="1"/>
    <n v="26"/>
    <x v="1"/>
    <n v="11"/>
    <n v="1"/>
    <n v="166"/>
    <x v="0"/>
    <n v="1.8"/>
    <n v="2"/>
    <n v="0"/>
    <n v="2"/>
    <n v="2"/>
    <n v="0"/>
    <n v="0"/>
    <n v="0"/>
    <n v="0"/>
    <n v="1.1000000000000001"/>
    <n v="0.89999999999999991"/>
    <n v="1.1000000000000001"/>
    <n v="1"/>
    <n v="2"/>
    <n v="1"/>
    <n v="5"/>
    <n v="9"/>
    <n v="1.08"/>
    <n v="0"/>
    <n v="1.08"/>
    <n v="1.08"/>
    <n v="1.08"/>
    <n v="0.56999999999999995"/>
    <n v="0.52"/>
    <n v="1.0900000000000001"/>
    <n v="0.56999999999999995"/>
    <n v="1.0900000000000001"/>
    <x v="19"/>
  </r>
  <r>
    <x v="545"/>
    <s v="br BRA"/>
    <s v="br"/>
    <s v="BRA"/>
    <s v="FW,MF"/>
    <x v="1"/>
    <n v="24"/>
    <x v="1"/>
    <n v="32"/>
    <n v="29"/>
    <n v="2440"/>
    <x v="1"/>
    <n v="27.1"/>
    <n v="12"/>
    <n v="7"/>
    <n v="19"/>
    <n v="11"/>
    <n v="1"/>
    <n v="1"/>
    <n v="9"/>
    <n v="0"/>
    <n v="9.5"/>
    <n v="2.5"/>
    <n v="8.6999999999999993"/>
    <n v="3.2"/>
    <n v="11.9"/>
    <n v="107"/>
    <n v="87"/>
    <n v="139"/>
    <n v="0.44"/>
    <n v="0.26"/>
    <n v="0.7"/>
    <n v="0.41"/>
    <n v="0.66"/>
    <n v="0.35"/>
    <n v="0.12"/>
    <n v="0.47"/>
    <n v="0.32"/>
    <n v="0.44"/>
    <x v="19"/>
  </r>
  <r>
    <x v="546"/>
    <s v="pt POR"/>
    <s v="pt"/>
    <s v="POR"/>
    <s v="FW,MF"/>
    <x v="1"/>
    <n v="23"/>
    <x v="0"/>
    <n v="20"/>
    <n v="18"/>
    <n v="1516"/>
    <x v="1"/>
    <n v="16.8"/>
    <n v="2"/>
    <n v="9"/>
    <n v="11"/>
    <n v="2"/>
    <n v="0"/>
    <n v="0"/>
    <n v="4"/>
    <n v="0"/>
    <n v="3.5"/>
    <n v="-1.5"/>
    <n v="3.5"/>
    <n v="4.4000000000000004"/>
    <n v="7.9"/>
    <n v="98"/>
    <n v="54"/>
    <n v="149"/>
    <n v="0.12"/>
    <n v="0.53"/>
    <n v="0.65"/>
    <n v="0.12"/>
    <n v="0.65"/>
    <n v="0.21"/>
    <n v="0.26"/>
    <n v="0.47"/>
    <n v="0.21"/>
    <n v="0.47"/>
    <x v="19"/>
  </r>
  <r>
    <x v="547"/>
    <s v="kr KOR"/>
    <s v="kr"/>
    <s v="KOR"/>
    <s v="FW,MF"/>
    <x v="1"/>
    <n v="27"/>
    <x v="1"/>
    <n v="29"/>
    <n v="25"/>
    <n v="2119"/>
    <x v="1"/>
    <n v="23.5"/>
    <n v="12"/>
    <n v="3"/>
    <n v="15"/>
    <n v="11"/>
    <n v="1"/>
    <n v="1"/>
    <n v="6"/>
    <n v="0"/>
    <n v="7.7"/>
    <n v="4.3"/>
    <n v="6.9"/>
    <n v="3"/>
    <n v="9.9"/>
    <n v="37"/>
    <n v="37"/>
    <n v="120"/>
    <n v="0.51"/>
    <n v="0.13"/>
    <n v="0.64"/>
    <n v="0.47"/>
    <n v="0.59"/>
    <n v="0.33"/>
    <n v="0.13"/>
    <n v="0.45"/>
    <n v="0.28999999999999998"/>
    <n v="0.42"/>
    <x v="19"/>
  </r>
  <r>
    <x v="548"/>
    <s v="es ESP"/>
    <s v="es"/>
    <s v="ESP"/>
    <s v="MF,FW"/>
    <x v="0"/>
    <n v="31"/>
    <x v="2"/>
    <n v="30"/>
    <n v="20"/>
    <n v="1745"/>
    <x v="1"/>
    <n v="19.399999999999999"/>
    <n v="4"/>
    <n v="7"/>
    <n v="11"/>
    <n v="2"/>
    <n v="2"/>
    <n v="2"/>
    <n v="5"/>
    <n v="0"/>
    <n v="5.5"/>
    <n v="-1.5"/>
    <n v="3.9"/>
    <n v="5.9"/>
    <n v="9.8000000000000007"/>
    <n v="41"/>
    <n v="109"/>
    <n v="137"/>
    <n v="0.21"/>
    <n v="0.36"/>
    <n v="0.56999999999999995"/>
    <n v="0.1"/>
    <n v="0.46"/>
    <n v="0.28000000000000003"/>
    <n v="0.3"/>
    <n v="0.59"/>
    <n v="0.2"/>
    <n v="0.5"/>
    <x v="19"/>
  </r>
  <r>
    <x v="549"/>
    <s v="fr FRA"/>
    <s v="fr"/>
    <s v="FRA"/>
    <s v="MF,FW"/>
    <x v="0"/>
    <n v="25"/>
    <x v="1"/>
    <n v="22"/>
    <n v="10"/>
    <n v="958"/>
    <x v="0"/>
    <n v="10.6"/>
    <n v="2"/>
    <n v="1"/>
    <n v="3"/>
    <n v="2"/>
    <n v="0"/>
    <n v="0"/>
    <n v="0"/>
    <n v="1"/>
    <n v="1.6"/>
    <n v="0.39999999999999991"/>
    <n v="1.6"/>
    <n v="1"/>
    <n v="2.5"/>
    <n v="30"/>
    <n v="39"/>
    <n v="49"/>
    <n v="0.19"/>
    <n v="0.09"/>
    <n v="0.28000000000000003"/>
    <n v="0.19"/>
    <n v="0.28000000000000003"/>
    <n v="0.15"/>
    <n v="0.09"/>
    <n v="0.24"/>
    <n v="0.15"/>
    <n v="0.24"/>
    <x v="19"/>
  </r>
  <r>
    <x v="550"/>
    <s v="ga GAB"/>
    <s v="ga"/>
    <s v="GAB"/>
    <s v="MF"/>
    <x v="0"/>
    <n v="29"/>
    <x v="1"/>
    <n v="35"/>
    <n v="34"/>
    <n v="2968"/>
    <x v="1"/>
    <n v="33"/>
    <n v="4"/>
    <n v="1"/>
    <n v="5"/>
    <n v="4"/>
    <n v="0"/>
    <n v="0"/>
    <n v="12"/>
    <n v="1"/>
    <n v="4.5999999999999996"/>
    <n v="-0.59999999999999964"/>
    <n v="4.5999999999999996"/>
    <n v="1.5"/>
    <n v="6.2"/>
    <n v="32"/>
    <n v="76"/>
    <n v="49"/>
    <n v="0.12"/>
    <n v="0.03"/>
    <n v="0.15"/>
    <n v="0.12"/>
    <n v="0.15"/>
    <n v="0.14000000000000001"/>
    <n v="0.05"/>
    <n v="0.19"/>
    <n v="0.14000000000000001"/>
    <n v="0.19"/>
    <x v="19"/>
  </r>
  <r>
    <x v="551"/>
    <s v="pt POR"/>
    <s v="pt"/>
    <s v="POR"/>
    <s v="DF"/>
    <x v="2"/>
    <n v="24"/>
    <x v="1"/>
    <n v="35"/>
    <n v="31"/>
    <n v="2772"/>
    <x v="1"/>
    <n v="30.8"/>
    <n v="1"/>
    <n v="3"/>
    <n v="4"/>
    <n v="1"/>
    <n v="0"/>
    <n v="0"/>
    <n v="7"/>
    <n v="0"/>
    <n v="1.6"/>
    <n v="-0.60000000000000009"/>
    <n v="1.6"/>
    <n v="1.2"/>
    <n v="2.8"/>
    <n v="22"/>
    <n v="79"/>
    <n v="11"/>
    <n v="0.03"/>
    <n v="0.1"/>
    <n v="0.13"/>
    <n v="0.03"/>
    <n v="0.13"/>
    <n v="0.05"/>
    <n v="0.04"/>
    <n v="0.09"/>
    <n v="0.05"/>
    <n v="0.09"/>
    <x v="19"/>
  </r>
  <r>
    <x v="552"/>
    <s v="dz ALG"/>
    <s v="dz"/>
    <s v="ALG"/>
    <s v="DF,MF"/>
    <x v="2"/>
    <n v="22"/>
    <x v="0"/>
    <n v="33"/>
    <n v="29"/>
    <n v="2329"/>
    <x v="1"/>
    <n v="25.9"/>
    <n v="2"/>
    <n v="1"/>
    <n v="3"/>
    <n v="2"/>
    <n v="0"/>
    <n v="0"/>
    <n v="7"/>
    <n v="0"/>
    <n v="3.3"/>
    <n v="-1.2999999999999998"/>
    <n v="3.3"/>
    <n v="2.4"/>
    <n v="5.6"/>
    <n v="67"/>
    <n v="99"/>
    <n v="99"/>
    <n v="0.08"/>
    <n v="0.04"/>
    <n v="0.12"/>
    <n v="0.08"/>
    <n v="0.12"/>
    <n v="0.13"/>
    <n v="0.09"/>
    <n v="0.22"/>
    <n v="0.13"/>
    <n v="0.22"/>
    <x v="19"/>
  </r>
  <r>
    <x v="553"/>
    <s v="br BRA"/>
    <s v="br"/>
    <s v="BRA"/>
    <s v="MF"/>
    <x v="0"/>
    <n v="22"/>
    <x v="0"/>
    <n v="34"/>
    <n v="32"/>
    <n v="2649"/>
    <x v="1"/>
    <n v="29.4"/>
    <n v="2"/>
    <n v="1"/>
    <n v="3"/>
    <n v="2"/>
    <n v="0"/>
    <n v="0"/>
    <n v="11"/>
    <n v="0"/>
    <n v="1.7"/>
    <n v="0.30000000000000004"/>
    <n v="1.7"/>
    <n v="1.1000000000000001"/>
    <n v="2.8"/>
    <n v="28"/>
    <n v="101"/>
    <n v="44"/>
    <n v="7.0000000000000007E-2"/>
    <n v="0.03"/>
    <n v="0.1"/>
    <n v="7.0000000000000007E-2"/>
    <n v="0.1"/>
    <n v="0.06"/>
    <n v="0.04"/>
    <n v="0.1"/>
    <n v="0.06"/>
    <n v="0.1"/>
    <x v="19"/>
  </r>
  <r>
    <x v="554"/>
    <s v="eng ENG"/>
    <s v="eng"/>
    <s v="ENG"/>
    <s v="DF"/>
    <x v="2"/>
    <n v="33"/>
    <x v="2"/>
    <n v="25"/>
    <n v="25"/>
    <n v="2209"/>
    <x v="1"/>
    <n v="24.5"/>
    <n v="1"/>
    <n v="1"/>
    <n v="2"/>
    <n v="1"/>
    <n v="0"/>
    <n v="0"/>
    <n v="7"/>
    <n v="0"/>
    <n v="1.5"/>
    <n v="-0.5"/>
    <n v="1.5"/>
    <n v="1.4"/>
    <n v="2.9"/>
    <n v="1"/>
    <n v="49"/>
    <n v="4"/>
    <n v="0.04"/>
    <n v="0.04"/>
    <n v="0.08"/>
    <n v="0.04"/>
    <n v="0.08"/>
    <n v="0.06"/>
    <n v="0.06"/>
    <n v="0.12"/>
    <n v="0.06"/>
    <n v="0.12"/>
    <x v="19"/>
  </r>
  <r>
    <x v="555"/>
    <s v="ie IRL"/>
    <s v="ie"/>
    <s v="IRL"/>
    <s v="DF,MF"/>
    <x v="2"/>
    <n v="31"/>
    <x v="2"/>
    <n v="30"/>
    <n v="9"/>
    <n v="1150"/>
    <x v="1"/>
    <n v="12.8"/>
    <n v="1"/>
    <n v="0"/>
    <n v="1"/>
    <n v="1"/>
    <n v="0"/>
    <n v="0"/>
    <n v="2"/>
    <n v="0"/>
    <n v="0.8"/>
    <n v="0.19999999999999996"/>
    <n v="0.8"/>
    <n v="1.3"/>
    <n v="2.2000000000000002"/>
    <n v="12"/>
    <n v="31"/>
    <n v="64"/>
    <n v="0.08"/>
    <n v="0"/>
    <n v="0.08"/>
    <n v="0.08"/>
    <n v="0.08"/>
    <n v="7.0000000000000007E-2"/>
    <n v="0.1"/>
    <n v="0.17"/>
    <n v="7.0000000000000007E-2"/>
    <n v="0.17"/>
    <x v="19"/>
  </r>
  <r>
    <x v="556"/>
    <s v="eng ENG"/>
    <s v="eng"/>
    <s v="ENG"/>
    <s v="DF"/>
    <x v="2"/>
    <n v="26"/>
    <x v="1"/>
    <n v="38"/>
    <n v="38"/>
    <n v="3420"/>
    <x v="1"/>
    <n v="38"/>
    <n v="2"/>
    <n v="0"/>
    <n v="2"/>
    <n v="2"/>
    <n v="0"/>
    <n v="0"/>
    <n v="7"/>
    <n v="0"/>
    <n v="1.8"/>
    <n v="0.19999999999999996"/>
    <n v="1.8"/>
    <n v="1.4"/>
    <n v="3.2"/>
    <n v="22"/>
    <n v="117"/>
    <n v="5"/>
    <n v="0.05"/>
    <n v="0"/>
    <n v="0.05"/>
    <n v="0.05"/>
    <n v="0.05"/>
    <n v="0.05"/>
    <n v="0.04"/>
    <n v="0.08"/>
    <n v="0.05"/>
    <n v="0.08"/>
    <x v="19"/>
  </r>
  <r>
    <x v="557"/>
    <s v="pt POR"/>
    <s v="pt"/>
    <s v="POR"/>
    <s v="DF,MF"/>
    <x v="2"/>
    <n v="29"/>
    <x v="1"/>
    <n v="36"/>
    <n v="36"/>
    <n v="3084"/>
    <x v="1"/>
    <n v="34.299999999999997"/>
    <n v="0"/>
    <n v="1"/>
    <n v="1"/>
    <n v="0"/>
    <n v="0"/>
    <n v="0"/>
    <n v="10"/>
    <n v="1"/>
    <n v="1.3"/>
    <n v="-1.3"/>
    <n v="1.3"/>
    <n v="1.7"/>
    <n v="3"/>
    <n v="103"/>
    <n v="138"/>
    <n v="150"/>
    <n v="0"/>
    <n v="0.03"/>
    <n v="0.03"/>
    <n v="0"/>
    <n v="0.03"/>
    <n v="0.04"/>
    <n v="0.05"/>
    <n v="0.09"/>
    <n v="0.04"/>
    <n v="0.09"/>
    <x v="19"/>
  </r>
  <r>
    <x v="558"/>
    <s v="pt POR"/>
    <s v="pt"/>
    <s v="POR"/>
    <s v="GK"/>
    <x v="3"/>
    <n v="30"/>
    <x v="2"/>
    <n v="35"/>
    <n v="35"/>
    <n v="3037"/>
    <x v="1"/>
    <n v="33.700000000000003"/>
    <n v="0"/>
    <n v="1"/>
    <n v="1"/>
    <n v="0"/>
    <n v="0"/>
    <n v="0"/>
    <n v="1"/>
    <n v="0"/>
    <n v="0"/>
    <n v="0"/>
    <n v="0"/>
    <n v="0"/>
    <n v="0"/>
    <n v="0"/>
    <n v="1"/>
    <n v="0"/>
    <n v="0"/>
    <n v="0.03"/>
    <n v="0.03"/>
    <n v="0"/>
    <n v="0.03"/>
    <n v="0"/>
    <n v="0"/>
    <n v="0"/>
    <n v="0"/>
    <n v="0"/>
    <x v="19"/>
  </r>
  <r>
    <x v="559"/>
    <s v="eng ENG"/>
    <s v="eng"/>
    <s v="ENG"/>
    <s v="MF"/>
    <x v="0"/>
    <n v="21"/>
    <x v="0"/>
    <n v="26"/>
    <n v="11"/>
    <n v="1222"/>
    <x v="1"/>
    <n v="13.6"/>
    <n v="0"/>
    <n v="0"/>
    <n v="0"/>
    <n v="0"/>
    <n v="0"/>
    <n v="0"/>
    <n v="2"/>
    <n v="0"/>
    <n v="0.4"/>
    <n v="-0.4"/>
    <n v="0.4"/>
    <n v="0.4"/>
    <n v="0.9"/>
    <n v="21"/>
    <n v="81"/>
    <n v="17"/>
    <n v="0"/>
    <n v="0"/>
    <n v="0"/>
    <n v="0"/>
    <n v="0"/>
    <n v="0.03"/>
    <n v="0.03"/>
    <n v="0.06"/>
    <n v="0.03"/>
    <n v="0.06"/>
    <x v="19"/>
  </r>
  <r>
    <x v="560"/>
    <s v="uy URU"/>
    <s v="uy"/>
    <s v="URU"/>
    <s v="DF"/>
    <x v="2"/>
    <n v="24"/>
    <x v="1"/>
    <n v="12"/>
    <n v="9"/>
    <n v="822"/>
    <x v="0"/>
    <n v="9.1"/>
    <n v="0"/>
    <n v="0"/>
    <n v="0"/>
    <n v="0"/>
    <n v="0"/>
    <n v="0"/>
    <n v="1"/>
    <n v="0"/>
    <n v="0"/>
    <n v="0"/>
    <n v="0"/>
    <n v="0.1"/>
    <n v="0.1"/>
    <n v="3"/>
    <n v="11"/>
    <n v="2"/>
    <n v="0"/>
    <n v="0"/>
    <n v="0"/>
    <n v="0"/>
    <n v="0"/>
    <n v="0"/>
    <n v="0.01"/>
    <n v="0.01"/>
    <n v="0"/>
    <n v="0.01"/>
    <x v="19"/>
  </r>
  <r>
    <x v="561"/>
    <s v="ml MLI"/>
    <s v="ml"/>
    <s v="MLI"/>
    <s v="MF"/>
    <x v="0"/>
    <n v="21"/>
    <x v="0"/>
    <n v="24"/>
    <n v="7"/>
    <n v="819"/>
    <x v="0"/>
    <n v="9.1"/>
    <n v="0"/>
    <n v="0"/>
    <n v="0"/>
    <n v="0"/>
    <n v="0"/>
    <n v="0"/>
    <n v="4"/>
    <n v="0"/>
    <n v="0.3"/>
    <n v="-0.3"/>
    <n v="0.3"/>
    <n v="0.4"/>
    <n v="0.7"/>
    <n v="9"/>
    <n v="29"/>
    <n v="15"/>
    <n v="0"/>
    <n v="0"/>
    <n v="0"/>
    <n v="0"/>
    <n v="0"/>
    <n v="0.03"/>
    <n v="0.04"/>
    <n v="7.0000000000000007E-2"/>
    <n v="0.03"/>
    <n v="7.0000000000000007E-2"/>
    <x v="19"/>
  </r>
  <r>
    <x v="562"/>
    <s v="es ESP"/>
    <s v="es"/>
    <s v="ESP"/>
    <s v="DF,MF"/>
    <x v="2"/>
    <n v="20"/>
    <x v="0"/>
    <n v="22"/>
    <n v="7"/>
    <n v="741"/>
    <x v="0"/>
    <n v="8.1999999999999993"/>
    <n v="0"/>
    <n v="0"/>
    <n v="0"/>
    <n v="0"/>
    <n v="0"/>
    <n v="0"/>
    <n v="1"/>
    <n v="0"/>
    <n v="0.3"/>
    <n v="-0.3"/>
    <n v="0.3"/>
    <n v="0.8"/>
    <n v="1"/>
    <n v="22"/>
    <n v="8"/>
    <n v="40"/>
    <n v="0"/>
    <n v="0"/>
    <n v="0"/>
    <n v="0"/>
    <n v="0"/>
    <n v="0.03"/>
    <n v="0.09"/>
    <n v="0.13"/>
    <n v="0.03"/>
    <n v="0.13"/>
    <x v="19"/>
  </r>
  <r>
    <x v="563"/>
    <s v="eng ENG"/>
    <s v="eng"/>
    <s v="ENG"/>
    <s v="GK"/>
    <x v="3"/>
    <n v="30"/>
    <x v="2"/>
    <n v="5"/>
    <n v="3"/>
    <n v="383"/>
    <x v="0"/>
    <n v="4.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9"/>
  </r>
  <r>
    <x v="564"/>
    <s v="pt POR"/>
    <s v="pt"/>
    <s v="POR"/>
    <s v="FW"/>
    <x v="1"/>
    <n v="21"/>
    <x v="0"/>
    <n v="8"/>
    <n v="3"/>
    <n v="264"/>
    <x v="0"/>
    <n v="2.9"/>
    <n v="0"/>
    <n v="0"/>
    <n v="0"/>
    <n v="0"/>
    <n v="0"/>
    <n v="0"/>
    <n v="2"/>
    <n v="0"/>
    <n v="1"/>
    <n v="-1"/>
    <n v="1"/>
    <n v="0.2"/>
    <n v="1.2"/>
    <n v="5"/>
    <n v="10"/>
    <n v="13"/>
    <n v="0"/>
    <n v="0"/>
    <n v="0"/>
    <n v="0"/>
    <n v="0"/>
    <n v="0.35"/>
    <n v="7.0000000000000007E-2"/>
    <n v="0.42"/>
    <n v="0.35"/>
    <n v="0.42"/>
    <x v="19"/>
  </r>
  <r>
    <x v="349"/>
    <s v="pt POR"/>
    <s v="pt"/>
    <s v="POR"/>
    <s v="MF"/>
    <x v="0"/>
    <n v="24"/>
    <x v="1"/>
    <n v="2"/>
    <n v="2"/>
    <n v="179"/>
    <x v="0"/>
    <n v="2"/>
    <n v="0"/>
    <n v="0"/>
    <n v="0"/>
    <n v="0"/>
    <n v="0"/>
    <n v="0"/>
    <n v="2"/>
    <n v="1"/>
    <n v="0.1"/>
    <n v="-0.1"/>
    <n v="0.1"/>
    <n v="0.1"/>
    <n v="0.2"/>
    <n v="7"/>
    <n v="8"/>
    <n v="9"/>
    <n v="0"/>
    <n v="0"/>
    <n v="0"/>
    <n v="0"/>
    <n v="0"/>
    <n v="0.04"/>
    <n v="0.05"/>
    <n v="0.09"/>
    <n v="0.04"/>
    <n v="0.09"/>
    <x v="19"/>
  </r>
  <r>
    <x v="565"/>
    <s v="eng ENG"/>
    <s v="eng"/>
    <s v="ENG"/>
    <s v="FW"/>
    <x v="1"/>
    <n v="17"/>
    <x v="3"/>
    <n v="3"/>
    <n v="2"/>
    <n v="174"/>
    <x v="0"/>
    <n v="1.9"/>
    <n v="0"/>
    <n v="0"/>
    <n v="0"/>
    <n v="0"/>
    <n v="0"/>
    <n v="0"/>
    <n v="0"/>
    <n v="0"/>
    <n v="0.1"/>
    <n v="-0.1"/>
    <n v="0.1"/>
    <n v="0"/>
    <n v="0.1"/>
    <n v="1"/>
    <n v="2"/>
    <n v="7"/>
    <n v="0"/>
    <n v="0"/>
    <n v="0"/>
    <n v="0"/>
    <n v="0"/>
    <n v="0.05"/>
    <n v="0"/>
    <n v="0.05"/>
    <n v="0.05"/>
    <n v="0.05"/>
    <x v="19"/>
  </r>
  <r>
    <x v="566"/>
    <s v="ie IRL"/>
    <s v="ie"/>
    <s v="IRL"/>
    <s v="FW"/>
    <x v="1"/>
    <n v="18"/>
    <x v="3"/>
    <n v="7"/>
    <n v="1"/>
    <n v="186"/>
    <x v="0"/>
    <n v="2.1"/>
    <n v="0"/>
    <n v="0"/>
    <n v="0"/>
    <n v="0"/>
    <n v="0"/>
    <n v="0"/>
    <n v="1"/>
    <n v="0"/>
    <n v="0.3"/>
    <n v="-0.3"/>
    <n v="0.3"/>
    <n v="0.1"/>
    <n v="0.4"/>
    <n v="1"/>
    <n v="2"/>
    <n v="21"/>
    <n v="0"/>
    <n v="0"/>
    <n v="0"/>
    <n v="0"/>
    <n v="0"/>
    <n v="0.16"/>
    <n v="0.04"/>
    <n v="0.19"/>
    <n v="0.16"/>
    <n v="0.19"/>
    <x v="19"/>
  </r>
  <r>
    <x v="567"/>
    <s v="zw ZIM"/>
    <s v="zw"/>
    <s v="ZIM"/>
    <s v="MF,FW"/>
    <x v="0"/>
    <n v="19"/>
    <x v="3"/>
    <n v="8"/>
    <n v="1"/>
    <n v="145"/>
    <x v="0"/>
    <n v="1.6"/>
    <n v="0"/>
    <n v="0"/>
    <n v="0"/>
    <n v="0"/>
    <n v="0"/>
    <n v="0"/>
    <n v="1"/>
    <n v="0"/>
    <n v="0.2"/>
    <n v="-0.2"/>
    <n v="0.2"/>
    <n v="0"/>
    <n v="0.2"/>
    <n v="1"/>
    <n v="7"/>
    <n v="8"/>
    <n v="0"/>
    <n v="0"/>
    <n v="0"/>
    <n v="0"/>
    <n v="0"/>
    <n v="0.1"/>
    <n v="0.02"/>
    <n v="0.12"/>
    <n v="0.1"/>
    <n v="0.12"/>
    <x v="19"/>
  </r>
  <r>
    <x v="568"/>
    <s v="es ESP"/>
    <s v="es"/>
    <s v="ESP"/>
    <s v="MF"/>
    <x v="0"/>
    <n v="29"/>
    <x v="1"/>
    <n v="1"/>
    <n v="0"/>
    <n v="5"/>
    <x v="0"/>
    <n v="0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9"/>
  </r>
  <r>
    <x v="569"/>
    <s v="py PAR"/>
    <s v="py"/>
    <s v="PAR"/>
    <s v="MF,DF"/>
    <x v="0"/>
    <n v="18"/>
    <x v="3"/>
    <n v="1"/>
    <n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x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A12D8A-FA2B-4B8A-B625-3BFFA3B170AF}" name="Total Yellow Cards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>
  <location ref="I1:I2" firstHeaderRow="1" firstDataRow="1" firstDataCol="0"/>
  <pivotFields count="40">
    <pivotField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Items count="1">
    <i/>
  </rowItems>
  <colItems count="1">
    <i/>
  </colItems>
  <dataFields count="1">
    <dataField name="Total Yellow Cards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81EEE4-9938-4909-8696-1725D78ACE1E}" name="Total Assists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>
  <location ref="G1:G2" firstHeaderRow="1" firstDataRow="1" firstDataCol="0"/>
  <pivotFields count="40">
    <pivotField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Items count="1">
    <i/>
  </rowItems>
  <colItems count="1">
    <i/>
  </colItems>
  <dataFields count="1">
    <dataField name="Total Assists" fld="14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B83A3B-78E2-488B-A2DD-C2ABAEA5FE49}" name="Total Goals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>
  <location ref="E1:E2" firstHeaderRow="1" firstDataRow="1" firstDataCol="0"/>
  <pivotFields count="40">
    <pivotField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Items count="1">
    <i/>
  </rowItems>
  <colItems count="1">
    <i/>
  </colItems>
  <dataFields count="1">
    <dataField name="Total Goals" fld="13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1F08DA-090B-4733-8761-B9EE4E253ACA}" name="Average Age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>
  <location ref="C1:C2" firstHeaderRow="1" firstDataRow="1" firstDataCol="0"/>
  <pivotFields count="40">
    <pivotField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dataField="1"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Items count="1">
    <i/>
  </rowItems>
  <colItems count="1">
    <i/>
  </colItems>
  <dataFields count="1">
    <dataField name="Average Age" fld="6" subtotal="average" baseField="0" baseItem="0" numFmtId="164"/>
  </dataFields>
  <formats count="1"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6DF06B-CBC9-463E-929E-52271BDC86E2}" name="Count Players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>
  <location ref="A1:A2" firstHeaderRow="1" firstDataRow="1" firstDataCol="0"/>
  <pivotFields count="40">
    <pivotField dataField="1"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Items count="1">
    <i/>
  </rowItems>
  <colItems count="1">
    <i/>
  </colItems>
  <dataFields count="1">
    <dataField name="Count Player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0BCC26-F7E2-41DD-8AC6-10D8B84DE6DA}" name="Total Red Cards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>
  <location ref="K1:K2" firstHeaderRow="1" firstDataRow="1" firstDataCol="0"/>
  <pivotFields count="40">
    <pivotField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Items count="1">
    <i/>
  </rowItems>
  <colItems count="1">
    <i/>
  </colItems>
  <dataFields count="1">
    <dataField name="Total Red Cards" fld="20" baseField="0" baseItem="0" numFmtId="1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E93FE-FD92-4F3E-98A3-BAFA32A58A5E}" name="Зведена таблиця2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 chartFormat="4" rowHeaderCaption="Top scorers">
  <location ref="S1:T12" firstHeaderRow="1" firstDataRow="1" firstDataCol="1"/>
  <pivotFields count="40">
    <pivotField axis="axisRow" showAll="0" measureFilter="1" sortType="descending">
      <items count="571">
        <item x="539"/>
        <item x="108"/>
        <item x="19"/>
        <item x="166"/>
        <item x="382"/>
        <item x="237"/>
        <item x="131"/>
        <item x="71"/>
        <item x="138"/>
        <item x="215"/>
        <item x="258"/>
        <item x="318"/>
        <item x="369"/>
        <item x="491"/>
        <item x="280"/>
        <item x="253"/>
        <item x="205"/>
        <item x="38"/>
        <item x="421"/>
        <item x="67"/>
        <item x="393"/>
        <item x="289"/>
        <item x="315"/>
        <item x="182"/>
        <item x="299"/>
        <item x="535"/>
        <item x="368"/>
        <item x="423"/>
        <item x="246"/>
        <item x="330"/>
        <item x="158"/>
        <item x="169"/>
        <item x="470"/>
        <item x="242"/>
        <item x="385"/>
        <item x="264"/>
        <item x="447"/>
        <item x="291"/>
        <item x="456"/>
        <item x="317"/>
        <item x="464"/>
        <item x="537"/>
        <item x="479"/>
        <item x="121"/>
        <item x="427"/>
        <item x="398"/>
        <item x="374"/>
        <item x="61"/>
        <item x="267"/>
        <item x="379"/>
        <item x="488"/>
        <item x="164"/>
        <item x="187"/>
        <item x="243"/>
        <item x="250"/>
        <item x="469"/>
        <item x="194"/>
        <item x="361"/>
        <item x="134"/>
        <item x="459"/>
        <item x="190"/>
        <item x="506"/>
        <item x="305"/>
        <item x="251"/>
        <item x="538"/>
        <item x="100"/>
        <item x="461"/>
        <item x="419"/>
        <item x="11"/>
        <item x="143"/>
        <item x="480"/>
        <item x="195"/>
        <item x="170"/>
        <item x="347"/>
        <item x="276"/>
        <item x="51"/>
        <item x="236"/>
        <item x="132"/>
        <item x="303"/>
        <item x="262"/>
        <item x="42"/>
        <item x="561"/>
        <item x="457"/>
        <item x="453"/>
        <item x="365"/>
        <item x="400"/>
        <item x="513"/>
        <item x="88"/>
        <item x="1"/>
        <item x="428"/>
        <item x="394"/>
        <item x="29"/>
        <item x="275"/>
        <item x="52"/>
        <item x="301"/>
        <item x="137"/>
        <item x="259"/>
        <item x="313"/>
        <item x="176"/>
        <item x="378"/>
        <item x="314"/>
        <item x="22"/>
        <item x="200"/>
        <item x="160"/>
        <item x="226"/>
        <item x="454"/>
        <item x="319"/>
        <item x="482"/>
        <item x="69"/>
        <item x="218"/>
        <item x="426"/>
        <item x="372"/>
        <item x="103"/>
        <item x="178"/>
        <item x="40"/>
        <item x="284"/>
        <item x="175"/>
        <item x="156"/>
        <item x="286"/>
        <item x="184"/>
        <item x="554"/>
        <item x="504"/>
        <item x="293"/>
        <item x="333"/>
        <item x="410"/>
        <item x="516"/>
        <item x="66"/>
        <item x="563"/>
        <item x="392"/>
        <item x="487"/>
        <item x="214"/>
        <item x="435"/>
        <item x="527"/>
        <item x="122"/>
        <item x="151"/>
        <item x="283"/>
        <item x="58"/>
        <item x="144"/>
        <item x="229"/>
        <item x="17"/>
        <item x="515"/>
        <item x="224"/>
        <item x="8"/>
        <item x="202"/>
        <item x="499"/>
        <item x="502"/>
        <item x="45"/>
        <item x="377"/>
        <item x="281"/>
        <item x="541"/>
        <item x="437"/>
        <item x="234"/>
        <item x="85"/>
        <item x="59"/>
        <item x="292"/>
        <item x="391"/>
        <item x="196"/>
        <item x="33"/>
        <item x="235"/>
        <item x="209"/>
        <item x="4"/>
        <item x="357"/>
        <item x="532"/>
        <item x="312"/>
        <item x="408"/>
        <item x="507"/>
        <item x="531"/>
        <item x="416"/>
        <item x="10"/>
        <item x="44"/>
        <item x="56"/>
        <item x="569"/>
        <item x="186"/>
        <item x="514"/>
        <item x="340"/>
        <item x="24"/>
        <item x="106"/>
        <item x="390"/>
        <item x="118"/>
        <item x="43"/>
        <item x="409"/>
        <item x="564"/>
        <item x="0"/>
        <item x="126"/>
        <item x="366"/>
        <item x="452"/>
        <item x="54"/>
        <item x="279"/>
        <item x="95"/>
        <item x="335"/>
        <item x="5"/>
        <item x="15"/>
        <item x="7"/>
        <item x="326"/>
        <item x="463"/>
        <item x="519"/>
        <item x="430"/>
        <item x="496"/>
        <item x="434"/>
        <item x="508"/>
        <item x="460"/>
        <item x="83"/>
        <item x="165"/>
        <item x="364"/>
        <item x="174"/>
        <item x="270"/>
        <item x="373"/>
        <item x="431"/>
        <item x="261"/>
        <item x="395"/>
        <item x="285"/>
        <item x="167"/>
        <item x="562"/>
        <item x="547"/>
        <item x="199"/>
        <item x="446"/>
        <item x="300"/>
        <item x="240"/>
        <item x="135"/>
        <item x="75"/>
        <item x="79"/>
        <item x="277"/>
        <item x="327"/>
        <item x="494"/>
        <item x="91"/>
        <item x="474"/>
        <item x="172"/>
        <item x="348"/>
        <item x="238"/>
        <item x="123"/>
        <item x="465"/>
        <item x="323"/>
        <item x="145"/>
        <item x="396"/>
        <item x="36"/>
        <item x="55"/>
        <item x="389"/>
        <item x="80"/>
        <item x="227"/>
        <item x="9"/>
        <item x="139"/>
        <item x="412"/>
        <item x="245"/>
        <item x="82"/>
        <item x="498"/>
        <item x="362"/>
        <item x="309"/>
        <item x="127"/>
        <item x="337"/>
        <item x="248"/>
        <item x="231"/>
        <item x="162"/>
        <item x="523"/>
        <item x="518"/>
        <item x="133"/>
        <item x="294"/>
        <item x="244"/>
        <item x="521"/>
        <item x="136"/>
        <item x="147"/>
        <item x="462"/>
        <item x="306"/>
        <item x="208"/>
        <item x="549"/>
        <item x="219"/>
        <item x="213"/>
        <item x="344"/>
        <item x="230"/>
        <item x="25"/>
        <item x="206"/>
        <item x="217"/>
        <item x="553"/>
        <item x="268"/>
        <item x="115"/>
        <item x="298"/>
        <item x="78"/>
        <item x="422"/>
        <item x="406"/>
        <item x="450"/>
        <item x="302"/>
        <item x="130"/>
        <item x="220"/>
        <item x="404"/>
        <item x="148"/>
        <item x="477"/>
        <item x="485"/>
        <item x="34"/>
        <item x="354"/>
        <item x="568"/>
        <item x="384"/>
        <item x="211"/>
        <item x="161"/>
        <item x="325"/>
        <item x="249"/>
        <item x="13"/>
        <item x="558"/>
        <item x="336"/>
        <item x="150"/>
        <item x="152"/>
        <item x="112"/>
        <item x="204"/>
        <item x="351"/>
        <item x="343"/>
        <item x="119"/>
        <item x="21"/>
        <item x="62"/>
        <item x="543"/>
        <item x="3"/>
        <item x="310"/>
        <item x="53"/>
        <item x="360"/>
        <item x="116"/>
        <item x="94"/>
        <item x="272"/>
        <item x="341"/>
        <item x="86"/>
        <item x="57"/>
        <item x="399"/>
        <item x="375"/>
        <item x="533"/>
        <item x="288"/>
        <item x="98"/>
        <item x="530"/>
        <item x="353"/>
        <item x="28"/>
        <item x="2"/>
        <item x="27"/>
        <item x="565"/>
        <item x="198"/>
        <item x="191"/>
        <item x="70"/>
        <item x="233"/>
        <item x="129"/>
        <item x="411"/>
        <item x="401"/>
        <item x="257"/>
        <item x="381"/>
        <item x="73"/>
        <item x="153"/>
        <item x="417"/>
        <item x="155"/>
        <item x="39"/>
        <item x="525"/>
        <item x="287"/>
        <item x="60"/>
        <item x="536"/>
        <item x="311"/>
        <item x="278"/>
        <item x="386"/>
        <item x="472"/>
        <item x="146"/>
        <item x="320"/>
        <item x="99"/>
        <item x="128"/>
        <item x="185"/>
        <item x="493"/>
        <item x="355"/>
        <item x="192"/>
        <item x="222"/>
        <item x="63"/>
        <item x="371"/>
        <item x="64"/>
        <item x="550"/>
        <item x="107"/>
        <item x="142"/>
        <item x="77"/>
        <item x="414"/>
        <item x="6"/>
        <item x="331"/>
        <item x="203"/>
        <item x="475"/>
        <item x="376"/>
        <item x="356"/>
        <item x="545"/>
        <item x="212"/>
        <item x="349"/>
        <item x="93"/>
        <item x="104"/>
        <item x="555"/>
        <item x="397"/>
        <item x="418"/>
        <item x="444"/>
        <item x="37"/>
        <item x="445"/>
        <item x="72"/>
        <item x="556"/>
        <item x="478"/>
        <item x="163"/>
        <item x="520"/>
        <item x="239"/>
        <item x="424"/>
        <item x="173"/>
        <item x="111"/>
        <item x="207"/>
        <item x="524"/>
        <item x="505"/>
        <item x="407"/>
        <item x="168"/>
        <item x="517"/>
        <item x="97"/>
        <item x="74"/>
        <item x="23"/>
        <item x="282"/>
        <item x="522"/>
        <item x="189"/>
        <item x="429"/>
        <item x="31"/>
        <item x="30"/>
        <item x="442"/>
        <item x="440"/>
        <item x="183"/>
        <item x="113"/>
        <item x="228"/>
        <item x="352"/>
        <item x="105"/>
        <item x="566"/>
        <item x="241"/>
        <item x="171"/>
        <item x="225"/>
        <item x="534"/>
        <item x="89"/>
        <item x="443"/>
        <item x="557"/>
        <item x="76"/>
        <item x="415"/>
        <item x="432"/>
        <item x="177"/>
        <item x="35"/>
        <item x="179"/>
        <item x="448"/>
        <item x="141"/>
        <item x="449"/>
        <item x="210"/>
        <item x="438"/>
        <item x="14"/>
        <item x="471"/>
        <item x="458"/>
        <item x="466"/>
        <item x="511"/>
        <item x="26"/>
        <item x="363"/>
        <item x="49"/>
        <item x="441"/>
        <item x="345"/>
        <item x="307"/>
        <item x="540"/>
        <item x="548"/>
        <item x="501"/>
        <item x="117"/>
        <item x="41"/>
        <item x="420"/>
        <item x="546"/>
        <item x="500"/>
        <item x="332"/>
        <item x="120"/>
        <item x="342"/>
        <item x="65"/>
        <item x="50"/>
        <item x="510"/>
        <item x="512"/>
        <item x="180"/>
        <item x="383"/>
        <item x="367"/>
        <item x="263"/>
        <item x="552"/>
        <item x="321"/>
        <item x="181"/>
        <item x="20"/>
        <item x="232"/>
        <item x="481"/>
        <item x="484"/>
        <item x="492"/>
        <item x="96"/>
        <item x="350"/>
        <item x="197"/>
        <item x="46"/>
        <item x="346"/>
        <item x="503"/>
        <item x="260"/>
        <item x="455"/>
        <item x="84"/>
        <item x="201"/>
        <item x="316"/>
        <item x="358"/>
        <item x="68"/>
        <item x="296"/>
        <item x="334"/>
        <item x="490"/>
        <item x="439"/>
        <item x="529"/>
        <item x="486"/>
        <item x="223"/>
        <item x="102"/>
        <item x="157"/>
        <item x="405"/>
        <item x="560"/>
        <item x="544"/>
        <item x="273"/>
        <item x="451"/>
        <item x="370"/>
        <item x="252"/>
        <item x="402"/>
        <item x="433"/>
        <item x="339"/>
        <item x="92"/>
        <item x="87"/>
        <item x="125"/>
        <item x="387"/>
        <item x="114"/>
        <item x="495"/>
        <item x="304"/>
        <item x="359"/>
        <item x="403"/>
        <item x="489"/>
        <item x="322"/>
        <item x="425"/>
        <item x="12"/>
        <item x="124"/>
        <item x="567"/>
        <item x="328"/>
        <item x="308"/>
        <item x="188"/>
        <item x="542"/>
        <item x="255"/>
        <item x="329"/>
        <item x="18"/>
        <item x="110"/>
        <item x="47"/>
        <item x="274"/>
        <item x="497"/>
        <item x="269"/>
        <item x="265"/>
        <item x="483"/>
        <item x="324"/>
        <item x="526"/>
        <item x="559"/>
        <item x="271"/>
        <item x="551"/>
        <item x="290"/>
        <item x="193"/>
        <item x="81"/>
        <item x="256"/>
        <item x="216"/>
        <item x="48"/>
        <item x="140"/>
        <item x="413"/>
        <item x="380"/>
        <item x="467"/>
        <item x="295"/>
        <item x="247"/>
        <item x="101"/>
        <item x="159"/>
        <item x="528"/>
        <item x="297"/>
        <item x="468"/>
        <item x="221"/>
        <item x="473"/>
        <item x="16"/>
        <item x="266"/>
        <item x="436"/>
        <item x="388"/>
        <item x="154"/>
        <item x="476"/>
        <item x="109"/>
        <item x="90"/>
        <item x="32"/>
        <item x="254"/>
        <item x="509"/>
        <item x="338"/>
        <item x="14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numFmtId="2" showAll="0"/>
    <pivotField numFmtId="2" showAll="0"/>
    <pivotField dataField="1"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Fields count="1">
    <field x="0"/>
  </rowFields>
  <rowItems count="11">
    <i>
      <x v="116"/>
    </i>
    <i>
      <x v="174"/>
    </i>
    <i>
      <x v="393"/>
    </i>
    <i>
      <x v="314"/>
    </i>
    <i>
      <x v="148"/>
    </i>
    <i>
      <x v="402"/>
    </i>
    <i>
      <x v="20"/>
    </i>
    <i>
      <x v="471"/>
    </i>
    <i>
      <x v="439"/>
    </i>
    <i>
      <x v="455"/>
    </i>
    <i t="grand">
      <x/>
    </i>
  </rowItems>
  <colItems count="1">
    <i/>
  </colItems>
  <dataFields count="1">
    <dataField name="Сума з Goals+Assists/90 Minutes" fld="31" baseField="0" baseItem="0" numFmtId="2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5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2F34C1-473F-4DC4-A103-E849E69F2D8E}" name="Зведена таблиця1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 chartFormat="5" rowHeaderCaption="Top scorers">
  <location ref="P1:Q7" firstHeaderRow="1" firstDataRow="1" firstDataCol="1"/>
  <pivotFields count="40">
    <pivotField axis="axisRow" showAll="0" measureFilter="1" sortType="descending">
      <items count="571">
        <item x="539"/>
        <item x="108"/>
        <item x="19"/>
        <item x="166"/>
        <item x="382"/>
        <item x="237"/>
        <item x="131"/>
        <item x="71"/>
        <item x="138"/>
        <item x="215"/>
        <item x="258"/>
        <item x="318"/>
        <item x="369"/>
        <item x="491"/>
        <item x="280"/>
        <item x="253"/>
        <item x="205"/>
        <item x="38"/>
        <item x="421"/>
        <item x="67"/>
        <item x="393"/>
        <item x="289"/>
        <item x="315"/>
        <item x="182"/>
        <item x="299"/>
        <item x="535"/>
        <item x="368"/>
        <item x="423"/>
        <item x="246"/>
        <item x="330"/>
        <item x="158"/>
        <item x="169"/>
        <item x="470"/>
        <item x="242"/>
        <item x="385"/>
        <item x="264"/>
        <item x="447"/>
        <item x="291"/>
        <item x="456"/>
        <item x="317"/>
        <item x="464"/>
        <item x="537"/>
        <item x="479"/>
        <item x="121"/>
        <item x="427"/>
        <item x="398"/>
        <item x="374"/>
        <item x="61"/>
        <item x="267"/>
        <item x="379"/>
        <item x="488"/>
        <item x="164"/>
        <item x="187"/>
        <item x="243"/>
        <item x="250"/>
        <item x="469"/>
        <item x="194"/>
        <item x="361"/>
        <item x="134"/>
        <item x="459"/>
        <item x="190"/>
        <item x="506"/>
        <item x="305"/>
        <item x="251"/>
        <item x="538"/>
        <item x="100"/>
        <item x="461"/>
        <item x="419"/>
        <item x="11"/>
        <item x="143"/>
        <item x="480"/>
        <item x="195"/>
        <item x="170"/>
        <item x="347"/>
        <item x="276"/>
        <item x="51"/>
        <item x="236"/>
        <item x="132"/>
        <item x="303"/>
        <item x="262"/>
        <item x="42"/>
        <item x="561"/>
        <item x="457"/>
        <item x="453"/>
        <item x="365"/>
        <item x="400"/>
        <item x="513"/>
        <item x="88"/>
        <item x="1"/>
        <item x="428"/>
        <item x="394"/>
        <item x="29"/>
        <item x="275"/>
        <item x="52"/>
        <item x="301"/>
        <item x="137"/>
        <item x="259"/>
        <item x="313"/>
        <item x="176"/>
        <item x="378"/>
        <item x="314"/>
        <item x="22"/>
        <item x="200"/>
        <item x="160"/>
        <item x="226"/>
        <item x="454"/>
        <item x="319"/>
        <item x="482"/>
        <item x="69"/>
        <item x="218"/>
        <item x="426"/>
        <item x="372"/>
        <item x="103"/>
        <item x="178"/>
        <item x="40"/>
        <item x="284"/>
        <item x="175"/>
        <item x="156"/>
        <item x="286"/>
        <item x="184"/>
        <item x="554"/>
        <item x="504"/>
        <item x="293"/>
        <item x="333"/>
        <item x="410"/>
        <item x="516"/>
        <item x="66"/>
        <item x="563"/>
        <item x="392"/>
        <item x="487"/>
        <item x="214"/>
        <item x="435"/>
        <item x="527"/>
        <item x="122"/>
        <item x="151"/>
        <item x="283"/>
        <item x="58"/>
        <item x="144"/>
        <item x="229"/>
        <item x="17"/>
        <item x="515"/>
        <item x="224"/>
        <item x="8"/>
        <item x="202"/>
        <item x="499"/>
        <item x="502"/>
        <item x="45"/>
        <item x="377"/>
        <item x="281"/>
        <item x="541"/>
        <item x="437"/>
        <item x="234"/>
        <item x="85"/>
        <item x="59"/>
        <item x="292"/>
        <item x="391"/>
        <item x="196"/>
        <item x="33"/>
        <item x="235"/>
        <item x="209"/>
        <item x="4"/>
        <item x="357"/>
        <item x="532"/>
        <item x="312"/>
        <item x="408"/>
        <item x="507"/>
        <item x="531"/>
        <item x="416"/>
        <item x="10"/>
        <item x="44"/>
        <item x="56"/>
        <item x="569"/>
        <item x="186"/>
        <item x="514"/>
        <item x="340"/>
        <item x="24"/>
        <item x="106"/>
        <item x="390"/>
        <item x="118"/>
        <item x="43"/>
        <item x="409"/>
        <item x="564"/>
        <item x="0"/>
        <item x="126"/>
        <item x="366"/>
        <item x="452"/>
        <item x="54"/>
        <item x="279"/>
        <item x="95"/>
        <item x="335"/>
        <item x="5"/>
        <item x="15"/>
        <item x="7"/>
        <item x="326"/>
        <item x="463"/>
        <item x="519"/>
        <item x="430"/>
        <item x="496"/>
        <item x="434"/>
        <item x="508"/>
        <item x="460"/>
        <item x="83"/>
        <item x="165"/>
        <item x="364"/>
        <item x="174"/>
        <item x="270"/>
        <item x="373"/>
        <item x="431"/>
        <item x="261"/>
        <item x="395"/>
        <item x="285"/>
        <item x="167"/>
        <item x="562"/>
        <item x="547"/>
        <item x="199"/>
        <item x="446"/>
        <item x="300"/>
        <item x="240"/>
        <item x="135"/>
        <item x="75"/>
        <item x="79"/>
        <item x="277"/>
        <item x="327"/>
        <item x="494"/>
        <item x="91"/>
        <item x="474"/>
        <item x="172"/>
        <item x="348"/>
        <item x="238"/>
        <item x="123"/>
        <item x="465"/>
        <item x="323"/>
        <item x="145"/>
        <item x="396"/>
        <item x="36"/>
        <item x="55"/>
        <item x="389"/>
        <item x="80"/>
        <item x="227"/>
        <item x="9"/>
        <item x="139"/>
        <item x="412"/>
        <item x="245"/>
        <item x="82"/>
        <item x="498"/>
        <item x="362"/>
        <item x="309"/>
        <item x="127"/>
        <item x="337"/>
        <item x="248"/>
        <item x="231"/>
        <item x="162"/>
        <item x="523"/>
        <item x="518"/>
        <item x="133"/>
        <item x="294"/>
        <item x="244"/>
        <item x="521"/>
        <item x="136"/>
        <item x="147"/>
        <item x="462"/>
        <item x="306"/>
        <item x="208"/>
        <item x="549"/>
        <item x="219"/>
        <item x="213"/>
        <item x="344"/>
        <item x="230"/>
        <item x="25"/>
        <item x="206"/>
        <item x="217"/>
        <item x="553"/>
        <item x="268"/>
        <item x="115"/>
        <item x="298"/>
        <item x="78"/>
        <item x="422"/>
        <item x="406"/>
        <item x="450"/>
        <item x="302"/>
        <item x="130"/>
        <item x="220"/>
        <item x="404"/>
        <item x="148"/>
        <item x="477"/>
        <item x="485"/>
        <item x="34"/>
        <item x="354"/>
        <item x="568"/>
        <item x="384"/>
        <item x="211"/>
        <item x="161"/>
        <item x="325"/>
        <item x="249"/>
        <item x="13"/>
        <item x="558"/>
        <item x="336"/>
        <item x="150"/>
        <item x="152"/>
        <item x="112"/>
        <item x="204"/>
        <item x="351"/>
        <item x="343"/>
        <item x="119"/>
        <item x="21"/>
        <item x="62"/>
        <item x="543"/>
        <item x="3"/>
        <item x="310"/>
        <item x="53"/>
        <item x="360"/>
        <item x="116"/>
        <item x="94"/>
        <item x="272"/>
        <item x="341"/>
        <item x="86"/>
        <item x="57"/>
        <item x="399"/>
        <item x="375"/>
        <item x="533"/>
        <item x="288"/>
        <item x="98"/>
        <item x="530"/>
        <item x="353"/>
        <item x="28"/>
        <item x="2"/>
        <item x="27"/>
        <item x="565"/>
        <item x="198"/>
        <item x="191"/>
        <item x="70"/>
        <item x="233"/>
        <item x="129"/>
        <item x="411"/>
        <item x="401"/>
        <item x="257"/>
        <item x="381"/>
        <item x="73"/>
        <item x="153"/>
        <item x="417"/>
        <item x="155"/>
        <item x="39"/>
        <item x="525"/>
        <item x="287"/>
        <item x="60"/>
        <item x="536"/>
        <item x="311"/>
        <item x="278"/>
        <item x="386"/>
        <item x="472"/>
        <item x="146"/>
        <item x="320"/>
        <item x="99"/>
        <item x="128"/>
        <item x="185"/>
        <item x="493"/>
        <item x="355"/>
        <item x="192"/>
        <item x="222"/>
        <item x="63"/>
        <item x="371"/>
        <item x="64"/>
        <item x="550"/>
        <item x="107"/>
        <item x="142"/>
        <item x="77"/>
        <item x="414"/>
        <item x="6"/>
        <item x="331"/>
        <item x="203"/>
        <item x="475"/>
        <item x="376"/>
        <item x="356"/>
        <item x="545"/>
        <item x="212"/>
        <item x="349"/>
        <item x="93"/>
        <item x="104"/>
        <item x="555"/>
        <item x="397"/>
        <item x="418"/>
        <item x="444"/>
        <item x="37"/>
        <item x="445"/>
        <item x="72"/>
        <item x="556"/>
        <item x="478"/>
        <item x="163"/>
        <item x="520"/>
        <item x="239"/>
        <item x="424"/>
        <item x="173"/>
        <item x="111"/>
        <item x="207"/>
        <item x="524"/>
        <item x="505"/>
        <item x="407"/>
        <item x="168"/>
        <item x="517"/>
        <item x="97"/>
        <item x="74"/>
        <item x="23"/>
        <item x="282"/>
        <item x="522"/>
        <item x="189"/>
        <item x="429"/>
        <item x="31"/>
        <item x="30"/>
        <item x="442"/>
        <item x="440"/>
        <item x="183"/>
        <item x="113"/>
        <item x="228"/>
        <item x="352"/>
        <item x="105"/>
        <item x="566"/>
        <item x="241"/>
        <item x="171"/>
        <item x="225"/>
        <item x="534"/>
        <item x="89"/>
        <item x="443"/>
        <item x="557"/>
        <item x="76"/>
        <item x="415"/>
        <item x="432"/>
        <item x="177"/>
        <item x="35"/>
        <item x="179"/>
        <item x="448"/>
        <item x="141"/>
        <item x="449"/>
        <item x="210"/>
        <item x="438"/>
        <item x="14"/>
        <item x="471"/>
        <item x="458"/>
        <item x="466"/>
        <item x="511"/>
        <item x="26"/>
        <item x="363"/>
        <item x="49"/>
        <item x="441"/>
        <item x="345"/>
        <item x="307"/>
        <item x="540"/>
        <item x="548"/>
        <item x="501"/>
        <item x="117"/>
        <item x="41"/>
        <item x="420"/>
        <item x="546"/>
        <item x="500"/>
        <item x="332"/>
        <item x="120"/>
        <item x="342"/>
        <item x="65"/>
        <item x="50"/>
        <item x="510"/>
        <item x="512"/>
        <item x="180"/>
        <item x="383"/>
        <item x="367"/>
        <item x="263"/>
        <item x="552"/>
        <item x="321"/>
        <item x="181"/>
        <item x="20"/>
        <item x="232"/>
        <item x="481"/>
        <item x="484"/>
        <item x="492"/>
        <item x="96"/>
        <item x="350"/>
        <item x="197"/>
        <item x="46"/>
        <item x="346"/>
        <item x="503"/>
        <item x="260"/>
        <item x="455"/>
        <item x="84"/>
        <item x="201"/>
        <item x="316"/>
        <item x="358"/>
        <item x="68"/>
        <item x="296"/>
        <item x="334"/>
        <item x="490"/>
        <item x="439"/>
        <item x="529"/>
        <item x="486"/>
        <item x="223"/>
        <item x="102"/>
        <item x="157"/>
        <item x="405"/>
        <item x="560"/>
        <item x="544"/>
        <item x="273"/>
        <item x="451"/>
        <item x="370"/>
        <item x="252"/>
        <item x="402"/>
        <item x="433"/>
        <item x="339"/>
        <item x="92"/>
        <item x="87"/>
        <item x="125"/>
        <item x="387"/>
        <item x="114"/>
        <item x="495"/>
        <item x="304"/>
        <item x="359"/>
        <item x="403"/>
        <item x="489"/>
        <item x="322"/>
        <item x="425"/>
        <item x="12"/>
        <item x="124"/>
        <item x="567"/>
        <item x="328"/>
        <item x="308"/>
        <item x="188"/>
        <item x="542"/>
        <item x="255"/>
        <item x="329"/>
        <item x="18"/>
        <item x="110"/>
        <item x="47"/>
        <item x="274"/>
        <item x="497"/>
        <item x="269"/>
        <item x="265"/>
        <item x="483"/>
        <item x="324"/>
        <item x="526"/>
        <item x="559"/>
        <item x="271"/>
        <item x="551"/>
        <item x="290"/>
        <item x="193"/>
        <item x="81"/>
        <item x="256"/>
        <item x="216"/>
        <item x="48"/>
        <item x="140"/>
        <item x="413"/>
        <item x="380"/>
        <item x="467"/>
        <item x="295"/>
        <item x="247"/>
        <item x="101"/>
        <item x="159"/>
        <item x="528"/>
        <item x="297"/>
        <item x="468"/>
        <item x="221"/>
        <item x="473"/>
        <item x="16"/>
        <item x="266"/>
        <item x="436"/>
        <item x="388"/>
        <item x="154"/>
        <item x="476"/>
        <item x="109"/>
        <item x="90"/>
        <item x="32"/>
        <item x="254"/>
        <item x="509"/>
        <item x="338"/>
        <item x="14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numFmtId="164" showAll="0"/>
    <pivotField numFmtId="164" showAll="0"/>
    <pivotField dataField="1"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Fields count="1">
    <field x="0"/>
  </rowFields>
  <rowItems count="6">
    <i>
      <x v="455"/>
    </i>
    <i>
      <x v="89"/>
    </i>
    <i>
      <x v="262"/>
    </i>
    <i>
      <x v="509"/>
    </i>
    <i>
      <x v="148"/>
    </i>
    <i t="grand">
      <x/>
    </i>
  </rowItems>
  <colItems count="1">
    <i/>
  </colItems>
  <dataFields count="1">
    <dataField name="Сума з Overperformers" fld="22" baseField="0" baseItem="0" numFmtId="164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4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C3B97E-8939-4AF5-B741-5D801B5F3AFA}" name="Top scorers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 chartFormat="19" rowHeaderCaption="Top scorers">
  <location ref="A1:C13" firstHeaderRow="0" firstDataRow="1" firstDataCol="1"/>
  <pivotFields count="40">
    <pivotField axis="axisRow" showAll="0" measureFilter="1" sortType="descending">
      <items count="571">
        <item x="539"/>
        <item x="108"/>
        <item x="19"/>
        <item x="166"/>
        <item x="382"/>
        <item x="237"/>
        <item x="131"/>
        <item x="71"/>
        <item x="138"/>
        <item x="215"/>
        <item x="258"/>
        <item x="318"/>
        <item x="369"/>
        <item x="491"/>
        <item x="280"/>
        <item x="253"/>
        <item x="205"/>
        <item x="38"/>
        <item x="421"/>
        <item x="67"/>
        <item x="393"/>
        <item x="289"/>
        <item x="315"/>
        <item x="182"/>
        <item x="299"/>
        <item x="535"/>
        <item x="368"/>
        <item x="423"/>
        <item x="246"/>
        <item x="330"/>
        <item x="158"/>
        <item x="169"/>
        <item x="470"/>
        <item x="242"/>
        <item x="385"/>
        <item x="264"/>
        <item x="447"/>
        <item x="291"/>
        <item x="456"/>
        <item x="317"/>
        <item x="464"/>
        <item x="537"/>
        <item x="479"/>
        <item x="121"/>
        <item x="427"/>
        <item x="398"/>
        <item x="374"/>
        <item x="61"/>
        <item x="267"/>
        <item x="379"/>
        <item x="488"/>
        <item x="164"/>
        <item x="187"/>
        <item x="243"/>
        <item x="250"/>
        <item x="469"/>
        <item x="194"/>
        <item x="361"/>
        <item x="134"/>
        <item x="459"/>
        <item x="190"/>
        <item x="506"/>
        <item x="305"/>
        <item x="251"/>
        <item x="538"/>
        <item x="100"/>
        <item x="461"/>
        <item x="419"/>
        <item x="11"/>
        <item x="143"/>
        <item x="480"/>
        <item x="195"/>
        <item x="170"/>
        <item x="347"/>
        <item x="276"/>
        <item x="51"/>
        <item x="236"/>
        <item x="132"/>
        <item x="303"/>
        <item x="262"/>
        <item x="42"/>
        <item x="561"/>
        <item x="457"/>
        <item x="453"/>
        <item x="365"/>
        <item x="400"/>
        <item x="513"/>
        <item x="88"/>
        <item x="1"/>
        <item x="428"/>
        <item x="394"/>
        <item x="29"/>
        <item x="275"/>
        <item x="52"/>
        <item x="301"/>
        <item x="137"/>
        <item x="259"/>
        <item x="313"/>
        <item x="176"/>
        <item x="378"/>
        <item x="314"/>
        <item x="22"/>
        <item x="200"/>
        <item x="160"/>
        <item x="226"/>
        <item x="454"/>
        <item x="319"/>
        <item x="482"/>
        <item x="69"/>
        <item x="218"/>
        <item x="426"/>
        <item x="372"/>
        <item x="103"/>
        <item x="178"/>
        <item x="40"/>
        <item x="284"/>
        <item x="175"/>
        <item x="156"/>
        <item x="286"/>
        <item x="184"/>
        <item x="554"/>
        <item x="504"/>
        <item x="293"/>
        <item x="333"/>
        <item x="410"/>
        <item x="516"/>
        <item x="66"/>
        <item x="563"/>
        <item x="392"/>
        <item x="487"/>
        <item x="214"/>
        <item x="435"/>
        <item x="527"/>
        <item x="122"/>
        <item x="151"/>
        <item x="283"/>
        <item x="58"/>
        <item x="144"/>
        <item x="229"/>
        <item x="17"/>
        <item x="515"/>
        <item x="224"/>
        <item x="8"/>
        <item x="202"/>
        <item x="499"/>
        <item x="502"/>
        <item x="45"/>
        <item x="377"/>
        <item x="281"/>
        <item x="541"/>
        <item x="437"/>
        <item x="234"/>
        <item x="85"/>
        <item x="59"/>
        <item x="292"/>
        <item x="391"/>
        <item x="196"/>
        <item x="33"/>
        <item x="235"/>
        <item x="209"/>
        <item x="4"/>
        <item x="357"/>
        <item x="532"/>
        <item x="312"/>
        <item x="408"/>
        <item x="507"/>
        <item x="531"/>
        <item x="416"/>
        <item x="10"/>
        <item x="44"/>
        <item x="56"/>
        <item x="569"/>
        <item x="186"/>
        <item x="514"/>
        <item x="340"/>
        <item x="24"/>
        <item x="106"/>
        <item x="390"/>
        <item x="118"/>
        <item x="43"/>
        <item x="409"/>
        <item x="564"/>
        <item x="0"/>
        <item x="126"/>
        <item x="366"/>
        <item x="452"/>
        <item x="54"/>
        <item x="279"/>
        <item x="95"/>
        <item x="335"/>
        <item x="5"/>
        <item x="15"/>
        <item x="7"/>
        <item x="326"/>
        <item x="463"/>
        <item x="519"/>
        <item x="430"/>
        <item x="496"/>
        <item x="434"/>
        <item x="508"/>
        <item x="460"/>
        <item x="83"/>
        <item x="165"/>
        <item x="364"/>
        <item x="174"/>
        <item x="270"/>
        <item x="373"/>
        <item x="431"/>
        <item x="261"/>
        <item x="395"/>
        <item x="285"/>
        <item x="167"/>
        <item x="562"/>
        <item x="547"/>
        <item x="199"/>
        <item x="446"/>
        <item x="300"/>
        <item x="240"/>
        <item x="135"/>
        <item x="75"/>
        <item x="79"/>
        <item x="277"/>
        <item x="327"/>
        <item x="494"/>
        <item x="91"/>
        <item x="474"/>
        <item x="172"/>
        <item x="348"/>
        <item x="238"/>
        <item x="123"/>
        <item x="465"/>
        <item x="323"/>
        <item x="145"/>
        <item x="396"/>
        <item x="36"/>
        <item x="55"/>
        <item x="389"/>
        <item x="80"/>
        <item x="227"/>
        <item x="9"/>
        <item x="139"/>
        <item x="412"/>
        <item x="245"/>
        <item x="82"/>
        <item x="498"/>
        <item x="362"/>
        <item x="309"/>
        <item x="127"/>
        <item x="337"/>
        <item x="248"/>
        <item x="231"/>
        <item x="162"/>
        <item x="523"/>
        <item x="518"/>
        <item x="133"/>
        <item x="294"/>
        <item x="244"/>
        <item x="521"/>
        <item x="136"/>
        <item x="147"/>
        <item x="462"/>
        <item x="306"/>
        <item x="208"/>
        <item x="549"/>
        <item x="219"/>
        <item x="213"/>
        <item x="344"/>
        <item x="230"/>
        <item x="25"/>
        <item x="206"/>
        <item x="217"/>
        <item x="553"/>
        <item x="268"/>
        <item x="115"/>
        <item x="298"/>
        <item x="78"/>
        <item x="422"/>
        <item x="406"/>
        <item x="450"/>
        <item x="302"/>
        <item x="130"/>
        <item x="220"/>
        <item x="404"/>
        <item x="148"/>
        <item x="477"/>
        <item x="485"/>
        <item x="34"/>
        <item x="354"/>
        <item x="568"/>
        <item x="384"/>
        <item x="211"/>
        <item x="161"/>
        <item x="325"/>
        <item x="249"/>
        <item x="13"/>
        <item x="558"/>
        <item x="336"/>
        <item x="150"/>
        <item x="152"/>
        <item x="112"/>
        <item x="204"/>
        <item x="351"/>
        <item x="343"/>
        <item x="119"/>
        <item x="21"/>
        <item x="62"/>
        <item x="543"/>
        <item x="3"/>
        <item x="310"/>
        <item x="53"/>
        <item x="360"/>
        <item x="116"/>
        <item x="94"/>
        <item x="272"/>
        <item x="341"/>
        <item x="86"/>
        <item x="57"/>
        <item x="399"/>
        <item x="375"/>
        <item x="533"/>
        <item x="288"/>
        <item x="98"/>
        <item x="530"/>
        <item x="353"/>
        <item x="28"/>
        <item x="2"/>
        <item x="27"/>
        <item x="565"/>
        <item x="198"/>
        <item x="191"/>
        <item x="70"/>
        <item x="233"/>
        <item x="129"/>
        <item x="411"/>
        <item x="401"/>
        <item x="257"/>
        <item x="381"/>
        <item x="73"/>
        <item x="153"/>
        <item x="417"/>
        <item x="155"/>
        <item x="39"/>
        <item x="525"/>
        <item x="287"/>
        <item x="60"/>
        <item x="536"/>
        <item x="311"/>
        <item x="278"/>
        <item x="386"/>
        <item x="472"/>
        <item x="146"/>
        <item x="320"/>
        <item x="99"/>
        <item x="128"/>
        <item x="185"/>
        <item x="493"/>
        <item x="355"/>
        <item x="192"/>
        <item x="222"/>
        <item x="63"/>
        <item x="371"/>
        <item x="64"/>
        <item x="550"/>
        <item x="107"/>
        <item x="142"/>
        <item x="77"/>
        <item x="414"/>
        <item x="6"/>
        <item x="331"/>
        <item x="203"/>
        <item x="475"/>
        <item x="376"/>
        <item x="356"/>
        <item x="545"/>
        <item x="212"/>
        <item x="349"/>
        <item x="93"/>
        <item x="104"/>
        <item x="555"/>
        <item x="397"/>
        <item x="418"/>
        <item x="444"/>
        <item x="37"/>
        <item x="445"/>
        <item x="72"/>
        <item x="556"/>
        <item x="478"/>
        <item x="163"/>
        <item x="520"/>
        <item x="239"/>
        <item x="424"/>
        <item x="173"/>
        <item x="111"/>
        <item x="207"/>
        <item x="524"/>
        <item x="505"/>
        <item x="407"/>
        <item x="168"/>
        <item x="517"/>
        <item x="97"/>
        <item x="74"/>
        <item x="23"/>
        <item x="282"/>
        <item x="522"/>
        <item x="189"/>
        <item x="429"/>
        <item x="31"/>
        <item x="30"/>
        <item x="442"/>
        <item x="440"/>
        <item x="183"/>
        <item x="113"/>
        <item x="228"/>
        <item x="352"/>
        <item x="105"/>
        <item x="566"/>
        <item x="241"/>
        <item x="171"/>
        <item x="225"/>
        <item x="534"/>
        <item x="89"/>
        <item x="443"/>
        <item x="557"/>
        <item x="76"/>
        <item x="415"/>
        <item x="432"/>
        <item x="177"/>
        <item x="35"/>
        <item x="179"/>
        <item x="448"/>
        <item x="141"/>
        <item x="449"/>
        <item x="210"/>
        <item x="438"/>
        <item x="14"/>
        <item x="471"/>
        <item x="458"/>
        <item x="466"/>
        <item x="511"/>
        <item x="26"/>
        <item x="363"/>
        <item x="49"/>
        <item x="441"/>
        <item x="345"/>
        <item x="307"/>
        <item x="540"/>
        <item x="548"/>
        <item x="501"/>
        <item x="117"/>
        <item x="41"/>
        <item x="420"/>
        <item x="546"/>
        <item x="500"/>
        <item x="332"/>
        <item x="120"/>
        <item x="342"/>
        <item x="65"/>
        <item x="50"/>
        <item x="510"/>
        <item x="512"/>
        <item x="180"/>
        <item x="383"/>
        <item x="367"/>
        <item x="263"/>
        <item x="552"/>
        <item x="321"/>
        <item x="181"/>
        <item x="20"/>
        <item x="232"/>
        <item x="481"/>
        <item x="484"/>
        <item x="492"/>
        <item x="96"/>
        <item x="350"/>
        <item x="197"/>
        <item x="46"/>
        <item x="346"/>
        <item x="503"/>
        <item x="260"/>
        <item x="455"/>
        <item x="84"/>
        <item x="201"/>
        <item x="316"/>
        <item x="358"/>
        <item x="68"/>
        <item x="296"/>
        <item x="334"/>
        <item x="490"/>
        <item x="439"/>
        <item x="529"/>
        <item x="486"/>
        <item x="223"/>
        <item x="102"/>
        <item x="157"/>
        <item x="405"/>
        <item x="560"/>
        <item x="544"/>
        <item x="273"/>
        <item x="451"/>
        <item x="370"/>
        <item x="252"/>
        <item x="402"/>
        <item x="433"/>
        <item x="339"/>
        <item x="92"/>
        <item x="87"/>
        <item x="125"/>
        <item x="387"/>
        <item x="114"/>
        <item x="495"/>
        <item x="304"/>
        <item x="359"/>
        <item x="403"/>
        <item x="489"/>
        <item x="322"/>
        <item x="425"/>
        <item x="12"/>
        <item x="124"/>
        <item x="567"/>
        <item x="328"/>
        <item x="308"/>
        <item x="188"/>
        <item x="542"/>
        <item x="255"/>
        <item x="329"/>
        <item x="18"/>
        <item x="110"/>
        <item x="47"/>
        <item x="274"/>
        <item x="497"/>
        <item x="269"/>
        <item x="265"/>
        <item x="483"/>
        <item x="324"/>
        <item x="526"/>
        <item x="559"/>
        <item x="271"/>
        <item x="551"/>
        <item x="290"/>
        <item x="193"/>
        <item x="81"/>
        <item x="256"/>
        <item x="216"/>
        <item x="48"/>
        <item x="140"/>
        <item x="413"/>
        <item x="380"/>
        <item x="467"/>
        <item x="295"/>
        <item x="247"/>
        <item x="101"/>
        <item x="159"/>
        <item x="528"/>
        <item x="297"/>
        <item x="468"/>
        <item x="221"/>
        <item x="473"/>
        <item x="16"/>
        <item x="266"/>
        <item x="436"/>
        <item x="388"/>
        <item x="154"/>
        <item x="476"/>
        <item x="109"/>
        <item x="90"/>
        <item x="32"/>
        <item x="254"/>
        <item x="509"/>
        <item x="338"/>
        <item x="14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numFmtId="164"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Fields count="1">
    <field x="0"/>
  </rowFields>
  <rowItems count="12">
    <i>
      <x v="174"/>
    </i>
    <i>
      <x v="116"/>
    </i>
    <i>
      <x v="20"/>
    </i>
    <i>
      <x v="439"/>
    </i>
    <i>
      <x v="153"/>
    </i>
    <i>
      <x v="455"/>
    </i>
    <i>
      <x v="402"/>
    </i>
    <i>
      <x v="509"/>
    </i>
    <i>
      <x v="88"/>
    </i>
    <i>
      <x v="262"/>
    </i>
    <i>
      <x v="257"/>
    </i>
    <i t="grand">
      <x/>
    </i>
  </rowItems>
  <colFields count="1">
    <field x="-2"/>
  </colFields>
  <colItems count="2">
    <i>
      <x/>
    </i>
    <i i="1">
      <x v="1"/>
    </i>
  </colItems>
  <dataFields count="2">
    <dataField name="Goals Scored" fld="13" baseField="0" baseItem="0" numFmtId="1"/>
    <dataField name="Expected Goals Scored" fld="21" baseField="0" baseItem="0" numFmtId="164"/>
  </dataFields>
  <chartFormats count="13">
    <chartFormat chart="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26"/>
          </reference>
        </references>
      </pivotArea>
    </chartFormat>
    <chartFormat chart="9" format="13">
      <pivotArea type="data" outline="0" fieldPosition="0">
        <references count="2">
          <reference field="4294967294" count="1" selected="0">
            <x v="1"/>
          </reference>
          <reference field="0" count="1" selected="0">
            <x v="88"/>
          </reference>
        </references>
      </pivotArea>
    </chartFormat>
    <chartFormat chart="9" format="14">
      <pivotArea type="data" outline="0" fieldPosition="0">
        <references count="2">
          <reference field="4294967294" count="1" selected="0">
            <x v="1"/>
          </reference>
          <reference field="0" count="1" selected="0">
            <x v="307"/>
          </reference>
        </references>
      </pivotArea>
    </chartFormat>
    <chartFormat chart="9" format="15">
      <pivotArea type="data" outline="0" fieldPosition="0">
        <references count="2">
          <reference field="4294967294" count="1" selected="0">
            <x v="1"/>
          </reference>
          <reference field="0" count="1" selected="0">
            <x v="325"/>
          </reference>
        </references>
      </pivotArea>
    </chartFormat>
    <chartFormat chart="9" format="16">
      <pivotArea type="data" outline="0" fieldPosition="0">
        <references count="2">
          <reference field="4294967294" count="1" selected="0">
            <x v="1"/>
          </reference>
          <reference field="0" count="1" selected="0">
            <x v="367"/>
          </reference>
        </references>
      </pivotArea>
    </chartFormat>
    <chartFormat chart="9" format="17">
      <pivotArea type="data" outline="0" fieldPosition="0">
        <references count="2">
          <reference field="4294967294" count="1" selected="0">
            <x v="1"/>
          </reference>
          <reference field="0" count="1" selected="0">
            <x v="142"/>
          </reference>
        </references>
      </pivotArea>
    </chartFormat>
    <chartFormat chart="9" format="18">
      <pivotArea type="data" outline="0" fieldPosition="0">
        <references count="2">
          <reference field="4294967294" count="1" selected="0">
            <x v="1"/>
          </reference>
          <reference field="0" count="1" selected="0">
            <x v="192"/>
          </reference>
        </references>
      </pivotArea>
    </chartFormat>
    <chartFormat chart="9" format="19">
      <pivotArea type="data" outline="0" fieldPosition="0">
        <references count="2">
          <reference field="4294967294" count="1" selected="0">
            <x v="1"/>
          </reference>
          <reference field="0" count="1" selected="0">
            <x v="160"/>
          </reference>
        </references>
      </pivotArea>
    </chartFormat>
    <chartFormat chart="9" format="20">
      <pivotArea type="data" outline="0" fieldPosition="0">
        <references count="2">
          <reference field="4294967294" count="1" selected="0">
            <x v="1"/>
          </reference>
          <reference field="0" count="1" selected="0">
            <x v="191"/>
          </reference>
        </references>
      </pivotArea>
    </chartFormat>
    <chartFormat chart="9" format="21">
      <pivotArea type="data" outline="0" fieldPosition="0">
        <references count="2">
          <reference field="4294967294" count="1" selected="0">
            <x v="1"/>
          </reference>
          <reference field="0" count="1" selected="0">
            <x v="68"/>
          </reference>
        </references>
      </pivotArea>
    </chartFormat>
    <chartFormat chart="9" format="22">
      <pivotArea type="data" outline="0" fieldPosition="0">
        <references count="2">
          <reference field="4294967294" count="1" selected="0">
            <x v="1"/>
          </reference>
          <reference field="0" count="1" selected="0">
            <x v="19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4FFDC0-2231-4F21-BE8F-4F455E09B312}" name="Зведена таблиця12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 rowHeaderCaption="Top scorers">
  <location ref="M1:N13" firstHeaderRow="1" firstDataRow="1" firstDataCol="1"/>
  <pivotFields count="40">
    <pivotField axis="axisRow" showAll="0" measureFilter="1" sortType="descending">
      <items count="571">
        <item x="539"/>
        <item x="108"/>
        <item x="19"/>
        <item x="166"/>
        <item x="382"/>
        <item x="237"/>
        <item x="131"/>
        <item x="71"/>
        <item x="138"/>
        <item x="215"/>
        <item x="258"/>
        <item x="318"/>
        <item x="369"/>
        <item x="491"/>
        <item x="280"/>
        <item x="253"/>
        <item x="205"/>
        <item x="38"/>
        <item x="421"/>
        <item x="67"/>
        <item x="393"/>
        <item x="289"/>
        <item x="315"/>
        <item x="182"/>
        <item x="299"/>
        <item x="535"/>
        <item x="368"/>
        <item x="423"/>
        <item x="246"/>
        <item x="330"/>
        <item x="158"/>
        <item x="169"/>
        <item x="470"/>
        <item x="242"/>
        <item x="385"/>
        <item x="264"/>
        <item x="447"/>
        <item x="291"/>
        <item x="456"/>
        <item x="317"/>
        <item x="464"/>
        <item x="537"/>
        <item x="479"/>
        <item x="121"/>
        <item x="427"/>
        <item x="398"/>
        <item x="374"/>
        <item x="61"/>
        <item x="267"/>
        <item x="379"/>
        <item x="488"/>
        <item x="164"/>
        <item x="187"/>
        <item x="243"/>
        <item x="250"/>
        <item x="469"/>
        <item x="194"/>
        <item x="361"/>
        <item x="134"/>
        <item x="459"/>
        <item x="190"/>
        <item x="506"/>
        <item x="305"/>
        <item x="251"/>
        <item x="538"/>
        <item x="100"/>
        <item x="461"/>
        <item x="419"/>
        <item x="11"/>
        <item x="143"/>
        <item x="480"/>
        <item x="195"/>
        <item x="170"/>
        <item x="347"/>
        <item x="276"/>
        <item x="51"/>
        <item x="236"/>
        <item x="132"/>
        <item x="303"/>
        <item x="262"/>
        <item x="42"/>
        <item x="561"/>
        <item x="457"/>
        <item x="453"/>
        <item x="365"/>
        <item x="400"/>
        <item x="513"/>
        <item x="88"/>
        <item x="1"/>
        <item x="428"/>
        <item x="394"/>
        <item x="29"/>
        <item x="275"/>
        <item x="52"/>
        <item x="301"/>
        <item x="137"/>
        <item x="259"/>
        <item x="313"/>
        <item x="176"/>
        <item x="378"/>
        <item x="314"/>
        <item x="22"/>
        <item x="200"/>
        <item x="160"/>
        <item x="226"/>
        <item x="454"/>
        <item x="319"/>
        <item x="482"/>
        <item x="69"/>
        <item x="218"/>
        <item x="426"/>
        <item x="372"/>
        <item x="103"/>
        <item x="178"/>
        <item x="40"/>
        <item x="284"/>
        <item x="175"/>
        <item x="156"/>
        <item x="286"/>
        <item x="184"/>
        <item x="554"/>
        <item x="504"/>
        <item x="293"/>
        <item x="333"/>
        <item x="410"/>
        <item x="516"/>
        <item x="66"/>
        <item x="563"/>
        <item x="392"/>
        <item x="487"/>
        <item x="214"/>
        <item x="435"/>
        <item x="527"/>
        <item x="122"/>
        <item x="151"/>
        <item x="283"/>
        <item x="58"/>
        <item x="144"/>
        <item x="229"/>
        <item x="17"/>
        <item x="515"/>
        <item x="224"/>
        <item x="8"/>
        <item x="202"/>
        <item x="499"/>
        <item x="502"/>
        <item x="45"/>
        <item x="377"/>
        <item x="281"/>
        <item x="541"/>
        <item x="437"/>
        <item x="234"/>
        <item x="85"/>
        <item x="59"/>
        <item x="292"/>
        <item x="391"/>
        <item x="196"/>
        <item x="33"/>
        <item x="235"/>
        <item x="209"/>
        <item x="4"/>
        <item x="357"/>
        <item x="532"/>
        <item x="312"/>
        <item x="408"/>
        <item x="507"/>
        <item x="531"/>
        <item x="416"/>
        <item x="10"/>
        <item x="44"/>
        <item x="56"/>
        <item x="569"/>
        <item x="186"/>
        <item x="514"/>
        <item x="340"/>
        <item x="24"/>
        <item x="106"/>
        <item x="390"/>
        <item x="118"/>
        <item x="43"/>
        <item x="409"/>
        <item x="564"/>
        <item x="0"/>
        <item x="126"/>
        <item x="366"/>
        <item x="452"/>
        <item x="54"/>
        <item x="279"/>
        <item x="95"/>
        <item x="335"/>
        <item x="5"/>
        <item x="15"/>
        <item x="7"/>
        <item x="326"/>
        <item x="463"/>
        <item x="519"/>
        <item x="430"/>
        <item x="496"/>
        <item x="434"/>
        <item x="508"/>
        <item x="460"/>
        <item x="83"/>
        <item x="165"/>
        <item x="364"/>
        <item x="174"/>
        <item x="270"/>
        <item x="373"/>
        <item x="431"/>
        <item x="261"/>
        <item x="395"/>
        <item x="285"/>
        <item x="167"/>
        <item x="562"/>
        <item x="547"/>
        <item x="199"/>
        <item x="446"/>
        <item x="300"/>
        <item x="240"/>
        <item x="135"/>
        <item x="75"/>
        <item x="79"/>
        <item x="277"/>
        <item x="327"/>
        <item x="494"/>
        <item x="91"/>
        <item x="474"/>
        <item x="172"/>
        <item x="348"/>
        <item x="238"/>
        <item x="123"/>
        <item x="465"/>
        <item x="323"/>
        <item x="145"/>
        <item x="396"/>
        <item x="36"/>
        <item x="55"/>
        <item x="389"/>
        <item x="80"/>
        <item x="227"/>
        <item x="9"/>
        <item x="139"/>
        <item x="412"/>
        <item x="245"/>
        <item x="82"/>
        <item x="498"/>
        <item x="362"/>
        <item x="309"/>
        <item x="127"/>
        <item x="337"/>
        <item x="248"/>
        <item x="231"/>
        <item x="162"/>
        <item x="523"/>
        <item x="518"/>
        <item x="133"/>
        <item x="294"/>
        <item x="244"/>
        <item x="521"/>
        <item x="136"/>
        <item x="147"/>
        <item x="462"/>
        <item x="306"/>
        <item x="208"/>
        <item x="549"/>
        <item x="219"/>
        <item x="213"/>
        <item x="344"/>
        <item x="230"/>
        <item x="25"/>
        <item x="206"/>
        <item x="217"/>
        <item x="553"/>
        <item x="268"/>
        <item x="115"/>
        <item x="298"/>
        <item x="78"/>
        <item x="422"/>
        <item x="406"/>
        <item x="450"/>
        <item x="302"/>
        <item x="130"/>
        <item x="220"/>
        <item x="404"/>
        <item x="148"/>
        <item x="477"/>
        <item x="485"/>
        <item x="34"/>
        <item x="354"/>
        <item x="568"/>
        <item x="384"/>
        <item x="211"/>
        <item x="161"/>
        <item x="325"/>
        <item x="249"/>
        <item x="13"/>
        <item x="558"/>
        <item x="336"/>
        <item x="150"/>
        <item x="152"/>
        <item x="112"/>
        <item x="204"/>
        <item x="351"/>
        <item x="343"/>
        <item x="119"/>
        <item x="21"/>
        <item x="62"/>
        <item x="543"/>
        <item x="3"/>
        <item x="310"/>
        <item x="53"/>
        <item x="360"/>
        <item x="116"/>
        <item x="94"/>
        <item x="272"/>
        <item x="341"/>
        <item x="86"/>
        <item x="57"/>
        <item x="399"/>
        <item x="375"/>
        <item x="533"/>
        <item x="288"/>
        <item x="98"/>
        <item x="530"/>
        <item x="353"/>
        <item x="28"/>
        <item x="2"/>
        <item x="27"/>
        <item x="565"/>
        <item x="198"/>
        <item x="191"/>
        <item x="70"/>
        <item x="233"/>
        <item x="129"/>
        <item x="411"/>
        <item x="401"/>
        <item x="257"/>
        <item x="381"/>
        <item x="73"/>
        <item x="153"/>
        <item x="417"/>
        <item x="155"/>
        <item x="39"/>
        <item x="525"/>
        <item x="287"/>
        <item x="60"/>
        <item x="536"/>
        <item x="311"/>
        <item x="278"/>
        <item x="386"/>
        <item x="472"/>
        <item x="146"/>
        <item x="320"/>
        <item x="99"/>
        <item x="128"/>
        <item x="185"/>
        <item x="493"/>
        <item x="355"/>
        <item x="192"/>
        <item x="222"/>
        <item x="63"/>
        <item x="371"/>
        <item x="64"/>
        <item x="550"/>
        <item x="107"/>
        <item x="142"/>
        <item x="77"/>
        <item x="414"/>
        <item x="6"/>
        <item x="331"/>
        <item x="203"/>
        <item x="475"/>
        <item x="376"/>
        <item x="356"/>
        <item x="545"/>
        <item x="212"/>
        <item x="349"/>
        <item x="93"/>
        <item x="104"/>
        <item x="555"/>
        <item x="397"/>
        <item x="418"/>
        <item x="444"/>
        <item x="37"/>
        <item x="445"/>
        <item x="72"/>
        <item x="556"/>
        <item x="478"/>
        <item x="163"/>
        <item x="520"/>
        <item x="239"/>
        <item x="424"/>
        <item x="173"/>
        <item x="111"/>
        <item x="207"/>
        <item x="524"/>
        <item x="505"/>
        <item x="407"/>
        <item x="168"/>
        <item x="517"/>
        <item x="97"/>
        <item x="74"/>
        <item x="23"/>
        <item x="282"/>
        <item x="522"/>
        <item x="189"/>
        <item x="429"/>
        <item x="31"/>
        <item x="30"/>
        <item x="442"/>
        <item x="440"/>
        <item x="183"/>
        <item x="113"/>
        <item x="228"/>
        <item x="352"/>
        <item x="105"/>
        <item x="566"/>
        <item x="241"/>
        <item x="171"/>
        <item x="225"/>
        <item x="534"/>
        <item x="89"/>
        <item x="443"/>
        <item x="557"/>
        <item x="76"/>
        <item x="415"/>
        <item x="432"/>
        <item x="177"/>
        <item x="35"/>
        <item x="179"/>
        <item x="448"/>
        <item x="141"/>
        <item x="449"/>
        <item x="210"/>
        <item x="438"/>
        <item x="14"/>
        <item x="471"/>
        <item x="458"/>
        <item x="466"/>
        <item x="511"/>
        <item x="26"/>
        <item x="363"/>
        <item x="49"/>
        <item x="441"/>
        <item x="345"/>
        <item x="307"/>
        <item x="540"/>
        <item x="548"/>
        <item x="501"/>
        <item x="117"/>
        <item x="41"/>
        <item x="420"/>
        <item x="546"/>
        <item x="500"/>
        <item x="332"/>
        <item x="120"/>
        <item x="342"/>
        <item x="65"/>
        <item x="50"/>
        <item x="510"/>
        <item x="512"/>
        <item x="180"/>
        <item x="383"/>
        <item x="367"/>
        <item x="263"/>
        <item x="552"/>
        <item x="321"/>
        <item x="181"/>
        <item x="20"/>
        <item x="232"/>
        <item x="481"/>
        <item x="484"/>
        <item x="492"/>
        <item x="96"/>
        <item x="350"/>
        <item x="197"/>
        <item x="46"/>
        <item x="346"/>
        <item x="503"/>
        <item x="260"/>
        <item x="455"/>
        <item x="84"/>
        <item x="201"/>
        <item x="316"/>
        <item x="358"/>
        <item x="68"/>
        <item x="296"/>
        <item x="334"/>
        <item x="490"/>
        <item x="439"/>
        <item x="529"/>
        <item x="486"/>
        <item x="223"/>
        <item x="102"/>
        <item x="157"/>
        <item x="405"/>
        <item x="560"/>
        <item x="544"/>
        <item x="273"/>
        <item x="451"/>
        <item x="370"/>
        <item x="252"/>
        <item x="402"/>
        <item x="433"/>
        <item x="339"/>
        <item x="92"/>
        <item x="87"/>
        <item x="125"/>
        <item x="387"/>
        <item x="114"/>
        <item x="495"/>
        <item x="304"/>
        <item x="359"/>
        <item x="403"/>
        <item x="489"/>
        <item x="322"/>
        <item x="425"/>
        <item x="12"/>
        <item x="124"/>
        <item x="567"/>
        <item x="328"/>
        <item x="308"/>
        <item x="188"/>
        <item x="542"/>
        <item x="255"/>
        <item x="329"/>
        <item x="18"/>
        <item x="110"/>
        <item x="47"/>
        <item x="274"/>
        <item x="497"/>
        <item x="269"/>
        <item x="265"/>
        <item x="483"/>
        <item x="324"/>
        <item x="526"/>
        <item x="559"/>
        <item x="271"/>
        <item x="551"/>
        <item x="290"/>
        <item x="193"/>
        <item x="81"/>
        <item x="256"/>
        <item x="216"/>
        <item x="48"/>
        <item x="140"/>
        <item x="413"/>
        <item x="380"/>
        <item x="467"/>
        <item x="295"/>
        <item x="247"/>
        <item x="101"/>
        <item x="159"/>
        <item x="528"/>
        <item x="297"/>
        <item x="468"/>
        <item x="221"/>
        <item x="473"/>
        <item x="16"/>
        <item x="266"/>
        <item x="436"/>
        <item x="388"/>
        <item x="154"/>
        <item x="476"/>
        <item x="109"/>
        <item x="90"/>
        <item x="32"/>
        <item x="254"/>
        <item x="509"/>
        <item x="338"/>
        <item x="14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numFmtId="2" showAll="0"/>
    <pivotField dataField="1"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Fields count="1">
    <field x="0"/>
  </rowFields>
  <rowItems count="12">
    <i>
      <x v="314"/>
    </i>
    <i>
      <x v="451"/>
    </i>
    <i>
      <x v="233"/>
    </i>
    <i>
      <x v="266"/>
    </i>
    <i>
      <x v="83"/>
    </i>
    <i>
      <x v="393"/>
    </i>
    <i>
      <x v="210"/>
    </i>
    <i>
      <x v="317"/>
    </i>
    <i>
      <x v="326"/>
    </i>
    <i>
      <x v="116"/>
    </i>
    <i>
      <x v="244"/>
    </i>
    <i t="grand">
      <x/>
    </i>
  </rowItems>
  <colItems count="1">
    <i/>
  </colItems>
  <dataFields count="1">
    <dataField name="Сума з Assists/90 Minutes" fld="30" baseField="0" baseItem="0" numFmtId="2"/>
  </dataFields>
  <pivotTableStyleInfo name="PivotStyleLight16" showRowHeaders="1" showColHeaders="1" showRowStripes="0" showColStripes="0" showLastColumn="1"/>
  <filters count="1">
    <filter fld="0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D3134B-EE42-4CA2-922E-D4E26A9F9A7E}" name="Зведена таблиця11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 chartFormat="3" rowHeaderCaption="Top scorers">
  <location ref="E1:G13" firstHeaderRow="0" firstDataRow="1" firstDataCol="1"/>
  <pivotFields count="40">
    <pivotField axis="axisRow" showAll="0" measureFilter="1" sortType="descending">
      <items count="571">
        <item x="539"/>
        <item x="108"/>
        <item x="19"/>
        <item x="166"/>
        <item x="382"/>
        <item x="237"/>
        <item x="131"/>
        <item x="71"/>
        <item x="138"/>
        <item x="215"/>
        <item x="258"/>
        <item x="318"/>
        <item x="369"/>
        <item x="491"/>
        <item x="280"/>
        <item x="253"/>
        <item x="205"/>
        <item x="38"/>
        <item x="421"/>
        <item x="67"/>
        <item x="393"/>
        <item x="289"/>
        <item x="315"/>
        <item x="182"/>
        <item x="299"/>
        <item x="535"/>
        <item x="368"/>
        <item x="423"/>
        <item x="246"/>
        <item x="330"/>
        <item x="158"/>
        <item x="169"/>
        <item x="470"/>
        <item x="242"/>
        <item x="385"/>
        <item x="264"/>
        <item x="447"/>
        <item x="291"/>
        <item x="456"/>
        <item x="317"/>
        <item x="464"/>
        <item x="537"/>
        <item x="479"/>
        <item x="121"/>
        <item x="427"/>
        <item x="398"/>
        <item x="374"/>
        <item x="61"/>
        <item x="267"/>
        <item x="379"/>
        <item x="488"/>
        <item x="164"/>
        <item x="187"/>
        <item x="243"/>
        <item x="250"/>
        <item x="469"/>
        <item x="194"/>
        <item x="361"/>
        <item x="134"/>
        <item x="459"/>
        <item x="190"/>
        <item x="506"/>
        <item x="305"/>
        <item x="251"/>
        <item x="538"/>
        <item x="100"/>
        <item x="461"/>
        <item x="419"/>
        <item x="11"/>
        <item x="143"/>
        <item x="480"/>
        <item x="195"/>
        <item x="170"/>
        <item x="347"/>
        <item x="276"/>
        <item x="51"/>
        <item x="236"/>
        <item x="132"/>
        <item x="303"/>
        <item x="262"/>
        <item x="42"/>
        <item x="561"/>
        <item x="457"/>
        <item x="453"/>
        <item x="365"/>
        <item x="400"/>
        <item x="513"/>
        <item x="88"/>
        <item x="1"/>
        <item x="428"/>
        <item x="394"/>
        <item x="29"/>
        <item x="275"/>
        <item x="52"/>
        <item x="301"/>
        <item x="137"/>
        <item x="259"/>
        <item x="313"/>
        <item x="176"/>
        <item x="378"/>
        <item x="314"/>
        <item x="22"/>
        <item x="200"/>
        <item x="160"/>
        <item x="226"/>
        <item x="454"/>
        <item x="319"/>
        <item x="482"/>
        <item x="69"/>
        <item x="218"/>
        <item x="426"/>
        <item x="372"/>
        <item x="103"/>
        <item x="178"/>
        <item x="40"/>
        <item x="284"/>
        <item x="175"/>
        <item x="156"/>
        <item x="286"/>
        <item x="184"/>
        <item x="554"/>
        <item x="504"/>
        <item x="293"/>
        <item x="333"/>
        <item x="410"/>
        <item x="516"/>
        <item x="66"/>
        <item x="563"/>
        <item x="392"/>
        <item x="487"/>
        <item x="214"/>
        <item x="435"/>
        <item x="527"/>
        <item x="122"/>
        <item x="151"/>
        <item x="283"/>
        <item x="58"/>
        <item x="144"/>
        <item x="229"/>
        <item x="17"/>
        <item x="515"/>
        <item x="224"/>
        <item x="8"/>
        <item x="202"/>
        <item x="499"/>
        <item x="502"/>
        <item x="45"/>
        <item x="377"/>
        <item x="281"/>
        <item x="541"/>
        <item x="437"/>
        <item x="234"/>
        <item x="85"/>
        <item x="59"/>
        <item x="292"/>
        <item x="391"/>
        <item x="196"/>
        <item x="33"/>
        <item x="235"/>
        <item x="209"/>
        <item x="4"/>
        <item x="357"/>
        <item x="532"/>
        <item x="312"/>
        <item x="408"/>
        <item x="507"/>
        <item x="531"/>
        <item x="416"/>
        <item x="10"/>
        <item x="44"/>
        <item x="56"/>
        <item x="569"/>
        <item x="186"/>
        <item x="514"/>
        <item x="340"/>
        <item x="24"/>
        <item x="106"/>
        <item x="390"/>
        <item x="118"/>
        <item x="43"/>
        <item x="409"/>
        <item x="564"/>
        <item x="0"/>
        <item x="126"/>
        <item x="366"/>
        <item x="452"/>
        <item x="54"/>
        <item x="279"/>
        <item x="95"/>
        <item x="335"/>
        <item x="5"/>
        <item x="15"/>
        <item x="7"/>
        <item x="326"/>
        <item x="463"/>
        <item x="519"/>
        <item x="430"/>
        <item x="496"/>
        <item x="434"/>
        <item x="508"/>
        <item x="460"/>
        <item x="83"/>
        <item x="165"/>
        <item x="364"/>
        <item x="174"/>
        <item x="270"/>
        <item x="373"/>
        <item x="431"/>
        <item x="261"/>
        <item x="395"/>
        <item x="285"/>
        <item x="167"/>
        <item x="562"/>
        <item x="547"/>
        <item x="199"/>
        <item x="446"/>
        <item x="300"/>
        <item x="240"/>
        <item x="135"/>
        <item x="75"/>
        <item x="79"/>
        <item x="277"/>
        <item x="327"/>
        <item x="494"/>
        <item x="91"/>
        <item x="474"/>
        <item x="172"/>
        <item x="348"/>
        <item x="238"/>
        <item x="123"/>
        <item x="465"/>
        <item x="323"/>
        <item x="145"/>
        <item x="396"/>
        <item x="36"/>
        <item x="55"/>
        <item x="389"/>
        <item x="80"/>
        <item x="227"/>
        <item x="9"/>
        <item x="139"/>
        <item x="412"/>
        <item x="245"/>
        <item x="82"/>
        <item x="498"/>
        <item x="362"/>
        <item x="309"/>
        <item x="127"/>
        <item x="337"/>
        <item x="248"/>
        <item x="231"/>
        <item x="162"/>
        <item x="523"/>
        <item x="518"/>
        <item x="133"/>
        <item x="294"/>
        <item x="244"/>
        <item x="521"/>
        <item x="136"/>
        <item x="147"/>
        <item x="462"/>
        <item x="306"/>
        <item x="208"/>
        <item x="549"/>
        <item x="219"/>
        <item x="213"/>
        <item x="344"/>
        <item x="230"/>
        <item x="25"/>
        <item x="206"/>
        <item x="217"/>
        <item x="553"/>
        <item x="268"/>
        <item x="115"/>
        <item x="298"/>
        <item x="78"/>
        <item x="422"/>
        <item x="406"/>
        <item x="450"/>
        <item x="302"/>
        <item x="130"/>
        <item x="220"/>
        <item x="404"/>
        <item x="148"/>
        <item x="477"/>
        <item x="485"/>
        <item x="34"/>
        <item x="354"/>
        <item x="568"/>
        <item x="384"/>
        <item x="211"/>
        <item x="161"/>
        <item x="325"/>
        <item x="249"/>
        <item x="13"/>
        <item x="558"/>
        <item x="336"/>
        <item x="150"/>
        <item x="152"/>
        <item x="112"/>
        <item x="204"/>
        <item x="351"/>
        <item x="343"/>
        <item x="119"/>
        <item x="21"/>
        <item x="62"/>
        <item x="543"/>
        <item x="3"/>
        <item x="310"/>
        <item x="53"/>
        <item x="360"/>
        <item x="116"/>
        <item x="94"/>
        <item x="272"/>
        <item x="341"/>
        <item x="86"/>
        <item x="57"/>
        <item x="399"/>
        <item x="375"/>
        <item x="533"/>
        <item x="288"/>
        <item x="98"/>
        <item x="530"/>
        <item x="353"/>
        <item x="28"/>
        <item x="2"/>
        <item x="27"/>
        <item x="565"/>
        <item x="198"/>
        <item x="191"/>
        <item x="70"/>
        <item x="233"/>
        <item x="129"/>
        <item x="411"/>
        <item x="401"/>
        <item x="257"/>
        <item x="381"/>
        <item x="73"/>
        <item x="153"/>
        <item x="417"/>
        <item x="155"/>
        <item x="39"/>
        <item x="525"/>
        <item x="287"/>
        <item x="60"/>
        <item x="536"/>
        <item x="311"/>
        <item x="278"/>
        <item x="386"/>
        <item x="472"/>
        <item x="146"/>
        <item x="320"/>
        <item x="99"/>
        <item x="128"/>
        <item x="185"/>
        <item x="493"/>
        <item x="355"/>
        <item x="192"/>
        <item x="222"/>
        <item x="63"/>
        <item x="371"/>
        <item x="64"/>
        <item x="550"/>
        <item x="107"/>
        <item x="142"/>
        <item x="77"/>
        <item x="414"/>
        <item x="6"/>
        <item x="331"/>
        <item x="203"/>
        <item x="475"/>
        <item x="376"/>
        <item x="356"/>
        <item x="545"/>
        <item x="212"/>
        <item x="349"/>
        <item x="93"/>
        <item x="104"/>
        <item x="555"/>
        <item x="397"/>
        <item x="418"/>
        <item x="444"/>
        <item x="37"/>
        <item x="445"/>
        <item x="72"/>
        <item x="556"/>
        <item x="478"/>
        <item x="163"/>
        <item x="520"/>
        <item x="239"/>
        <item x="424"/>
        <item x="173"/>
        <item x="111"/>
        <item x="207"/>
        <item x="524"/>
        <item x="505"/>
        <item x="407"/>
        <item x="168"/>
        <item x="517"/>
        <item x="97"/>
        <item x="74"/>
        <item x="23"/>
        <item x="282"/>
        <item x="522"/>
        <item x="189"/>
        <item x="429"/>
        <item x="31"/>
        <item x="30"/>
        <item x="442"/>
        <item x="440"/>
        <item x="183"/>
        <item x="113"/>
        <item x="228"/>
        <item x="352"/>
        <item x="105"/>
        <item x="566"/>
        <item x="241"/>
        <item x="171"/>
        <item x="225"/>
        <item x="534"/>
        <item x="89"/>
        <item x="443"/>
        <item x="557"/>
        <item x="76"/>
        <item x="415"/>
        <item x="432"/>
        <item x="177"/>
        <item x="35"/>
        <item x="179"/>
        <item x="448"/>
        <item x="141"/>
        <item x="449"/>
        <item x="210"/>
        <item x="438"/>
        <item x="14"/>
        <item x="471"/>
        <item x="458"/>
        <item x="466"/>
        <item x="511"/>
        <item x="26"/>
        <item x="363"/>
        <item x="49"/>
        <item x="441"/>
        <item x="345"/>
        <item x="307"/>
        <item x="540"/>
        <item x="548"/>
        <item x="501"/>
        <item x="117"/>
        <item x="41"/>
        <item x="420"/>
        <item x="546"/>
        <item x="500"/>
        <item x="332"/>
        <item x="120"/>
        <item x="342"/>
        <item x="65"/>
        <item x="50"/>
        <item x="510"/>
        <item x="512"/>
        <item x="180"/>
        <item x="383"/>
        <item x="367"/>
        <item x="263"/>
        <item x="552"/>
        <item x="321"/>
        <item x="181"/>
        <item x="20"/>
        <item x="232"/>
        <item x="481"/>
        <item x="484"/>
        <item x="492"/>
        <item x="96"/>
        <item x="350"/>
        <item x="197"/>
        <item x="46"/>
        <item x="346"/>
        <item x="503"/>
        <item x="260"/>
        <item x="455"/>
        <item x="84"/>
        <item x="201"/>
        <item x="316"/>
        <item x="358"/>
        <item x="68"/>
        <item x="296"/>
        <item x="334"/>
        <item x="490"/>
        <item x="439"/>
        <item x="529"/>
        <item x="486"/>
        <item x="223"/>
        <item x="102"/>
        <item x="157"/>
        <item x="405"/>
        <item x="560"/>
        <item x="544"/>
        <item x="273"/>
        <item x="451"/>
        <item x="370"/>
        <item x="252"/>
        <item x="402"/>
        <item x="433"/>
        <item x="339"/>
        <item x="92"/>
        <item x="87"/>
        <item x="125"/>
        <item x="387"/>
        <item x="114"/>
        <item x="495"/>
        <item x="304"/>
        <item x="359"/>
        <item x="403"/>
        <item x="489"/>
        <item x="322"/>
        <item x="425"/>
        <item x="12"/>
        <item x="124"/>
        <item x="567"/>
        <item x="328"/>
        <item x="308"/>
        <item x="188"/>
        <item x="542"/>
        <item x="255"/>
        <item x="329"/>
        <item x="18"/>
        <item x="110"/>
        <item x="47"/>
        <item x="274"/>
        <item x="497"/>
        <item x="269"/>
        <item x="265"/>
        <item x="483"/>
        <item x="324"/>
        <item x="526"/>
        <item x="559"/>
        <item x="271"/>
        <item x="551"/>
        <item x="290"/>
        <item x="193"/>
        <item x="81"/>
        <item x="256"/>
        <item x="216"/>
        <item x="48"/>
        <item x="140"/>
        <item x="413"/>
        <item x="380"/>
        <item x="467"/>
        <item x="295"/>
        <item x="247"/>
        <item x="101"/>
        <item x="159"/>
        <item x="528"/>
        <item x="297"/>
        <item x="468"/>
        <item x="221"/>
        <item x="473"/>
        <item x="16"/>
        <item x="266"/>
        <item x="436"/>
        <item x="388"/>
        <item x="154"/>
        <item x="476"/>
        <item x="109"/>
        <item x="90"/>
        <item x="32"/>
        <item x="254"/>
        <item x="509"/>
        <item x="338"/>
        <item x="14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showAll="0"/>
    <pivotField numFmtId="164"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Fields count="1">
    <field x="0"/>
  </rowFields>
  <rowItems count="12">
    <i>
      <x v="439"/>
    </i>
    <i>
      <x v="116"/>
    </i>
    <i>
      <x v="45"/>
    </i>
    <i>
      <x v="448"/>
    </i>
    <i>
      <x v="402"/>
    </i>
    <i>
      <x v="83"/>
    </i>
    <i>
      <x v="405"/>
    </i>
    <i>
      <x v="314"/>
    </i>
    <i>
      <x v="509"/>
    </i>
    <i>
      <x v="317"/>
    </i>
    <i>
      <x v="367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Assists" fld="14" baseField="0" baseItem="0" numFmtId="1"/>
    <dataField name="Expected Total Assists" fld="24" baseField="0" baseItem="0" numFmtId="164"/>
  </dataFields>
  <chartFormats count="2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16CA04-239F-4C07-81A0-FB81C0DF03CB}" name="Зведена таблиця10" cacheId="38" applyNumberFormats="0" applyBorderFormats="0" applyFontFormats="0" applyPatternFormats="0" applyAlignmentFormats="0" applyWidthHeightFormats="1" dataCaption="Значення" updatedVersion="8" minRefreshableVersion="3" useAutoFormatting="1" itemPrintTitles="1" createdVersion="8" indent="0" outline="1" outlineData="1" multipleFieldFilters="0" rowHeaderCaption="Top scorers">
  <location ref="I1:J13" firstHeaderRow="1" firstDataRow="1" firstDataCol="1"/>
  <pivotFields count="40">
    <pivotField axis="axisRow" showAll="0" measureFilter="1" sortType="descending">
      <items count="571">
        <item x="539"/>
        <item x="108"/>
        <item x="19"/>
        <item x="166"/>
        <item x="382"/>
        <item x="237"/>
        <item x="131"/>
        <item x="71"/>
        <item x="138"/>
        <item x="215"/>
        <item x="258"/>
        <item x="318"/>
        <item x="369"/>
        <item x="491"/>
        <item x="280"/>
        <item x="253"/>
        <item x="205"/>
        <item x="38"/>
        <item x="421"/>
        <item x="67"/>
        <item x="393"/>
        <item x="289"/>
        <item x="315"/>
        <item x="182"/>
        <item x="299"/>
        <item x="535"/>
        <item x="368"/>
        <item x="423"/>
        <item x="246"/>
        <item x="330"/>
        <item x="158"/>
        <item x="169"/>
        <item x="470"/>
        <item x="242"/>
        <item x="385"/>
        <item x="264"/>
        <item x="447"/>
        <item x="291"/>
        <item x="456"/>
        <item x="317"/>
        <item x="464"/>
        <item x="537"/>
        <item x="479"/>
        <item x="121"/>
        <item x="427"/>
        <item x="398"/>
        <item x="374"/>
        <item x="61"/>
        <item x="267"/>
        <item x="379"/>
        <item x="488"/>
        <item x="164"/>
        <item x="187"/>
        <item x="243"/>
        <item x="250"/>
        <item x="469"/>
        <item x="194"/>
        <item x="361"/>
        <item x="134"/>
        <item x="459"/>
        <item x="190"/>
        <item x="506"/>
        <item x="305"/>
        <item x="251"/>
        <item x="538"/>
        <item x="100"/>
        <item x="461"/>
        <item x="419"/>
        <item x="11"/>
        <item x="143"/>
        <item x="480"/>
        <item x="195"/>
        <item x="170"/>
        <item x="347"/>
        <item x="276"/>
        <item x="51"/>
        <item x="236"/>
        <item x="132"/>
        <item x="303"/>
        <item x="262"/>
        <item x="42"/>
        <item x="561"/>
        <item x="457"/>
        <item x="453"/>
        <item x="365"/>
        <item x="400"/>
        <item x="513"/>
        <item x="88"/>
        <item x="1"/>
        <item x="428"/>
        <item x="394"/>
        <item x="29"/>
        <item x="275"/>
        <item x="52"/>
        <item x="301"/>
        <item x="137"/>
        <item x="259"/>
        <item x="313"/>
        <item x="176"/>
        <item x="378"/>
        <item x="314"/>
        <item x="22"/>
        <item x="200"/>
        <item x="160"/>
        <item x="226"/>
        <item x="454"/>
        <item x="319"/>
        <item x="482"/>
        <item x="69"/>
        <item x="218"/>
        <item x="426"/>
        <item x="372"/>
        <item x="103"/>
        <item x="178"/>
        <item x="40"/>
        <item x="284"/>
        <item x="175"/>
        <item x="156"/>
        <item x="286"/>
        <item x="184"/>
        <item x="554"/>
        <item x="504"/>
        <item x="293"/>
        <item x="333"/>
        <item x="410"/>
        <item x="516"/>
        <item x="66"/>
        <item x="563"/>
        <item x="392"/>
        <item x="487"/>
        <item x="214"/>
        <item x="435"/>
        <item x="527"/>
        <item x="122"/>
        <item x="151"/>
        <item x="283"/>
        <item x="58"/>
        <item x="144"/>
        <item x="229"/>
        <item x="17"/>
        <item x="515"/>
        <item x="224"/>
        <item x="8"/>
        <item x="202"/>
        <item x="499"/>
        <item x="502"/>
        <item x="45"/>
        <item x="377"/>
        <item x="281"/>
        <item x="541"/>
        <item x="437"/>
        <item x="234"/>
        <item x="85"/>
        <item x="59"/>
        <item x="292"/>
        <item x="391"/>
        <item x="196"/>
        <item x="33"/>
        <item x="235"/>
        <item x="209"/>
        <item x="4"/>
        <item x="357"/>
        <item x="532"/>
        <item x="312"/>
        <item x="408"/>
        <item x="507"/>
        <item x="531"/>
        <item x="416"/>
        <item x="10"/>
        <item x="44"/>
        <item x="56"/>
        <item x="569"/>
        <item x="186"/>
        <item x="514"/>
        <item x="340"/>
        <item x="24"/>
        <item x="106"/>
        <item x="390"/>
        <item x="118"/>
        <item x="43"/>
        <item x="409"/>
        <item x="564"/>
        <item x="0"/>
        <item x="126"/>
        <item x="366"/>
        <item x="452"/>
        <item x="54"/>
        <item x="279"/>
        <item x="95"/>
        <item x="335"/>
        <item x="5"/>
        <item x="15"/>
        <item x="7"/>
        <item x="326"/>
        <item x="463"/>
        <item x="519"/>
        <item x="430"/>
        <item x="496"/>
        <item x="434"/>
        <item x="508"/>
        <item x="460"/>
        <item x="83"/>
        <item x="165"/>
        <item x="364"/>
        <item x="174"/>
        <item x="270"/>
        <item x="373"/>
        <item x="431"/>
        <item x="261"/>
        <item x="395"/>
        <item x="285"/>
        <item x="167"/>
        <item x="562"/>
        <item x="547"/>
        <item x="199"/>
        <item x="446"/>
        <item x="300"/>
        <item x="240"/>
        <item x="135"/>
        <item x="75"/>
        <item x="79"/>
        <item x="277"/>
        <item x="327"/>
        <item x="494"/>
        <item x="91"/>
        <item x="474"/>
        <item x="172"/>
        <item x="348"/>
        <item x="238"/>
        <item x="123"/>
        <item x="465"/>
        <item x="323"/>
        <item x="145"/>
        <item x="396"/>
        <item x="36"/>
        <item x="55"/>
        <item x="389"/>
        <item x="80"/>
        <item x="227"/>
        <item x="9"/>
        <item x="139"/>
        <item x="412"/>
        <item x="245"/>
        <item x="82"/>
        <item x="498"/>
        <item x="362"/>
        <item x="309"/>
        <item x="127"/>
        <item x="337"/>
        <item x="248"/>
        <item x="231"/>
        <item x="162"/>
        <item x="523"/>
        <item x="518"/>
        <item x="133"/>
        <item x="294"/>
        <item x="244"/>
        <item x="521"/>
        <item x="136"/>
        <item x="147"/>
        <item x="462"/>
        <item x="306"/>
        <item x="208"/>
        <item x="549"/>
        <item x="219"/>
        <item x="213"/>
        <item x="344"/>
        <item x="230"/>
        <item x="25"/>
        <item x="206"/>
        <item x="217"/>
        <item x="553"/>
        <item x="268"/>
        <item x="115"/>
        <item x="298"/>
        <item x="78"/>
        <item x="422"/>
        <item x="406"/>
        <item x="450"/>
        <item x="302"/>
        <item x="130"/>
        <item x="220"/>
        <item x="404"/>
        <item x="148"/>
        <item x="477"/>
        <item x="485"/>
        <item x="34"/>
        <item x="354"/>
        <item x="568"/>
        <item x="384"/>
        <item x="211"/>
        <item x="161"/>
        <item x="325"/>
        <item x="249"/>
        <item x="13"/>
        <item x="558"/>
        <item x="336"/>
        <item x="150"/>
        <item x="152"/>
        <item x="112"/>
        <item x="204"/>
        <item x="351"/>
        <item x="343"/>
        <item x="119"/>
        <item x="21"/>
        <item x="62"/>
        <item x="543"/>
        <item x="3"/>
        <item x="310"/>
        <item x="53"/>
        <item x="360"/>
        <item x="116"/>
        <item x="94"/>
        <item x="272"/>
        <item x="341"/>
        <item x="86"/>
        <item x="57"/>
        <item x="399"/>
        <item x="375"/>
        <item x="533"/>
        <item x="288"/>
        <item x="98"/>
        <item x="530"/>
        <item x="353"/>
        <item x="28"/>
        <item x="2"/>
        <item x="27"/>
        <item x="565"/>
        <item x="198"/>
        <item x="191"/>
        <item x="70"/>
        <item x="233"/>
        <item x="129"/>
        <item x="411"/>
        <item x="401"/>
        <item x="257"/>
        <item x="381"/>
        <item x="73"/>
        <item x="153"/>
        <item x="417"/>
        <item x="155"/>
        <item x="39"/>
        <item x="525"/>
        <item x="287"/>
        <item x="60"/>
        <item x="536"/>
        <item x="311"/>
        <item x="278"/>
        <item x="386"/>
        <item x="472"/>
        <item x="146"/>
        <item x="320"/>
        <item x="99"/>
        <item x="128"/>
        <item x="185"/>
        <item x="493"/>
        <item x="355"/>
        <item x="192"/>
        <item x="222"/>
        <item x="63"/>
        <item x="371"/>
        <item x="64"/>
        <item x="550"/>
        <item x="107"/>
        <item x="142"/>
        <item x="77"/>
        <item x="414"/>
        <item x="6"/>
        <item x="331"/>
        <item x="203"/>
        <item x="475"/>
        <item x="376"/>
        <item x="356"/>
        <item x="545"/>
        <item x="212"/>
        <item x="349"/>
        <item x="93"/>
        <item x="104"/>
        <item x="555"/>
        <item x="397"/>
        <item x="418"/>
        <item x="444"/>
        <item x="37"/>
        <item x="445"/>
        <item x="72"/>
        <item x="556"/>
        <item x="478"/>
        <item x="163"/>
        <item x="520"/>
        <item x="239"/>
        <item x="424"/>
        <item x="173"/>
        <item x="111"/>
        <item x="207"/>
        <item x="524"/>
        <item x="505"/>
        <item x="407"/>
        <item x="168"/>
        <item x="517"/>
        <item x="97"/>
        <item x="74"/>
        <item x="23"/>
        <item x="282"/>
        <item x="522"/>
        <item x="189"/>
        <item x="429"/>
        <item x="31"/>
        <item x="30"/>
        <item x="442"/>
        <item x="440"/>
        <item x="183"/>
        <item x="113"/>
        <item x="228"/>
        <item x="352"/>
        <item x="105"/>
        <item x="566"/>
        <item x="241"/>
        <item x="171"/>
        <item x="225"/>
        <item x="534"/>
        <item x="89"/>
        <item x="443"/>
        <item x="557"/>
        <item x="76"/>
        <item x="415"/>
        <item x="432"/>
        <item x="177"/>
        <item x="35"/>
        <item x="179"/>
        <item x="448"/>
        <item x="141"/>
        <item x="449"/>
        <item x="210"/>
        <item x="438"/>
        <item x="14"/>
        <item x="471"/>
        <item x="458"/>
        <item x="466"/>
        <item x="511"/>
        <item x="26"/>
        <item x="363"/>
        <item x="49"/>
        <item x="441"/>
        <item x="345"/>
        <item x="307"/>
        <item x="540"/>
        <item x="548"/>
        <item x="501"/>
        <item x="117"/>
        <item x="41"/>
        <item x="420"/>
        <item x="546"/>
        <item x="500"/>
        <item x="332"/>
        <item x="120"/>
        <item x="342"/>
        <item x="65"/>
        <item x="50"/>
        <item x="510"/>
        <item x="512"/>
        <item x="180"/>
        <item x="383"/>
        <item x="367"/>
        <item x="263"/>
        <item x="552"/>
        <item x="321"/>
        <item x="181"/>
        <item x="20"/>
        <item x="232"/>
        <item x="481"/>
        <item x="484"/>
        <item x="492"/>
        <item x="96"/>
        <item x="350"/>
        <item x="197"/>
        <item x="46"/>
        <item x="346"/>
        <item x="503"/>
        <item x="260"/>
        <item x="455"/>
        <item x="84"/>
        <item x="201"/>
        <item x="316"/>
        <item x="358"/>
        <item x="68"/>
        <item x="296"/>
        <item x="334"/>
        <item x="490"/>
        <item x="439"/>
        <item x="529"/>
        <item x="486"/>
        <item x="223"/>
        <item x="102"/>
        <item x="157"/>
        <item x="405"/>
        <item x="560"/>
        <item x="544"/>
        <item x="273"/>
        <item x="451"/>
        <item x="370"/>
        <item x="252"/>
        <item x="402"/>
        <item x="433"/>
        <item x="339"/>
        <item x="92"/>
        <item x="87"/>
        <item x="125"/>
        <item x="387"/>
        <item x="114"/>
        <item x="495"/>
        <item x="304"/>
        <item x="359"/>
        <item x="403"/>
        <item x="489"/>
        <item x="322"/>
        <item x="425"/>
        <item x="12"/>
        <item x="124"/>
        <item x="567"/>
        <item x="328"/>
        <item x="308"/>
        <item x="188"/>
        <item x="542"/>
        <item x="255"/>
        <item x="329"/>
        <item x="18"/>
        <item x="110"/>
        <item x="47"/>
        <item x="274"/>
        <item x="497"/>
        <item x="269"/>
        <item x="265"/>
        <item x="483"/>
        <item x="324"/>
        <item x="526"/>
        <item x="559"/>
        <item x="271"/>
        <item x="551"/>
        <item x="290"/>
        <item x="193"/>
        <item x="81"/>
        <item x="256"/>
        <item x="216"/>
        <item x="48"/>
        <item x="140"/>
        <item x="413"/>
        <item x="380"/>
        <item x="467"/>
        <item x="295"/>
        <item x="247"/>
        <item x="101"/>
        <item x="159"/>
        <item x="528"/>
        <item x="297"/>
        <item x="468"/>
        <item x="221"/>
        <item x="473"/>
        <item x="16"/>
        <item x="266"/>
        <item x="436"/>
        <item x="388"/>
        <item x="154"/>
        <item x="476"/>
        <item x="109"/>
        <item x="90"/>
        <item x="32"/>
        <item x="254"/>
        <item x="509"/>
        <item x="338"/>
        <item x="14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numFmtId="1" showAll="0"/>
    <pivotField showAll="0">
      <items count="6">
        <item x="2"/>
        <item x="1"/>
        <item x="3"/>
        <item x="4"/>
        <item x="0"/>
        <item t="default"/>
      </items>
    </pivotField>
    <pivotField numFmtId="1" showAll="0"/>
    <pivotField numFmtId="1" showAll="0"/>
    <pivotField numFmtId="164" showAll="0"/>
    <pivotField showAll="0">
      <items count="3">
        <item h="1"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" showAll="0"/>
    <pivotField numFmtId="1" showAll="0"/>
    <pivotField numFmtId="1" showAll="0"/>
    <pivotField dataField="1"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Fields count="1">
    <field x="0"/>
  </rowFields>
  <rowItems count="12">
    <i>
      <x v="174"/>
    </i>
    <i>
      <x v="20"/>
    </i>
    <i>
      <x v="148"/>
    </i>
    <i>
      <x v="116"/>
    </i>
    <i>
      <x v="393"/>
    </i>
    <i>
      <x v="110"/>
    </i>
    <i>
      <x v="471"/>
    </i>
    <i>
      <x v="325"/>
    </i>
    <i>
      <x v="402"/>
    </i>
    <i>
      <x v="163"/>
    </i>
    <i>
      <x v="262"/>
    </i>
    <i t="grand">
      <x/>
    </i>
  </rowItems>
  <colItems count="1">
    <i/>
  </colItems>
  <dataFields count="1">
    <dataField name="Сума з Goals/90 Minutes" fld="29" baseField="0" baseItem="0" numFmtId="2"/>
  </dataFields>
  <pivotTableStyleInfo name="PivotStyleLight16" showRowHeaders="1" showColHeaders="1" showRowStripes="0" showColStripes="0" showLastColumn="1"/>
  <filters count="1">
    <filter fld="0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86896BE-26A3-47EC-9701-62377970BC5D}" autoFormatId="16" applyNumberFormats="0" applyBorderFormats="0" applyFontFormats="0" applyPatternFormats="0" applyAlignmentFormats="0" applyWidthHeightFormats="0">
  <queryTableRefresh nextId="35">
    <queryTableFields count="34">
      <queryTableField id="1" name="Player" tableColumnId="1"/>
      <queryTableField id="2" name="Nation" tableColumnId="2"/>
      <queryTableField id="3" name="Pos" tableColumnId="3"/>
      <queryTableField id="4" name="Age" tableColumnId="4"/>
      <queryTableField id="5" name="MP" tableColumnId="5"/>
      <queryTableField id="6" name="Starts" tableColumnId="6"/>
      <queryTableField id="7" name="Min" tableColumnId="7"/>
      <queryTableField id="8" name="90s" tableColumnId="8"/>
      <queryTableField id="9" name="Gls" tableColumnId="9"/>
      <queryTableField id="10" name="Ast" tableColumnId="10"/>
      <queryTableField id="11" name="G+A" tableColumnId="11"/>
      <queryTableField id="12" name="G-PK" tableColumnId="12"/>
      <queryTableField id="13" name="PK" tableColumnId="13"/>
      <queryTableField id="14" name="PKatt" tableColumnId="14"/>
      <queryTableField id="15" name="CrdY" tableColumnId="15"/>
      <queryTableField id="16" name="CrdR" tableColumnId="16"/>
      <queryTableField id="17" name="xG" tableColumnId="17"/>
      <queryTableField id="18" name="npxG" tableColumnId="18"/>
      <queryTableField id="19" name="xAG" tableColumnId="19"/>
      <queryTableField id="20" name="npxG+xAG" tableColumnId="20"/>
      <queryTableField id="21" name="PrgC" tableColumnId="21"/>
      <queryTableField id="22" name="PrgP" tableColumnId="22"/>
      <queryTableField id="23" name="PrgR" tableColumnId="23"/>
      <queryTableField id="24" name="Gls_90" tableColumnId="24"/>
      <queryTableField id="25" name="Ast_90" tableColumnId="25"/>
      <queryTableField id="26" name="G+A_90" tableColumnId="26"/>
      <queryTableField id="27" name="G-PK_90" tableColumnId="27"/>
      <queryTableField id="28" name="G+A-PK_90" tableColumnId="28"/>
      <queryTableField id="29" name="xG_90" tableColumnId="29"/>
      <queryTableField id="30" name="xAG_90" tableColumnId="30"/>
      <queryTableField id="31" name="xG+xAG_90" tableColumnId="31"/>
      <queryTableField id="32" name="npxG_90" tableColumnId="32"/>
      <queryTableField id="33" name="npxG+xAG_90" tableColumnId="33"/>
      <queryTableField id="34" name="Team" tableColumnId="3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066BDE8-502B-4D68-B799-E8112EAC2B18}" autoFormatId="16" applyNumberFormats="0" applyBorderFormats="0" applyFontFormats="0" applyPatternFormats="0" applyAlignmentFormats="0" applyWidthHeightFormats="0">
  <queryTableRefresh nextId="41">
    <queryTableFields count="40">
      <queryTableField id="1" name="Player" tableColumnId="1"/>
      <queryTableField id="2" name="Nation" tableColumnId="2"/>
      <queryTableField id="36" dataBound="0" tableColumnId="37"/>
      <queryTableField id="37" dataBound="0" tableColumnId="38"/>
      <queryTableField id="3" name="Pos" tableColumnId="3"/>
      <queryTableField id="35" dataBound="0" tableColumnId="35"/>
      <queryTableField id="4" name="Age" tableColumnId="4"/>
      <queryTableField id="39" dataBound="0" tableColumnId="40"/>
      <queryTableField id="5" name="MP" tableColumnId="5"/>
      <queryTableField id="6" name="Starts" tableColumnId="6"/>
      <queryTableField id="7" name="Min" tableColumnId="7"/>
      <queryTableField id="38" dataBound="0" tableColumnId="39"/>
      <queryTableField id="8" name="90s" tableColumnId="8"/>
      <queryTableField id="9" name="Gls" tableColumnId="9"/>
      <queryTableField id="10" name="Ast" tableColumnId="10"/>
      <queryTableField id="11" name="G+A" tableColumnId="11"/>
      <queryTableField id="12" name="G-PK" tableColumnId="12"/>
      <queryTableField id="13" name="PK" tableColumnId="13"/>
      <queryTableField id="14" name="PKatt" tableColumnId="14"/>
      <queryTableField id="15" name="CrdY" tableColumnId="15"/>
      <queryTableField id="16" name="CrdR" tableColumnId="16"/>
      <queryTableField id="17" name="xG" tableColumnId="17"/>
      <queryTableField id="40" dataBound="0" tableColumnId="41"/>
      <queryTableField id="18" name="npxG" tableColumnId="18"/>
      <queryTableField id="19" name="xAG" tableColumnId="19"/>
      <queryTableField id="20" name="npxG+xAG" tableColumnId="20"/>
      <queryTableField id="21" name="PrgC" tableColumnId="21"/>
      <queryTableField id="22" name="PrgP" tableColumnId="22"/>
      <queryTableField id="23" name="PrgR" tableColumnId="23"/>
      <queryTableField id="24" name="Gls_90" tableColumnId="24"/>
      <queryTableField id="25" name="Ast_90" tableColumnId="25"/>
      <queryTableField id="26" name="G+A_90" tableColumnId="26"/>
      <queryTableField id="27" name="G-PK_90" tableColumnId="27"/>
      <queryTableField id="28" name="G+A-PK_90" tableColumnId="28"/>
      <queryTableField id="29" name="xG_90" tableColumnId="29"/>
      <queryTableField id="30" name="xAG_90" tableColumnId="30"/>
      <queryTableField id="31" name="xG+xAG_90" tableColumnId="31"/>
      <queryTableField id="32" name="npxG_90" tableColumnId="32"/>
      <queryTableField id="33" name="npxG+xAG_90" tableColumnId="33"/>
      <queryTableField id="34" name="Team" tableColumnId="3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Роздільник_More_Than_1000_Minutes" xr10:uid="{FB94439A-3722-439E-B2BE-F998B76A84DC}" sourceName="More Than 1000 Minutes">
  <pivotTables>
    <pivotTable tabId="5" name="Зведена таблиця10"/>
    <pivotTable tabId="4" name="Average Age"/>
    <pivotTable tabId="4" name="Count Players"/>
    <pivotTable tabId="4" name="Total Assists"/>
    <pivotTable tabId="4" name="Total Goals"/>
    <pivotTable tabId="4" name="Total Red Cards"/>
    <pivotTable tabId="4" name="Total Yellow Cards"/>
    <pivotTable tabId="5" name="Зведена таблиця11"/>
    <pivotTable tabId="5" name="Зведена таблиця12"/>
    <pivotTable tabId="5" name="Top scorers"/>
    <pivotTable tabId="5" name="Зведена таблиця1"/>
    <pivotTable tabId="5" name="Зведена таблиця2"/>
  </pivotTables>
  <data>
    <tabular pivotCacheId="1479669112">
      <items count="2">
        <i x="0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Роздільник_Team" xr10:uid="{AA30EE05-DD24-438C-BB84-FBAFB28A2DC6}" sourceName="Team">
  <pivotTables>
    <pivotTable tabId="5" name="Зведена таблиця11"/>
    <pivotTable tabId="4" name="Average Age"/>
    <pivotTable tabId="4" name="Count Players"/>
    <pivotTable tabId="4" name="Total Assists"/>
    <pivotTable tabId="4" name="Total Goals"/>
    <pivotTable tabId="4" name="Total Red Cards"/>
    <pivotTable tabId="4" name="Total Yellow Cards"/>
    <pivotTable tabId="5" name="Top scorers"/>
    <pivotTable tabId="5" name="Зведена таблиця10"/>
    <pivotTable tabId="5" name="Зведена таблиця12"/>
    <pivotTable tabId="5" name="Зведена таблиця1"/>
    <pivotTable tabId="5" name="Зведена таблиця2"/>
  </pivotTables>
  <data>
    <tabular pivotCacheId="1479669112">
      <items count="20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8" s="1"/>
        <i x="19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Роздільник_Main_Position" xr10:uid="{CA9DC625-7FED-42EE-BC9A-B5AC8BD4681D}" sourceName="Main Position">
  <pivotTables>
    <pivotTable tabId="5" name="Зведена таблиця10"/>
    <pivotTable tabId="5" name="Зведена таблиця1"/>
    <pivotTable tabId="4" name="Average Age"/>
    <pivotTable tabId="4" name="Count Players"/>
    <pivotTable tabId="4" name="Total Assists"/>
    <pivotTable tabId="4" name="Total Goals"/>
    <pivotTable tabId="4" name="Total Red Cards"/>
    <pivotTable tabId="4" name="Total Yellow Cards"/>
    <pivotTable tabId="5" name="Top scorers"/>
    <pivotTable tabId="5" name="Зведена таблиця11"/>
    <pivotTable tabId="5" name="Зведена таблиця12"/>
    <pivotTable tabId="5" name="Зведена таблиця2"/>
  </pivotTables>
  <data>
    <tabular pivotCacheId="1479669112">
      <items count="4">
        <i x="2" s="1"/>
        <i x="1" s="1"/>
        <i x="3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Роздільник_Age_Category" xr10:uid="{940D26A8-C7CA-4D8E-ACF4-5540F35D2B84}" sourceName="Age Category">
  <pivotTables>
    <pivotTable tabId="5" name="Зведена таблиця10"/>
    <pivotTable tabId="4" name="Average Age"/>
    <pivotTable tabId="4" name="Count Players"/>
    <pivotTable tabId="4" name="Total Assists"/>
    <pivotTable tabId="4" name="Total Goals"/>
    <pivotTable tabId="4" name="Total Red Cards"/>
    <pivotTable tabId="4" name="Total Yellow Cards"/>
    <pivotTable tabId="5" name="Top scorers"/>
    <pivotTable tabId="5" name="Зведена таблиця11"/>
    <pivotTable tabId="5" name="Зведена таблиця12"/>
    <pivotTable tabId="5" name="Зведена таблиця1"/>
    <pivotTable tabId="5" name="Зведена таблиця2"/>
  </pivotTables>
  <data>
    <tabular pivotCacheId="1479669112">
      <items count="5">
        <i x="2" s="1"/>
        <i x="1" s="1"/>
        <i x="3" s="1"/>
        <i x="4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ore Than 1000 Minutes" xr10:uid="{0746ADDB-C765-4EB0-A49C-D4E03255F959}" cache="Роздільник_More_Than_1000_Minutes" caption="More Than 1000 Minutes" style="SlicerStyleLight5 2" rowHeight="257175"/>
  <slicer name="Team" xr10:uid="{DE539852-D5D8-4EC8-A428-A1DD4B47996E}" cache="Роздільник_Team" caption="Team" style="SlicerStyleLight5 2" rowHeight="257175"/>
  <slicer name="Main Position" xr10:uid="{998813FD-C387-4767-A460-CCAF08ECC578}" cache="Роздільник_Main_Position" caption="Main Position" style="SlicerStyleLight5 2" rowHeight="257175"/>
  <slicer name="Age Category" xr10:uid="{570F6C2A-A624-4950-B187-E501CBA88017}" cache="Роздільник_Age_Category" caption="Age Category" style="SlicerStyleLight5 2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6524-3794-4C6D-B51E-8F8F4F99F2D8}" name="premier_player_23_24__2" displayName="premier_player_23_24__2" ref="A1:AH581" tableType="queryTable" totalsRowShown="0">
  <autoFilter ref="A1:AH581" xr:uid="{5DCD6524-3794-4C6D-B51E-8F8F4F99F2D8}"/>
  <tableColumns count="34">
    <tableColumn id="1" xr3:uid="{22B8C7AF-43BD-4455-BACD-7C7A29415E90}" uniqueName="1" name="Player" queryTableFieldId="1" dataDxfId="93"/>
    <tableColumn id="2" xr3:uid="{EE506CF9-5FCA-4B6A-95CA-539206BF66C9}" uniqueName="2" name="Nation" queryTableFieldId="2" dataDxfId="92"/>
    <tableColumn id="3" xr3:uid="{4CD2C8F8-3BA6-4CBD-82A3-C78BFE2AF7E5}" uniqueName="3" name="Pos" queryTableFieldId="3" dataDxfId="91"/>
    <tableColumn id="4" xr3:uid="{9150CA7B-E81F-4294-B12A-313A812D7316}" uniqueName="4" name="Age" queryTableFieldId="4" dataDxfId="90"/>
    <tableColumn id="5" xr3:uid="{0D273D8C-2E25-4DC7-9644-B58E764124BC}" uniqueName="5" name="MP" queryTableFieldId="5"/>
    <tableColumn id="6" xr3:uid="{1A9845AE-67A5-4078-9362-357A93596A7A}" uniqueName="6" name="Starts" queryTableFieldId="6"/>
    <tableColumn id="7" xr3:uid="{C62DB141-8195-4BE9-ADF2-6F161BB44262}" uniqueName="7" name="Min" queryTableFieldId="7" dataDxfId="89"/>
    <tableColumn id="8" xr3:uid="{9421E82E-6EC4-449D-9376-575D9EE4A23B}" uniqueName="8" name="90s" queryTableFieldId="8" dataDxfId="88"/>
    <tableColumn id="9" xr3:uid="{38DEFD00-C8F5-4E67-8AAC-21E9A3AED7A2}" uniqueName="9" name="Gls" queryTableFieldId="9" dataDxfId="87"/>
    <tableColumn id="10" xr3:uid="{1E02DE1A-30E5-4D5F-8B46-7AB1B61343CD}" uniqueName="10" name="Ast" queryTableFieldId="10" dataDxfId="86"/>
    <tableColumn id="11" xr3:uid="{824B81C7-6B1C-4CCE-B889-6BF2553733FD}" uniqueName="11" name="G+A" queryTableFieldId="11" dataDxfId="85"/>
    <tableColumn id="12" xr3:uid="{E480DDC1-A519-4162-B03E-5738FFBE48D1}" uniqueName="12" name="G-PK" queryTableFieldId="12" dataDxfId="84"/>
    <tableColumn id="13" xr3:uid="{09A7ACD4-9E97-46F2-8299-D220B5F6DC15}" uniqueName="13" name="PK" queryTableFieldId="13" dataDxfId="83"/>
    <tableColumn id="14" xr3:uid="{7DD069A6-5BDA-4764-8D10-3337D7FD803C}" uniqueName="14" name="PKatt" queryTableFieldId="14" dataDxfId="82"/>
    <tableColumn id="15" xr3:uid="{CDFD58FE-0C8B-4B51-B412-BB69DC969AAF}" uniqueName="15" name="CrdY" queryTableFieldId="15" dataDxfId="81"/>
    <tableColumn id="16" xr3:uid="{7D5664F0-E0DD-4C49-9395-F3F863618E98}" uniqueName="16" name="CrdR" queryTableFieldId="16" dataDxfId="80"/>
    <tableColumn id="17" xr3:uid="{F7B9BA64-4AF6-42D2-91C1-60D13E038682}" uniqueName="17" name="xG" queryTableFieldId="17" dataDxfId="79"/>
    <tableColumn id="18" xr3:uid="{E5845E58-CA51-4AD5-BE52-1A7E50111252}" uniqueName="18" name="npxG" queryTableFieldId="18" dataDxfId="78"/>
    <tableColumn id="19" xr3:uid="{01B612DD-A6A9-46FC-8917-D55613EB4862}" uniqueName="19" name="xAG" queryTableFieldId="19" dataDxfId="77"/>
    <tableColumn id="20" xr3:uid="{5302471F-F95D-4AEA-BD8A-F2C9B62A9756}" uniqueName="20" name="npxG+xAG" queryTableFieldId="20" dataDxfId="76"/>
    <tableColumn id="21" xr3:uid="{EC7891E9-1F11-4931-90C3-666D6FDFEB23}" uniqueName="21" name="PrgC" queryTableFieldId="21" dataDxfId="75"/>
    <tableColumn id="22" xr3:uid="{66B51EC4-E9BD-4B71-91FD-40DF364004DF}" uniqueName="22" name="PrgP" queryTableFieldId="22" dataDxfId="74"/>
    <tableColumn id="23" xr3:uid="{C12F15F2-AE86-4EF8-866A-50B1CE8E5555}" uniqueName="23" name="PrgR" queryTableFieldId="23" dataDxfId="73"/>
    <tableColumn id="24" xr3:uid="{396DBFD0-3460-46F2-B1C3-6C4B35CC28BC}" uniqueName="24" name="Gls_90" queryTableFieldId="24" dataDxfId="72"/>
    <tableColumn id="25" xr3:uid="{13389C62-265E-441B-AE0C-1E2F38D23B99}" uniqueName="25" name="Ast_90" queryTableFieldId="25" dataDxfId="71"/>
    <tableColumn id="26" xr3:uid="{23055250-33D2-4FA6-BFE6-E1B4B0C03402}" uniqueName="26" name="G+A_90" queryTableFieldId="26" dataDxfId="70"/>
    <tableColumn id="27" xr3:uid="{7321659E-9F9B-40A7-A9D5-21C94F3878D0}" uniqueName="27" name="G-PK_90" queryTableFieldId="27" dataDxfId="69"/>
    <tableColumn id="28" xr3:uid="{F8853E6B-9CA3-4642-8736-FA20FBE07053}" uniqueName="28" name="G+A-PK_90" queryTableFieldId="28" dataDxfId="68"/>
    <tableColumn id="29" xr3:uid="{3665C8AC-F5ED-411E-B16C-30C0A03D073A}" uniqueName="29" name="xG_90" queryTableFieldId="29" dataDxfId="67"/>
    <tableColumn id="30" xr3:uid="{38235FBF-56D4-4D1E-90EF-21758067CD23}" uniqueName="30" name="xAG_90" queryTableFieldId="30" dataDxfId="66"/>
    <tableColumn id="31" xr3:uid="{1AD8E7AF-8506-4513-98EE-AD9C2A452A32}" uniqueName="31" name="xG+xAG_90" queryTableFieldId="31" dataDxfId="65"/>
    <tableColumn id="32" xr3:uid="{B9B266C2-041B-4E9F-8FB2-254E9E8FB03A}" uniqueName="32" name="npxG_90" queryTableFieldId="32" dataDxfId="64"/>
    <tableColumn id="33" xr3:uid="{5D56DFD9-8C62-413D-B23E-7F8A9B27CA6F}" uniqueName="33" name="npxG+xAG_90" queryTableFieldId="33" dataDxfId="63"/>
    <tableColumn id="34" xr3:uid="{BD1BDBFC-C035-450D-A44B-A75F66679C60}" uniqueName="34" name="Team" queryTableFieldId="34" dataDxfId="6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3F83F4-71B3-4E75-B994-D4210245F2D9}" name="premier_player_23_24" displayName="premier_player_23_24" ref="A1:AN581" tableType="queryTable" totalsRowShown="0">
  <autoFilter ref="A1:AN581" xr:uid="{373F83F4-71B3-4E75-B994-D4210245F2D9}"/>
  <sortState xmlns:xlrd2="http://schemas.microsoft.com/office/spreadsheetml/2017/richdata2" ref="A2:AN581">
    <sortCondition ref="AN1:AN581"/>
  </sortState>
  <tableColumns count="40">
    <tableColumn id="1" xr3:uid="{5358B472-4702-4865-BFDF-DD43790EAAAE}" uniqueName="1" name="Player" queryTableFieldId="1" dataDxfId="61"/>
    <tableColumn id="2" xr3:uid="{42FD2564-6A91-4DD8-8C10-6C1AAC167DD2}" uniqueName="2" name="Nation" queryTableFieldId="2" dataDxfId="60"/>
    <tableColumn id="37" xr3:uid="{9D2E2DE3-B9C2-4704-BDDC-41E83CF4495A}" uniqueName="37" name="Nation (Lowercase)" queryTableFieldId="36" dataDxfId="59"/>
    <tableColumn id="38" xr3:uid="{758A4121-11C2-4A60-8C23-4AE016866816}" uniqueName="38" name="Nation (Uppercase)" queryTableFieldId="37" dataDxfId="58"/>
    <tableColumn id="3" xr3:uid="{99802F08-9FB5-40B3-A3CC-F85CED8D7CE0}" uniqueName="3" name="Position" queryTableFieldId="3" dataDxfId="57"/>
    <tableColumn id="35" xr3:uid="{9388281E-F258-4AA9-83E2-E2DA2B1CEF9C}" uniqueName="35" name="Main Position" queryTableFieldId="35" dataDxfId="56">
      <calculatedColumnFormula>LEFT(premier_player_23_24[[#This Row],[Position]],2)</calculatedColumnFormula>
    </tableColumn>
    <tableColumn id="4" xr3:uid="{F3B56DDE-72CF-4D3F-A2FE-F6FDBAE30B9C}" uniqueName="4" name="Age" queryTableFieldId="4" dataDxfId="55"/>
    <tableColumn id="40" xr3:uid="{92B60841-3993-43E8-B88E-24B40E0F1920}" uniqueName="40" name="Age Category" queryTableFieldId="39" dataDxfId="23">
      <calculatedColumnFormula>IF(premier_player_23_24[[#This Row],[Age]]&gt;34,"Veterans",IF(premier_player_23_24[[#This Row],[Age]]&gt;29,"Experienced",IF(premier_player_23_24[[#This Row],[Age]]&gt;23,"Prime Age",IF(premier_player_23_24[[#This Row],[Age]]&gt;19,"Youngs","Teenagers"))))</calculatedColumnFormula>
    </tableColumn>
    <tableColumn id="5" xr3:uid="{24A1FE65-538A-4796-9032-E0DAA347FDC1}" uniqueName="5" name="Matches Played" queryTableFieldId="5" dataDxfId="54"/>
    <tableColumn id="6" xr3:uid="{333F0E46-630E-4730-9C4A-2CF5CD788E1B}" uniqueName="6" name="Starts" queryTableFieldId="6" dataDxfId="53"/>
    <tableColumn id="7" xr3:uid="{4BDD8B68-CA95-4020-9164-10E73143CEF1}" uniqueName="7" name="Minutes" queryTableFieldId="7" dataDxfId="52"/>
    <tableColumn id="39" xr3:uid="{5BFF5EEE-6C97-4E09-9951-CBA199C3321C}" uniqueName="39" name="More Than 1000 Minutes" queryTableFieldId="38" dataDxfId="51">
      <calculatedColumnFormula>IF(premier_player_23_24[[#This Row],[Minutes]]&gt;1000,"More than 1000 minutes","Less than 1000 minutes")</calculatedColumnFormula>
    </tableColumn>
    <tableColumn id="8" xr3:uid="{DDB803CD-F824-4A7C-823E-077FE922BD16}" uniqueName="8" name="90s Played" queryTableFieldId="8" dataDxfId="50"/>
    <tableColumn id="9" xr3:uid="{3B7E328C-6742-45D9-84C4-66A3539C51C3}" uniqueName="9" name="Goals" queryTableFieldId="9" dataDxfId="49"/>
    <tableColumn id="10" xr3:uid="{CEDAB0A7-4B90-49AD-8FD0-8245B8E8379E}" uniqueName="10" name="Assists" queryTableFieldId="10" dataDxfId="48"/>
    <tableColumn id="11" xr3:uid="{A2AFFD88-31D0-4E50-A377-49015C78D9A1}" uniqueName="11" name="Goals+Assists" queryTableFieldId="11" dataDxfId="47"/>
    <tableColumn id="12" xr3:uid="{CFE3D006-7147-475D-8B1D-7942048084A0}" uniqueName="12" name="Goals Excluding Penalty" queryTableFieldId="12" dataDxfId="46"/>
    <tableColumn id="13" xr3:uid="{4ABA34AB-ADFC-4CBD-9370-B82102BC430C}" uniqueName="13" name="Penalty" queryTableFieldId="13" dataDxfId="45"/>
    <tableColumn id="14" xr3:uid="{D7919F47-1A70-468D-B762-3A02E64829B3}" uniqueName="14" name="Penalty Kicks Attempted" queryTableFieldId="14" dataDxfId="44"/>
    <tableColumn id="15" xr3:uid="{886A8248-E6D9-49F2-AB6A-3888E3E7F499}" uniqueName="15" name="Yellow Cards" queryTableFieldId="15" dataDxfId="43"/>
    <tableColumn id="16" xr3:uid="{FAAF7742-90E8-4EB2-B00B-1F518B68FEBF}" uniqueName="16" name="Red Cards" queryTableFieldId="16" dataDxfId="42"/>
    <tableColumn id="17" xr3:uid="{AB74A351-8A59-4E56-9BE1-ADB01EC535E6}" uniqueName="17" name="Expected Goals " queryTableFieldId="17" dataDxfId="41"/>
    <tableColumn id="41" xr3:uid="{B2EDD88A-275C-47FA-8034-2415EB9F162C}" uniqueName="41" name="Overperformers" queryTableFieldId="40" dataDxfId="20">
      <calculatedColumnFormula>premier_player_23_24[[#This Row],[Goals]]-premier_player_23_24[[#This Row],[Expected Goals ]]</calculatedColumnFormula>
    </tableColumn>
    <tableColumn id="18" xr3:uid="{208FB721-2287-4BB2-8BBD-9DD1FE3E7330}" uniqueName="18" name="Non-Penalty Expected Goals" queryTableFieldId="18" dataDxfId="40"/>
    <tableColumn id="19" xr3:uid="{546BDC1D-04B5-4829-85B3-03ACFF70EB1E}" uniqueName="19" name="Expected Assists" queryTableFieldId="19" dataDxfId="39"/>
    <tableColumn id="20" xr3:uid="{1C4C7BF5-86AB-4E33-B1A2-33B448E7EA04}" uniqueName="20" name="Non-Penalty xG + xAG" queryTableFieldId="20" dataDxfId="38"/>
    <tableColumn id="21" xr3:uid="{3544EF10-CD64-4EEA-BAE3-02BB5E557DFE}" uniqueName="21" name="Progressive Carries" queryTableFieldId="21" dataDxfId="37"/>
    <tableColumn id="22" xr3:uid="{730EA548-ACA4-4CC0-83BD-48CDB3F185CB}" uniqueName="22" name="Progressive Passes" queryTableFieldId="22" dataDxfId="36"/>
    <tableColumn id="23" xr3:uid="{F0F6BB52-BEDE-4D6D-99F3-6068CCC6D0F7}" uniqueName="23" name="Progressive Runs" queryTableFieldId="23" dataDxfId="35"/>
    <tableColumn id="24" xr3:uid="{F1809CEF-2BDB-402B-B695-FCC7EF749704}" uniqueName="24" name="Goals/90 Minutes" queryTableFieldId="24" dataDxfId="34"/>
    <tableColumn id="25" xr3:uid="{80639ECD-961A-40EF-9F54-2C27B121F0F3}" uniqueName="25" name="Assists/90 Minutes" queryTableFieldId="25" dataDxfId="33"/>
    <tableColumn id="26" xr3:uid="{C04920C7-A3B1-47D5-98D4-A46252A7FB46}" uniqueName="26" name="Goals+Assists/90 Minutes" queryTableFieldId="26" dataDxfId="32"/>
    <tableColumn id="27" xr3:uid="{0E39EDD0-7D96-40E0-A206-C40D596ED391}" uniqueName="27" name="Goals Excluding Penalty/90 Minutes" queryTableFieldId="27" dataDxfId="31"/>
    <tableColumn id="28" xr3:uid="{DD746ED4-22D0-42D7-B325-3822897DA115}" uniqueName="28" name="Goals+Assists-Penalty/90 Minutes" queryTableFieldId="28" dataDxfId="30"/>
    <tableColumn id="29" xr3:uid="{94E69CAC-C910-4E77-9EE3-3E81083C650D}" uniqueName="29" name="Expected Goals/90 Minutes" queryTableFieldId="29" dataDxfId="29"/>
    <tableColumn id="30" xr3:uid="{6BAB191C-8DB0-4672-8DC8-FCA8F29FF1D9}" uniqueName="30" name="Expected Assists/90 Minutes" queryTableFieldId="30" dataDxfId="28"/>
    <tableColumn id="31" xr3:uid="{DD4BCB02-A0A4-4E5A-AADE-47C86E99AC40}" uniqueName="31" name="Expected Goals+Assists/90 Minutes" queryTableFieldId="31" dataDxfId="27"/>
    <tableColumn id="32" xr3:uid="{A3FAC2FC-52D5-4955-8850-05912DBB54BC}" uniqueName="32" name="Non-Penalty Expected Goals/90 Minutes" queryTableFieldId="32" dataDxfId="26"/>
    <tableColumn id="33" xr3:uid="{72A9E53C-AB3D-41D9-A69F-15CD35D96527}" uniqueName="33" name="Non-Penalty xG + Expected Assists/90 Minutes" queryTableFieldId="33" dataDxfId="25"/>
    <tableColumn id="34" xr3:uid="{025A1E7F-B3AF-420E-B85D-B003BD52533A}" uniqueName="34" name="Team" queryTableFieldId="34" dataDxfId="24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Офіс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ivotTable" Target="../pivotTables/pivotTable12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0AA11-FE3A-4688-9078-F32DD286F26E}">
  <dimension ref="A1:AH581"/>
  <sheetViews>
    <sheetView topLeftCell="H1" workbookViewId="0">
      <selection activeCell="U21" sqref="U21"/>
    </sheetView>
  </sheetViews>
  <sheetFormatPr defaultRowHeight="15" x14ac:dyDescent="0.25"/>
  <cols>
    <col min="1" max="1" width="25.7109375" bestFit="1" customWidth="1"/>
    <col min="2" max="2" width="9.28515625" bestFit="1" customWidth="1"/>
    <col min="3" max="3" width="6.85546875" bestFit="1" customWidth="1"/>
    <col min="4" max="4" width="6.5703125" bestFit="1" customWidth="1"/>
    <col min="5" max="5" width="6" bestFit="1" customWidth="1"/>
    <col min="6" max="6" width="8.5703125" bestFit="1" customWidth="1"/>
    <col min="7" max="7" width="6.5703125" bestFit="1" customWidth="1"/>
    <col min="8" max="9" width="6.28515625" bestFit="1" customWidth="1"/>
    <col min="10" max="10" width="6.140625" bestFit="1" customWidth="1"/>
    <col min="11" max="11" width="6.85546875" bestFit="1" customWidth="1"/>
    <col min="12" max="12" width="7.7109375" bestFit="1" customWidth="1"/>
    <col min="13" max="13" width="5.5703125" bestFit="1" customWidth="1"/>
    <col min="14" max="14" width="8" bestFit="1" customWidth="1"/>
    <col min="15" max="15" width="7.7109375" bestFit="1" customWidth="1"/>
    <col min="16" max="16" width="7.85546875" bestFit="1" customWidth="1"/>
    <col min="17" max="17" width="5.7109375" bestFit="1" customWidth="1"/>
    <col min="18" max="18" width="8" bestFit="1" customWidth="1"/>
    <col min="19" max="19" width="6.85546875" bestFit="1" customWidth="1"/>
    <col min="20" max="20" width="12.5703125" bestFit="1" customWidth="1"/>
    <col min="21" max="21" width="7.5703125" bestFit="1" customWidth="1"/>
    <col min="22" max="22" width="7.28515625" bestFit="1" customWidth="1"/>
    <col min="23" max="23" width="7.42578125" bestFit="1" customWidth="1"/>
    <col min="25" max="25" width="9" bestFit="1" customWidth="1"/>
    <col min="26" max="26" width="9.7109375" bestFit="1" customWidth="1"/>
    <col min="27" max="27" width="10.5703125" bestFit="1" customWidth="1"/>
    <col min="28" max="28" width="12.7109375" bestFit="1" customWidth="1"/>
    <col min="29" max="29" width="8.5703125" bestFit="1" customWidth="1"/>
    <col min="30" max="30" width="9.7109375" bestFit="1" customWidth="1"/>
    <col min="31" max="31" width="13.140625" bestFit="1" customWidth="1"/>
    <col min="32" max="32" width="10.85546875" bestFit="1" customWidth="1"/>
    <col min="33" max="33" width="15.5703125" bestFit="1" customWidth="1"/>
    <col min="34" max="34" width="18.140625" bestFit="1" customWidth="1"/>
  </cols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5">
      <c r="A2" t="s">
        <v>34</v>
      </c>
      <c r="B2" t="s">
        <v>35</v>
      </c>
      <c r="C2" t="s">
        <v>36</v>
      </c>
      <c r="D2" t="s">
        <v>37</v>
      </c>
      <c r="E2">
        <v>34</v>
      </c>
      <c r="F2">
        <v>34</v>
      </c>
      <c r="G2" t="s">
        <v>38</v>
      </c>
      <c r="H2" t="s">
        <v>39</v>
      </c>
      <c r="I2" t="s">
        <v>40</v>
      </c>
      <c r="J2" t="s">
        <v>41</v>
      </c>
      <c r="K2" t="s">
        <v>42</v>
      </c>
      <c r="L2" t="s">
        <v>40</v>
      </c>
      <c r="M2" t="s">
        <v>43</v>
      </c>
      <c r="N2" t="s">
        <v>43</v>
      </c>
      <c r="O2" t="s">
        <v>40</v>
      </c>
      <c r="P2" t="s">
        <v>44</v>
      </c>
      <c r="Q2" t="s">
        <v>45</v>
      </c>
      <c r="R2" t="s">
        <v>45</v>
      </c>
      <c r="S2" t="s">
        <v>46</v>
      </c>
      <c r="T2" t="s">
        <v>40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50</v>
      </c>
      <c r="AB2" t="s">
        <v>52</v>
      </c>
      <c r="AC2" t="s">
        <v>53</v>
      </c>
      <c r="AD2" t="s">
        <v>53</v>
      </c>
      <c r="AE2" t="s">
        <v>54</v>
      </c>
      <c r="AF2" t="s">
        <v>53</v>
      </c>
      <c r="AG2" t="s">
        <v>54</v>
      </c>
      <c r="AH2" t="s">
        <v>55</v>
      </c>
    </row>
    <row r="3" spans="1:34" x14ac:dyDescent="0.25">
      <c r="A3" t="s">
        <v>56</v>
      </c>
      <c r="B3" t="s">
        <v>57</v>
      </c>
      <c r="C3" t="s">
        <v>58</v>
      </c>
      <c r="D3" t="s">
        <v>59</v>
      </c>
      <c r="E3">
        <v>35</v>
      </c>
      <c r="F3">
        <v>33</v>
      </c>
      <c r="G3" t="s">
        <v>60</v>
      </c>
      <c r="H3" t="s">
        <v>61</v>
      </c>
      <c r="I3" t="s">
        <v>62</v>
      </c>
      <c r="J3" t="s">
        <v>40</v>
      </c>
      <c r="K3" t="s">
        <v>37</v>
      </c>
      <c r="L3" t="s">
        <v>62</v>
      </c>
      <c r="M3" t="s">
        <v>43</v>
      </c>
      <c r="N3" t="s">
        <v>43</v>
      </c>
      <c r="O3" t="s">
        <v>63</v>
      </c>
      <c r="P3" t="s">
        <v>43</v>
      </c>
      <c r="Q3" t="s">
        <v>64</v>
      </c>
      <c r="R3" t="s">
        <v>64</v>
      </c>
      <c r="S3" t="s">
        <v>65</v>
      </c>
      <c r="T3" t="s">
        <v>66</v>
      </c>
      <c r="U3" t="s">
        <v>67</v>
      </c>
      <c r="V3" t="s">
        <v>68</v>
      </c>
      <c r="W3" t="s">
        <v>69</v>
      </c>
      <c r="X3" t="s">
        <v>70</v>
      </c>
      <c r="Y3" t="s">
        <v>50</v>
      </c>
      <c r="Z3" t="s">
        <v>71</v>
      </c>
      <c r="AA3" t="s">
        <v>70</v>
      </c>
      <c r="AB3" t="s">
        <v>71</v>
      </c>
      <c r="AC3" t="s">
        <v>72</v>
      </c>
      <c r="AD3" t="s">
        <v>73</v>
      </c>
      <c r="AE3" t="s">
        <v>74</v>
      </c>
      <c r="AF3" t="s">
        <v>72</v>
      </c>
      <c r="AG3" t="s">
        <v>74</v>
      </c>
      <c r="AH3" t="s">
        <v>55</v>
      </c>
    </row>
    <row r="4" spans="1:34" x14ac:dyDescent="0.25">
      <c r="A4" t="s">
        <v>75</v>
      </c>
      <c r="B4" t="s">
        <v>76</v>
      </c>
      <c r="C4" t="s">
        <v>77</v>
      </c>
      <c r="D4" t="s">
        <v>78</v>
      </c>
      <c r="E4">
        <v>33</v>
      </c>
      <c r="F4">
        <v>33</v>
      </c>
      <c r="G4" t="s">
        <v>79</v>
      </c>
      <c r="H4" t="s">
        <v>80</v>
      </c>
      <c r="I4" t="s">
        <v>43</v>
      </c>
      <c r="J4" t="s">
        <v>43</v>
      </c>
      <c r="K4" t="s">
        <v>43</v>
      </c>
      <c r="L4" t="s">
        <v>43</v>
      </c>
      <c r="M4" t="s">
        <v>43</v>
      </c>
      <c r="N4" t="s">
        <v>43</v>
      </c>
      <c r="O4" t="s">
        <v>81</v>
      </c>
      <c r="P4" t="s">
        <v>43</v>
      </c>
      <c r="Q4" t="s">
        <v>43</v>
      </c>
      <c r="R4" t="s">
        <v>43</v>
      </c>
      <c r="S4" t="s">
        <v>82</v>
      </c>
      <c r="T4" t="s">
        <v>82</v>
      </c>
      <c r="U4" t="s">
        <v>43</v>
      </c>
      <c r="V4" t="s">
        <v>83</v>
      </c>
      <c r="W4" t="s">
        <v>43</v>
      </c>
      <c r="X4" t="s">
        <v>43</v>
      </c>
      <c r="Y4" t="s">
        <v>43</v>
      </c>
      <c r="Z4" t="s">
        <v>43</v>
      </c>
      <c r="AA4" t="s">
        <v>43</v>
      </c>
      <c r="AB4" t="s">
        <v>43</v>
      </c>
      <c r="AC4" t="s">
        <v>43</v>
      </c>
      <c r="AD4" t="s">
        <v>43</v>
      </c>
      <c r="AE4" t="s">
        <v>43</v>
      </c>
      <c r="AF4" t="s">
        <v>43</v>
      </c>
      <c r="AG4" t="s">
        <v>43</v>
      </c>
      <c r="AH4" t="s">
        <v>55</v>
      </c>
    </row>
    <row r="5" spans="1:34" x14ac:dyDescent="0.25">
      <c r="A5" t="s">
        <v>84</v>
      </c>
      <c r="B5" t="s">
        <v>85</v>
      </c>
      <c r="C5" t="s">
        <v>86</v>
      </c>
      <c r="D5" t="s">
        <v>59</v>
      </c>
      <c r="E5">
        <v>36</v>
      </c>
      <c r="F5">
        <v>31</v>
      </c>
      <c r="G5" t="s">
        <v>87</v>
      </c>
      <c r="H5" t="s">
        <v>88</v>
      </c>
      <c r="I5" t="s">
        <v>89</v>
      </c>
      <c r="J5" t="s">
        <v>40</v>
      </c>
      <c r="K5" t="s">
        <v>62</v>
      </c>
      <c r="L5" t="s">
        <v>41</v>
      </c>
      <c r="M5" t="s">
        <v>63</v>
      </c>
      <c r="N5" t="s">
        <v>63</v>
      </c>
      <c r="O5" t="s">
        <v>63</v>
      </c>
      <c r="P5" t="s">
        <v>43</v>
      </c>
      <c r="Q5" t="s">
        <v>90</v>
      </c>
      <c r="R5" t="s">
        <v>91</v>
      </c>
      <c r="S5" t="s">
        <v>92</v>
      </c>
      <c r="T5" t="s">
        <v>93</v>
      </c>
      <c r="U5" t="s">
        <v>94</v>
      </c>
      <c r="V5" t="s">
        <v>95</v>
      </c>
      <c r="W5" t="s">
        <v>96</v>
      </c>
      <c r="X5" t="s">
        <v>97</v>
      </c>
      <c r="Y5" t="s">
        <v>98</v>
      </c>
      <c r="Z5" t="s">
        <v>99</v>
      </c>
      <c r="AA5" t="s">
        <v>100</v>
      </c>
      <c r="AB5" t="s">
        <v>101</v>
      </c>
      <c r="AC5" t="s">
        <v>102</v>
      </c>
      <c r="AD5" t="s">
        <v>103</v>
      </c>
      <c r="AE5" t="s">
        <v>104</v>
      </c>
      <c r="AF5" t="s">
        <v>105</v>
      </c>
      <c r="AG5" t="s">
        <v>106</v>
      </c>
      <c r="AH5" t="s">
        <v>55</v>
      </c>
    </row>
    <row r="6" spans="1:34" x14ac:dyDescent="0.25">
      <c r="A6" t="s">
        <v>107</v>
      </c>
      <c r="B6" t="s">
        <v>57</v>
      </c>
      <c r="C6" t="s">
        <v>108</v>
      </c>
      <c r="D6" t="s">
        <v>109</v>
      </c>
      <c r="E6">
        <v>32</v>
      </c>
      <c r="F6">
        <v>30</v>
      </c>
      <c r="G6" t="s">
        <v>110</v>
      </c>
      <c r="H6" t="s">
        <v>111</v>
      </c>
      <c r="I6" t="s">
        <v>43</v>
      </c>
      <c r="J6" t="s">
        <v>83</v>
      </c>
      <c r="K6" t="s">
        <v>83</v>
      </c>
      <c r="L6" t="s">
        <v>43</v>
      </c>
      <c r="M6" t="s">
        <v>43</v>
      </c>
      <c r="N6" t="s">
        <v>43</v>
      </c>
      <c r="O6" t="s">
        <v>63</v>
      </c>
      <c r="P6" t="s">
        <v>43</v>
      </c>
      <c r="Q6" t="s">
        <v>112</v>
      </c>
      <c r="R6" t="s">
        <v>112</v>
      </c>
      <c r="S6" t="s">
        <v>113</v>
      </c>
      <c r="T6" t="s">
        <v>114</v>
      </c>
      <c r="U6" t="s">
        <v>115</v>
      </c>
      <c r="V6" t="s">
        <v>116</v>
      </c>
      <c r="W6" t="s">
        <v>117</v>
      </c>
      <c r="X6" t="s">
        <v>43</v>
      </c>
      <c r="Y6" t="s">
        <v>118</v>
      </c>
      <c r="Z6" t="s">
        <v>118</v>
      </c>
      <c r="AA6" t="s">
        <v>43</v>
      </c>
      <c r="AB6" t="s">
        <v>118</v>
      </c>
      <c r="AC6" t="s">
        <v>119</v>
      </c>
      <c r="AD6" t="s">
        <v>120</v>
      </c>
      <c r="AE6" t="s">
        <v>82</v>
      </c>
      <c r="AF6" t="s">
        <v>119</v>
      </c>
      <c r="AG6" t="s">
        <v>82</v>
      </c>
      <c r="AH6" t="s">
        <v>55</v>
      </c>
    </row>
    <row r="7" spans="1:34" x14ac:dyDescent="0.25">
      <c r="A7" t="s">
        <v>121</v>
      </c>
      <c r="B7" t="s">
        <v>122</v>
      </c>
      <c r="C7" t="s">
        <v>86</v>
      </c>
      <c r="D7" t="s">
        <v>123</v>
      </c>
      <c r="E7">
        <v>33</v>
      </c>
      <c r="F7">
        <v>29</v>
      </c>
      <c r="G7" t="s">
        <v>124</v>
      </c>
      <c r="H7" t="s">
        <v>125</v>
      </c>
      <c r="I7" t="s">
        <v>126</v>
      </c>
      <c r="J7" t="s">
        <v>41</v>
      </c>
      <c r="K7" t="s">
        <v>127</v>
      </c>
      <c r="L7" t="s">
        <v>126</v>
      </c>
      <c r="M7" t="s">
        <v>43</v>
      </c>
      <c r="N7" t="s">
        <v>43</v>
      </c>
      <c r="O7" t="s">
        <v>40</v>
      </c>
      <c r="P7" t="s">
        <v>43</v>
      </c>
      <c r="Q7" t="s">
        <v>128</v>
      </c>
      <c r="R7" t="s">
        <v>128</v>
      </c>
      <c r="S7" t="s">
        <v>129</v>
      </c>
      <c r="T7" t="s">
        <v>130</v>
      </c>
      <c r="U7" t="s">
        <v>131</v>
      </c>
      <c r="V7" t="s">
        <v>132</v>
      </c>
      <c r="W7" t="s">
        <v>133</v>
      </c>
      <c r="X7" t="s">
        <v>134</v>
      </c>
      <c r="Y7" t="s">
        <v>100</v>
      </c>
      <c r="Z7" t="s">
        <v>52</v>
      </c>
      <c r="AA7" t="s">
        <v>134</v>
      </c>
      <c r="AB7" t="s">
        <v>52</v>
      </c>
      <c r="AC7" t="s">
        <v>118</v>
      </c>
      <c r="AD7" t="s">
        <v>98</v>
      </c>
      <c r="AE7" t="s">
        <v>112</v>
      </c>
      <c r="AF7" t="s">
        <v>118</v>
      </c>
      <c r="AG7" t="s">
        <v>112</v>
      </c>
      <c r="AH7" t="s">
        <v>55</v>
      </c>
    </row>
    <row r="8" spans="1:34" x14ac:dyDescent="0.25">
      <c r="A8" t="s">
        <v>135</v>
      </c>
      <c r="B8" t="s">
        <v>136</v>
      </c>
      <c r="C8" t="s">
        <v>137</v>
      </c>
      <c r="D8" t="s">
        <v>59</v>
      </c>
      <c r="E8">
        <v>31</v>
      </c>
      <c r="F8">
        <v>29</v>
      </c>
      <c r="G8" t="s">
        <v>138</v>
      </c>
      <c r="H8" t="s">
        <v>139</v>
      </c>
      <c r="I8" t="s">
        <v>37</v>
      </c>
      <c r="J8" t="s">
        <v>81</v>
      </c>
      <c r="K8" t="s">
        <v>140</v>
      </c>
      <c r="L8" t="s">
        <v>141</v>
      </c>
      <c r="M8" t="s">
        <v>142</v>
      </c>
      <c r="N8" t="s">
        <v>40</v>
      </c>
      <c r="O8" t="s">
        <v>44</v>
      </c>
      <c r="P8" t="s">
        <v>43</v>
      </c>
      <c r="Q8" t="s">
        <v>143</v>
      </c>
      <c r="R8" t="s">
        <v>144</v>
      </c>
      <c r="S8" t="s">
        <v>145</v>
      </c>
      <c r="T8" t="s">
        <v>146</v>
      </c>
      <c r="U8" t="s">
        <v>147</v>
      </c>
      <c r="V8" t="s">
        <v>148</v>
      </c>
      <c r="W8" t="s">
        <v>149</v>
      </c>
      <c r="X8" t="s">
        <v>150</v>
      </c>
      <c r="Y8" t="s">
        <v>151</v>
      </c>
      <c r="Z8" t="s">
        <v>152</v>
      </c>
      <c r="AA8" t="s">
        <v>153</v>
      </c>
      <c r="AB8" t="s">
        <v>154</v>
      </c>
      <c r="AC8" t="s">
        <v>155</v>
      </c>
      <c r="AD8" t="s">
        <v>156</v>
      </c>
      <c r="AE8" t="s">
        <v>157</v>
      </c>
      <c r="AF8" t="s">
        <v>158</v>
      </c>
      <c r="AG8" t="s">
        <v>159</v>
      </c>
      <c r="AH8" t="s">
        <v>55</v>
      </c>
    </row>
    <row r="9" spans="1:34" x14ac:dyDescent="0.25">
      <c r="A9" t="s">
        <v>160</v>
      </c>
      <c r="B9" t="s">
        <v>122</v>
      </c>
      <c r="C9" t="s">
        <v>108</v>
      </c>
      <c r="D9" t="s">
        <v>148</v>
      </c>
      <c r="E9">
        <v>30</v>
      </c>
      <c r="F9">
        <v>28</v>
      </c>
      <c r="G9" t="s">
        <v>161</v>
      </c>
      <c r="H9" t="s">
        <v>139</v>
      </c>
      <c r="I9" t="s">
        <v>43</v>
      </c>
      <c r="J9" t="s">
        <v>43</v>
      </c>
      <c r="K9" t="s">
        <v>43</v>
      </c>
      <c r="L9" t="s">
        <v>43</v>
      </c>
      <c r="M9" t="s">
        <v>43</v>
      </c>
      <c r="N9" t="s">
        <v>43</v>
      </c>
      <c r="O9" t="s">
        <v>43</v>
      </c>
      <c r="P9" t="s">
        <v>43</v>
      </c>
      <c r="Q9" t="s">
        <v>162</v>
      </c>
      <c r="R9" t="s">
        <v>162</v>
      </c>
      <c r="S9" t="s">
        <v>163</v>
      </c>
      <c r="T9" t="s">
        <v>164</v>
      </c>
      <c r="U9" t="s">
        <v>165</v>
      </c>
      <c r="V9" t="s">
        <v>166</v>
      </c>
      <c r="W9" t="s">
        <v>167</v>
      </c>
      <c r="X9" t="s">
        <v>43</v>
      </c>
      <c r="Y9" t="s">
        <v>43</v>
      </c>
      <c r="Z9" t="s">
        <v>43</v>
      </c>
      <c r="AA9" t="s">
        <v>43</v>
      </c>
      <c r="AB9" t="s">
        <v>43</v>
      </c>
      <c r="AC9" t="s">
        <v>168</v>
      </c>
      <c r="AD9" t="s">
        <v>119</v>
      </c>
      <c r="AE9" t="s">
        <v>169</v>
      </c>
      <c r="AF9" t="s">
        <v>168</v>
      </c>
      <c r="AG9" t="s">
        <v>169</v>
      </c>
      <c r="AH9" t="s">
        <v>55</v>
      </c>
    </row>
    <row r="10" spans="1:34" x14ac:dyDescent="0.25">
      <c r="A10" t="s">
        <v>170</v>
      </c>
      <c r="B10" t="s">
        <v>171</v>
      </c>
      <c r="C10" t="s">
        <v>172</v>
      </c>
      <c r="D10" t="s">
        <v>123</v>
      </c>
      <c r="E10">
        <v>30</v>
      </c>
      <c r="F10">
        <v>28</v>
      </c>
      <c r="G10" t="s">
        <v>173</v>
      </c>
      <c r="H10" t="s">
        <v>174</v>
      </c>
      <c r="I10" t="s">
        <v>63</v>
      </c>
      <c r="J10" t="s">
        <v>43</v>
      </c>
      <c r="K10" t="s">
        <v>63</v>
      </c>
      <c r="L10" t="s">
        <v>63</v>
      </c>
      <c r="M10" t="s">
        <v>43</v>
      </c>
      <c r="N10" t="s">
        <v>43</v>
      </c>
      <c r="O10" t="s">
        <v>83</v>
      </c>
      <c r="P10" t="s">
        <v>44</v>
      </c>
      <c r="Q10" t="s">
        <v>175</v>
      </c>
      <c r="R10" t="s">
        <v>175</v>
      </c>
      <c r="S10" t="s">
        <v>176</v>
      </c>
      <c r="T10" t="s">
        <v>177</v>
      </c>
      <c r="U10" t="s">
        <v>178</v>
      </c>
      <c r="V10" t="s">
        <v>179</v>
      </c>
      <c r="W10" t="s">
        <v>180</v>
      </c>
      <c r="X10" t="s">
        <v>181</v>
      </c>
      <c r="Y10" t="s">
        <v>43</v>
      </c>
      <c r="Z10" t="s">
        <v>181</v>
      </c>
      <c r="AA10" t="s">
        <v>181</v>
      </c>
      <c r="AB10" t="s">
        <v>181</v>
      </c>
      <c r="AC10" t="s">
        <v>181</v>
      </c>
      <c r="AD10" t="s">
        <v>182</v>
      </c>
      <c r="AE10" t="s">
        <v>120</v>
      </c>
      <c r="AF10" t="s">
        <v>181</v>
      </c>
      <c r="AG10" t="s">
        <v>120</v>
      </c>
      <c r="AH10" t="s">
        <v>55</v>
      </c>
    </row>
    <row r="11" spans="1:34" x14ac:dyDescent="0.25">
      <c r="A11" t="s">
        <v>183</v>
      </c>
      <c r="B11" t="s">
        <v>184</v>
      </c>
      <c r="C11" t="s">
        <v>108</v>
      </c>
      <c r="D11" t="s">
        <v>185</v>
      </c>
      <c r="E11">
        <v>28</v>
      </c>
      <c r="F11">
        <v>26</v>
      </c>
      <c r="G11" t="s">
        <v>186</v>
      </c>
      <c r="H11" t="s">
        <v>187</v>
      </c>
      <c r="I11" t="s">
        <v>83</v>
      </c>
      <c r="J11" t="s">
        <v>44</v>
      </c>
      <c r="K11" t="s">
        <v>81</v>
      </c>
      <c r="L11" t="s">
        <v>83</v>
      </c>
      <c r="M11" t="s">
        <v>43</v>
      </c>
      <c r="N11" t="s">
        <v>43</v>
      </c>
      <c r="O11" t="s">
        <v>114</v>
      </c>
      <c r="P11" t="s">
        <v>43</v>
      </c>
      <c r="Q11" t="s">
        <v>188</v>
      </c>
      <c r="R11" t="s">
        <v>188</v>
      </c>
      <c r="S11" t="s">
        <v>162</v>
      </c>
      <c r="T11" t="s">
        <v>189</v>
      </c>
      <c r="U11" t="s">
        <v>190</v>
      </c>
      <c r="V11" t="s">
        <v>191</v>
      </c>
      <c r="W11" t="s">
        <v>192</v>
      </c>
      <c r="X11" t="s">
        <v>156</v>
      </c>
      <c r="Y11" t="s">
        <v>193</v>
      </c>
      <c r="Z11" t="s">
        <v>194</v>
      </c>
      <c r="AA11" t="s">
        <v>156</v>
      </c>
      <c r="AB11" t="s">
        <v>194</v>
      </c>
      <c r="AC11" t="s">
        <v>53</v>
      </c>
      <c r="AD11" t="s">
        <v>169</v>
      </c>
      <c r="AE11" t="s">
        <v>151</v>
      </c>
      <c r="AF11" t="s">
        <v>53</v>
      </c>
      <c r="AG11" t="s">
        <v>151</v>
      </c>
      <c r="AH11" t="s">
        <v>55</v>
      </c>
    </row>
    <row r="12" spans="1:34" x14ac:dyDescent="0.25">
      <c r="A12" t="s">
        <v>195</v>
      </c>
      <c r="B12" t="s">
        <v>196</v>
      </c>
      <c r="C12" t="s">
        <v>108</v>
      </c>
      <c r="D12" t="s">
        <v>123</v>
      </c>
      <c r="E12">
        <v>29</v>
      </c>
      <c r="F12">
        <v>24</v>
      </c>
      <c r="G12" t="s">
        <v>197</v>
      </c>
      <c r="H12" t="s">
        <v>198</v>
      </c>
      <c r="I12" t="s">
        <v>63</v>
      </c>
      <c r="J12" t="s">
        <v>63</v>
      </c>
      <c r="K12" t="s">
        <v>83</v>
      </c>
      <c r="L12" t="s">
        <v>63</v>
      </c>
      <c r="M12" t="s">
        <v>43</v>
      </c>
      <c r="N12" t="s">
        <v>43</v>
      </c>
      <c r="O12" t="s">
        <v>43</v>
      </c>
      <c r="P12" t="s">
        <v>43</v>
      </c>
      <c r="Q12" t="s">
        <v>199</v>
      </c>
      <c r="R12" t="s">
        <v>199</v>
      </c>
      <c r="S12" t="s">
        <v>200</v>
      </c>
      <c r="T12" t="s">
        <v>128</v>
      </c>
      <c r="U12" t="s">
        <v>201</v>
      </c>
      <c r="V12" t="s">
        <v>202</v>
      </c>
      <c r="W12" t="s">
        <v>203</v>
      </c>
      <c r="X12" t="s">
        <v>120</v>
      </c>
      <c r="Y12" t="s">
        <v>120</v>
      </c>
      <c r="Z12" t="s">
        <v>151</v>
      </c>
      <c r="AA12" t="s">
        <v>120</v>
      </c>
      <c r="AB12" t="s">
        <v>151</v>
      </c>
      <c r="AC12" t="s">
        <v>204</v>
      </c>
      <c r="AD12" t="s">
        <v>168</v>
      </c>
      <c r="AE12" t="s">
        <v>205</v>
      </c>
      <c r="AF12" t="s">
        <v>204</v>
      </c>
      <c r="AG12" t="s">
        <v>205</v>
      </c>
      <c r="AH12" t="s">
        <v>55</v>
      </c>
    </row>
    <row r="13" spans="1:34" x14ac:dyDescent="0.25">
      <c r="A13" t="s">
        <v>206</v>
      </c>
      <c r="B13" t="s">
        <v>207</v>
      </c>
      <c r="C13" t="s">
        <v>58</v>
      </c>
      <c r="D13" t="s">
        <v>185</v>
      </c>
      <c r="E13">
        <v>29</v>
      </c>
      <c r="F13">
        <v>18</v>
      </c>
      <c r="G13" t="s">
        <v>208</v>
      </c>
      <c r="H13" t="s">
        <v>209</v>
      </c>
      <c r="I13" t="s">
        <v>114</v>
      </c>
      <c r="J13" t="s">
        <v>40</v>
      </c>
      <c r="K13" t="s">
        <v>89</v>
      </c>
      <c r="L13" t="s">
        <v>114</v>
      </c>
      <c r="M13" t="s">
        <v>43</v>
      </c>
      <c r="N13" t="s">
        <v>43</v>
      </c>
      <c r="O13" t="s">
        <v>114</v>
      </c>
      <c r="P13" t="s">
        <v>43</v>
      </c>
      <c r="Q13" t="s">
        <v>199</v>
      </c>
      <c r="R13" t="s">
        <v>199</v>
      </c>
      <c r="S13" t="s">
        <v>210</v>
      </c>
      <c r="T13" t="s">
        <v>211</v>
      </c>
      <c r="U13" t="s">
        <v>212</v>
      </c>
      <c r="V13" t="s">
        <v>213</v>
      </c>
      <c r="W13" t="s">
        <v>214</v>
      </c>
      <c r="X13" t="s">
        <v>215</v>
      </c>
      <c r="Y13" t="s">
        <v>216</v>
      </c>
      <c r="Z13" t="s">
        <v>217</v>
      </c>
      <c r="AA13" t="s">
        <v>215</v>
      </c>
      <c r="AB13" t="s">
        <v>217</v>
      </c>
      <c r="AC13" t="s">
        <v>218</v>
      </c>
      <c r="AD13" t="s">
        <v>73</v>
      </c>
      <c r="AE13" t="s">
        <v>112</v>
      </c>
      <c r="AF13" t="s">
        <v>218</v>
      </c>
      <c r="AG13" t="s">
        <v>112</v>
      </c>
      <c r="AH13" t="s">
        <v>55</v>
      </c>
    </row>
    <row r="14" spans="1:34" x14ac:dyDescent="0.25">
      <c r="A14" t="s">
        <v>219</v>
      </c>
      <c r="B14" t="s">
        <v>184</v>
      </c>
      <c r="C14" t="s">
        <v>36</v>
      </c>
      <c r="D14" t="s">
        <v>78</v>
      </c>
      <c r="E14">
        <v>30</v>
      </c>
      <c r="F14">
        <v>16</v>
      </c>
      <c r="G14" t="s">
        <v>220</v>
      </c>
      <c r="H14" t="s">
        <v>221</v>
      </c>
      <c r="I14" t="s">
        <v>44</v>
      </c>
      <c r="J14" t="s">
        <v>43</v>
      </c>
      <c r="K14" t="s">
        <v>44</v>
      </c>
      <c r="L14" t="s">
        <v>44</v>
      </c>
      <c r="M14" t="s">
        <v>43</v>
      </c>
      <c r="N14" t="s">
        <v>43</v>
      </c>
      <c r="O14" t="s">
        <v>83</v>
      </c>
      <c r="P14" t="s">
        <v>43</v>
      </c>
      <c r="Q14" t="s">
        <v>222</v>
      </c>
      <c r="R14" t="s">
        <v>222</v>
      </c>
      <c r="S14" t="s">
        <v>223</v>
      </c>
      <c r="T14" t="s">
        <v>224</v>
      </c>
      <c r="U14" t="s">
        <v>225</v>
      </c>
      <c r="V14" t="s">
        <v>226</v>
      </c>
      <c r="W14" t="s">
        <v>227</v>
      </c>
      <c r="X14" t="s">
        <v>169</v>
      </c>
      <c r="Y14" t="s">
        <v>43</v>
      </c>
      <c r="Z14" t="s">
        <v>169</v>
      </c>
      <c r="AA14" t="s">
        <v>169</v>
      </c>
      <c r="AB14" t="s">
        <v>169</v>
      </c>
      <c r="AC14" t="s">
        <v>181</v>
      </c>
      <c r="AD14" t="s">
        <v>120</v>
      </c>
      <c r="AE14" t="s">
        <v>215</v>
      </c>
      <c r="AF14" t="s">
        <v>181</v>
      </c>
      <c r="AG14" t="s">
        <v>215</v>
      </c>
      <c r="AH14" t="s">
        <v>55</v>
      </c>
    </row>
    <row r="15" spans="1:34" x14ac:dyDescent="0.25">
      <c r="A15" t="s">
        <v>228</v>
      </c>
      <c r="B15" t="s">
        <v>207</v>
      </c>
      <c r="C15" t="s">
        <v>36</v>
      </c>
      <c r="D15" t="s">
        <v>140</v>
      </c>
      <c r="E15">
        <v>18</v>
      </c>
      <c r="F15">
        <v>15</v>
      </c>
      <c r="G15" t="s">
        <v>229</v>
      </c>
      <c r="H15" t="s">
        <v>230</v>
      </c>
      <c r="I15" t="s">
        <v>83</v>
      </c>
      <c r="J15" t="s">
        <v>231</v>
      </c>
      <c r="K15" t="s">
        <v>232</v>
      </c>
      <c r="L15" t="s">
        <v>83</v>
      </c>
      <c r="M15" t="s">
        <v>43</v>
      </c>
      <c r="N15" t="s">
        <v>43</v>
      </c>
      <c r="O15" t="s">
        <v>63</v>
      </c>
      <c r="P15" t="s">
        <v>43</v>
      </c>
      <c r="Q15" t="s">
        <v>177</v>
      </c>
      <c r="R15" t="s">
        <v>177</v>
      </c>
      <c r="S15" t="s">
        <v>91</v>
      </c>
      <c r="T15" t="s">
        <v>232</v>
      </c>
      <c r="U15" t="s">
        <v>233</v>
      </c>
      <c r="V15" t="s">
        <v>234</v>
      </c>
      <c r="W15" t="s">
        <v>235</v>
      </c>
      <c r="X15" t="s">
        <v>236</v>
      </c>
      <c r="Y15" t="s">
        <v>237</v>
      </c>
      <c r="Z15" t="s">
        <v>155</v>
      </c>
      <c r="AA15" t="s">
        <v>236</v>
      </c>
      <c r="AB15" t="s">
        <v>155</v>
      </c>
      <c r="AC15" t="s">
        <v>151</v>
      </c>
      <c r="AD15" t="s">
        <v>71</v>
      </c>
      <c r="AE15" t="s">
        <v>155</v>
      </c>
      <c r="AF15" t="s">
        <v>151</v>
      </c>
      <c r="AG15" t="s">
        <v>155</v>
      </c>
      <c r="AH15" t="s">
        <v>55</v>
      </c>
    </row>
    <row r="16" spans="1:34" x14ac:dyDescent="0.25">
      <c r="A16" t="s">
        <v>238</v>
      </c>
      <c r="B16" t="s">
        <v>57</v>
      </c>
      <c r="C16" t="s">
        <v>172</v>
      </c>
      <c r="D16" t="s">
        <v>78</v>
      </c>
      <c r="E16">
        <v>16</v>
      </c>
      <c r="F16">
        <v>12</v>
      </c>
      <c r="G16" t="s">
        <v>239</v>
      </c>
      <c r="H16" t="s">
        <v>240</v>
      </c>
      <c r="I16" t="s">
        <v>44</v>
      </c>
      <c r="J16" t="s">
        <v>43</v>
      </c>
      <c r="K16" t="s">
        <v>44</v>
      </c>
      <c r="L16" t="s">
        <v>44</v>
      </c>
      <c r="M16" t="s">
        <v>43</v>
      </c>
      <c r="N16" t="s">
        <v>43</v>
      </c>
      <c r="O16" t="s">
        <v>63</v>
      </c>
      <c r="P16" t="s">
        <v>43</v>
      </c>
      <c r="Q16" t="s">
        <v>44</v>
      </c>
      <c r="R16" t="s">
        <v>44</v>
      </c>
      <c r="S16" t="s">
        <v>241</v>
      </c>
      <c r="T16" t="s">
        <v>222</v>
      </c>
      <c r="U16" t="s">
        <v>167</v>
      </c>
      <c r="V16" t="s">
        <v>213</v>
      </c>
      <c r="W16" t="s">
        <v>201</v>
      </c>
      <c r="X16" t="s">
        <v>242</v>
      </c>
      <c r="Y16" t="s">
        <v>43</v>
      </c>
      <c r="Z16" t="s">
        <v>242</v>
      </c>
      <c r="AA16" t="s">
        <v>242</v>
      </c>
      <c r="AB16" t="s">
        <v>242</v>
      </c>
      <c r="AC16" t="s">
        <v>120</v>
      </c>
      <c r="AD16" t="s">
        <v>182</v>
      </c>
      <c r="AE16" t="s">
        <v>204</v>
      </c>
      <c r="AF16" t="s">
        <v>120</v>
      </c>
      <c r="AG16" t="s">
        <v>204</v>
      </c>
      <c r="AH16" t="s">
        <v>55</v>
      </c>
    </row>
    <row r="17" spans="1:34" x14ac:dyDescent="0.25">
      <c r="A17" t="s">
        <v>243</v>
      </c>
      <c r="B17" t="s">
        <v>57</v>
      </c>
      <c r="C17" t="s">
        <v>58</v>
      </c>
      <c r="D17" t="s">
        <v>37</v>
      </c>
      <c r="E17">
        <v>20</v>
      </c>
      <c r="F17">
        <v>10</v>
      </c>
      <c r="G17" t="s">
        <v>244</v>
      </c>
      <c r="H17" t="s">
        <v>245</v>
      </c>
      <c r="I17" t="s">
        <v>114</v>
      </c>
      <c r="J17" t="s">
        <v>44</v>
      </c>
      <c r="K17" t="s">
        <v>83</v>
      </c>
      <c r="L17" t="s">
        <v>114</v>
      </c>
      <c r="M17" t="s">
        <v>43</v>
      </c>
      <c r="N17" t="s">
        <v>43</v>
      </c>
      <c r="O17" t="s">
        <v>126</v>
      </c>
      <c r="P17" t="s">
        <v>43</v>
      </c>
      <c r="Q17" t="s">
        <v>246</v>
      </c>
      <c r="R17" t="s">
        <v>246</v>
      </c>
      <c r="S17" t="s">
        <v>199</v>
      </c>
      <c r="T17" t="s">
        <v>210</v>
      </c>
      <c r="U17" t="s">
        <v>247</v>
      </c>
      <c r="V17" t="s">
        <v>248</v>
      </c>
      <c r="W17" t="s">
        <v>249</v>
      </c>
      <c r="X17" t="s">
        <v>98</v>
      </c>
      <c r="Y17" t="s">
        <v>120</v>
      </c>
      <c r="Z17" t="s">
        <v>250</v>
      </c>
      <c r="AA17" t="s">
        <v>98</v>
      </c>
      <c r="AB17" t="s">
        <v>250</v>
      </c>
      <c r="AC17" t="s">
        <v>194</v>
      </c>
      <c r="AD17" t="s">
        <v>103</v>
      </c>
      <c r="AE17" t="s">
        <v>251</v>
      </c>
      <c r="AF17" t="s">
        <v>194</v>
      </c>
      <c r="AG17" t="s">
        <v>251</v>
      </c>
      <c r="AH17" t="s">
        <v>55</v>
      </c>
    </row>
    <row r="18" spans="1:34" x14ac:dyDescent="0.25">
      <c r="A18" t="s">
        <v>252</v>
      </c>
      <c r="B18" t="s">
        <v>57</v>
      </c>
      <c r="C18" t="s">
        <v>172</v>
      </c>
      <c r="D18" t="s">
        <v>203</v>
      </c>
      <c r="E18">
        <v>16</v>
      </c>
      <c r="F18">
        <v>8</v>
      </c>
      <c r="G18" t="s">
        <v>253</v>
      </c>
      <c r="H18" t="s">
        <v>41</v>
      </c>
      <c r="I18" t="s">
        <v>63</v>
      </c>
      <c r="J18" t="s">
        <v>43</v>
      </c>
      <c r="K18" t="s">
        <v>63</v>
      </c>
      <c r="L18" t="s">
        <v>63</v>
      </c>
      <c r="M18" t="s">
        <v>43</v>
      </c>
      <c r="N18" t="s">
        <v>43</v>
      </c>
      <c r="O18" t="s">
        <v>44</v>
      </c>
      <c r="P18" t="s">
        <v>43</v>
      </c>
      <c r="Q18" t="s">
        <v>70</v>
      </c>
      <c r="R18" t="s">
        <v>70</v>
      </c>
      <c r="S18" t="s">
        <v>254</v>
      </c>
      <c r="T18" t="s">
        <v>255</v>
      </c>
      <c r="U18" t="s">
        <v>185</v>
      </c>
      <c r="V18" t="s">
        <v>109</v>
      </c>
      <c r="W18" t="s">
        <v>178</v>
      </c>
      <c r="X18" t="s">
        <v>103</v>
      </c>
      <c r="Y18" t="s">
        <v>43</v>
      </c>
      <c r="Z18" t="s">
        <v>103</v>
      </c>
      <c r="AA18" t="s">
        <v>103</v>
      </c>
      <c r="AB18" t="s">
        <v>103</v>
      </c>
      <c r="AC18" t="s">
        <v>181</v>
      </c>
      <c r="AD18" t="s">
        <v>53</v>
      </c>
      <c r="AE18" t="s">
        <v>194</v>
      </c>
      <c r="AF18" t="s">
        <v>181</v>
      </c>
      <c r="AG18" t="s">
        <v>194</v>
      </c>
      <c r="AH18" t="s">
        <v>55</v>
      </c>
    </row>
    <row r="19" spans="1:34" x14ac:dyDescent="0.25">
      <c r="A19" t="s">
        <v>256</v>
      </c>
      <c r="B19" t="s">
        <v>122</v>
      </c>
      <c r="C19" t="s">
        <v>36</v>
      </c>
      <c r="D19" t="s">
        <v>201</v>
      </c>
      <c r="E19">
        <v>17</v>
      </c>
      <c r="F19">
        <v>7</v>
      </c>
      <c r="G19" t="s">
        <v>257</v>
      </c>
      <c r="H19" t="s">
        <v>258</v>
      </c>
      <c r="I19" t="s">
        <v>43</v>
      </c>
      <c r="J19" t="s">
        <v>63</v>
      </c>
      <c r="K19" t="s">
        <v>63</v>
      </c>
      <c r="L19" t="s">
        <v>43</v>
      </c>
      <c r="M19" t="s">
        <v>43</v>
      </c>
      <c r="N19" t="s">
        <v>43</v>
      </c>
      <c r="O19" t="s">
        <v>43</v>
      </c>
      <c r="P19" t="s">
        <v>43</v>
      </c>
      <c r="Q19" t="s">
        <v>259</v>
      </c>
      <c r="R19" t="s">
        <v>259</v>
      </c>
      <c r="S19" t="s">
        <v>254</v>
      </c>
      <c r="T19" t="s">
        <v>63</v>
      </c>
      <c r="U19" t="s">
        <v>123</v>
      </c>
      <c r="V19" t="s">
        <v>165</v>
      </c>
      <c r="W19" t="s">
        <v>260</v>
      </c>
      <c r="X19" t="s">
        <v>43</v>
      </c>
      <c r="Y19" t="s">
        <v>98</v>
      </c>
      <c r="Z19" t="s">
        <v>98</v>
      </c>
      <c r="AA19" t="s">
        <v>43</v>
      </c>
      <c r="AB19" t="s">
        <v>98</v>
      </c>
      <c r="AC19" t="s">
        <v>204</v>
      </c>
      <c r="AD19" t="s">
        <v>156</v>
      </c>
      <c r="AE19" t="s">
        <v>98</v>
      </c>
      <c r="AF19" t="s">
        <v>204</v>
      </c>
      <c r="AG19" t="s">
        <v>98</v>
      </c>
      <c r="AH19" t="s">
        <v>55</v>
      </c>
    </row>
    <row r="20" spans="1:34" x14ac:dyDescent="0.25">
      <c r="A20" t="s">
        <v>261</v>
      </c>
      <c r="B20" t="s">
        <v>262</v>
      </c>
      <c r="C20" t="s">
        <v>77</v>
      </c>
      <c r="D20" t="s">
        <v>263</v>
      </c>
      <c r="E20">
        <v>9</v>
      </c>
      <c r="F20">
        <v>5</v>
      </c>
      <c r="G20" t="s">
        <v>264</v>
      </c>
      <c r="H20" t="s">
        <v>211</v>
      </c>
      <c r="I20" t="s">
        <v>43</v>
      </c>
      <c r="J20" t="s">
        <v>43</v>
      </c>
      <c r="K20" t="s">
        <v>43</v>
      </c>
      <c r="L20" t="s">
        <v>43</v>
      </c>
      <c r="M20" t="s">
        <v>43</v>
      </c>
      <c r="N20" t="s">
        <v>43</v>
      </c>
      <c r="O20" t="s">
        <v>43</v>
      </c>
      <c r="P20" t="s">
        <v>43</v>
      </c>
      <c r="Q20" t="s">
        <v>43</v>
      </c>
      <c r="R20" t="s">
        <v>43</v>
      </c>
      <c r="S20" t="s">
        <v>43</v>
      </c>
      <c r="T20" t="s">
        <v>43</v>
      </c>
      <c r="U20" t="s">
        <v>43</v>
      </c>
      <c r="V20" t="s">
        <v>43</v>
      </c>
      <c r="W20" t="s">
        <v>43</v>
      </c>
      <c r="X20" t="s">
        <v>43</v>
      </c>
      <c r="Y20" t="s">
        <v>43</v>
      </c>
      <c r="Z20" t="s">
        <v>43</v>
      </c>
      <c r="AA20" t="s">
        <v>43</v>
      </c>
      <c r="AB20" t="s">
        <v>43</v>
      </c>
      <c r="AC20" t="s">
        <v>43</v>
      </c>
      <c r="AD20" t="s">
        <v>43</v>
      </c>
      <c r="AE20" t="s">
        <v>43</v>
      </c>
      <c r="AF20" t="s">
        <v>43</v>
      </c>
      <c r="AG20" t="s">
        <v>43</v>
      </c>
      <c r="AH20" t="s">
        <v>55</v>
      </c>
    </row>
    <row r="21" spans="1:34" x14ac:dyDescent="0.25">
      <c r="A21" t="s">
        <v>265</v>
      </c>
      <c r="B21" t="s">
        <v>136</v>
      </c>
      <c r="C21" t="s">
        <v>58</v>
      </c>
      <c r="D21" t="s">
        <v>141</v>
      </c>
      <c r="E21">
        <v>14</v>
      </c>
      <c r="F21">
        <v>2</v>
      </c>
      <c r="G21" t="s">
        <v>266</v>
      </c>
      <c r="H21" t="s">
        <v>267</v>
      </c>
      <c r="I21" t="s">
        <v>44</v>
      </c>
      <c r="J21" t="s">
        <v>44</v>
      </c>
      <c r="K21" t="s">
        <v>63</v>
      </c>
      <c r="L21" t="s">
        <v>44</v>
      </c>
      <c r="M21" t="s">
        <v>43</v>
      </c>
      <c r="N21" t="s">
        <v>43</v>
      </c>
      <c r="O21" t="s">
        <v>43</v>
      </c>
      <c r="P21" t="s">
        <v>43</v>
      </c>
      <c r="Q21" t="s">
        <v>162</v>
      </c>
      <c r="R21" t="s">
        <v>162</v>
      </c>
      <c r="S21" t="s">
        <v>200</v>
      </c>
      <c r="T21" t="s">
        <v>113</v>
      </c>
      <c r="U21" t="s">
        <v>90</v>
      </c>
      <c r="V21" t="s">
        <v>268</v>
      </c>
      <c r="W21" t="s">
        <v>227</v>
      </c>
      <c r="X21" t="s">
        <v>163</v>
      </c>
      <c r="Y21" t="s">
        <v>163</v>
      </c>
      <c r="Z21" t="s">
        <v>70</v>
      </c>
      <c r="AA21" t="s">
        <v>163</v>
      </c>
      <c r="AB21" t="s">
        <v>70</v>
      </c>
      <c r="AC21" t="s">
        <v>251</v>
      </c>
      <c r="AD21" t="s">
        <v>97</v>
      </c>
      <c r="AE21" t="s">
        <v>269</v>
      </c>
      <c r="AF21" t="s">
        <v>251</v>
      </c>
      <c r="AG21" t="s">
        <v>269</v>
      </c>
      <c r="AH21" t="s">
        <v>55</v>
      </c>
    </row>
    <row r="22" spans="1:34" x14ac:dyDescent="0.25">
      <c r="A22" t="s">
        <v>270</v>
      </c>
      <c r="B22" t="s">
        <v>57</v>
      </c>
      <c r="C22" t="s">
        <v>36</v>
      </c>
      <c r="D22" t="s">
        <v>37</v>
      </c>
      <c r="E22">
        <v>4</v>
      </c>
      <c r="F22">
        <v>0</v>
      </c>
      <c r="G22" t="s">
        <v>67</v>
      </c>
      <c r="H22" t="s">
        <v>44</v>
      </c>
      <c r="I22" t="s">
        <v>43</v>
      </c>
      <c r="J22" t="s">
        <v>43</v>
      </c>
      <c r="K22" t="s">
        <v>43</v>
      </c>
      <c r="L22" t="s">
        <v>43</v>
      </c>
      <c r="M22" t="s">
        <v>43</v>
      </c>
      <c r="N22" t="s">
        <v>43</v>
      </c>
      <c r="O22" t="s">
        <v>43</v>
      </c>
      <c r="P22" t="s">
        <v>43</v>
      </c>
      <c r="Q22" t="s">
        <v>82</v>
      </c>
      <c r="R22" t="s">
        <v>82</v>
      </c>
      <c r="S22" t="s">
        <v>43</v>
      </c>
      <c r="T22" t="s">
        <v>82</v>
      </c>
      <c r="U22" t="s">
        <v>142</v>
      </c>
      <c r="V22" t="s">
        <v>142</v>
      </c>
      <c r="W22" t="s">
        <v>114</v>
      </c>
      <c r="X22" t="s">
        <v>43</v>
      </c>
      <c r="Y22" t="s">
        <v>43</v>
      </c>
      <c r="Z22" t="s">
        <v>43</v>
      </c>
      <c r="AA22" t="s">
        <v>43</v>
      </c>
      <c r="AB22" t="s">
        <v>43</v>
      </c>
      <c r="AC22" t="s">
        <v>181</v>
      </c>
      <c r="AD22" t="s">
        <v>43</v>
      </c>
      <c r="AE22" t="s">
        <v>181</v>
      </c>
      <c r="AF22" t="s">
        <v>181</v>
      </c>
      <c r="AG22" t="s">
        <v>181</v>
      </c>
      <c r="AH22" t="s">
        <v>55</v>
      </c>
    </row>
    <row r="23" spans="1:34" x14ac:dyDescent="0.25">
      <c r="A23" t="s">
        <v>271</v>
      </c>
      <c r="B23" t="s">
        <v>35</v>
      </c>
      <c r="C23" t="s">
        <v>58</v>
      </c>
      <c r="D23" t="s">
        <v>272</v>
      </c>
      <c r="E23">
        <v>6</v>
      </c>
      <c r="F23">
        <v>0</v>
      </c>
      <c r="G23" t="s">
        <v>273</v>
      </c>
      <c r="H23" t="s">
        <v>70</v>
      </c>
      <c r="I23" t="s">
        <v>43</v>
      </c>
      <c r="J23" t="s">
        <v>44</v>
      </c>
      <c r="K23" t="s">
        <v>44</v>
      </c>
      <c r="L23" t="s">
        <v>43</v>
      </c>
      <c r="M23" t="s">
        <v>43</v>
      </c>
      <c r="N23" t="s">
        <v>43</v>
      </c>
      <c r="O23" t="s">
        <v>43</v>
      </c>
      <c r="P23" t="s">
        <v>43</v>
      </c>
      <c r="Q23" t="s">
        <v>241</v>
      </c>
      <c r="R23" t="s">
        <v>241</v>
      </c>
      <c r="S23" t="s">
        <v>241</v>
      </c>
      <c r="T23" t="s">
        <v>112</v>
      </c>
      <c r="U23" t="s">
        <v>83</v>
      </c>
      <c r="V23" t="s">
        <v>63</v>
      </c>
      <c r="W23" t="s">
        <v>83</v>
      </c>
      <c r="X23" t="s">
        <v>43</v>
      </c>
      <c r="Y23" t="s">
        <v>164</v>
      </c>
      <c r="Z23" t="s">
        <v>164</v>
      </c>
      <c r="AA23" t="s">
        <v>43</v>
      </c>
      <c r="AB23" t="s">
        <v>164</v>
      </c>
      <c r="AC23" t="s">
        <v>251</v>
      </c>
      <c r="AD23" t="s">
        <v>100</v>
      </c>
      <c r="AE23" t="s">
        <v>274</v>
      </c>
      <c r="AF23" t="s">
        <v>251</v>
      </c>
      <c r="AG23" t="s">
        <v>274</v>
      </c>
      <c r="AH23" t="s">
        <v>55</v>
      </c>
    </row>
    <row r="24" spans="1:34" x14ac:dyDescent="0.25">
      <c r="A24" t="s">
        <v>275</v>
      </c>
      <c r="B24" t="s">
        <v>35</v>
      </c>
      <c r="C24" t="s">
        <v>108</v>
      </c>
      <c r="D24" t="s">
        <v>78</v>
      </c>
      <c r="E24">
        <v>1</v>
      </c>
      <c r="F24">
        <v>0</v>
      </c>
      <c r="G24" t="s">
        <v>276</v>
      </c>
      <c r="H24" t="s">
        <v>82</v>
      </c>
      <c r="I24" t="s">
        <v>43</v>
      </c>
      <c r="J24" t="s">
        <v>43</v>
      </c>
      <c r="K24" t="s">
        <v>43</v>
      </c>
      <c r="L24" t="s">
        <v>43</v>
      </c>
      <c r="M24" t="s">
        <v>43</v>
      </c>
      <c r="N24" t="s">
        <v>43</v>
      </c>
      <c r="O24" t="s">
        <v>43</v>
      </c>
      <c r="P24" t="s">
        <v>43</v>
      </c>
      <c r="Q24" t="s">
        <v>43</v>
      </c>
      <c r="R24" t="s">
        <v>43</v>
      </c>
      <c r="S24" t="s">
        <v>43</v>
      </c>
      <c r="T24" t="s">
        <v>43</v>
      </c>
      <c r="U24" t="s">
        <v>43</v>
      </c>
      <c r="V24" t="s">
        <v>43</v>
      </c>
      <c r="W24" t="s">
        <v>43</v>
      </c>
      <c r="X24" t="s">
        <v>43</v>
      </c>
      <c r="Y24" t="s">
        <v>43</v>
      </c>
      <c r="Z24" t="s">
        <v>43</v>
      </c>
      <c r="AA24" t="s">
        <v>43</v>
      </c>
      <c r="AB24" t="s">
        <v>43</v>
      </c>
      <c r="AC24" t="s">
        <v>98</v>
      </c>
      <c r="AD24" t="s">
        <v>43</v>
      </c>
      <c r="AE24" t="s">
        <v>98</v>
      </c>
      <c r="AF24" t="s">
        <v>98</v>
      </c>
      <c r="AG24" t="s">
        <v>98</v>
      </c>
      <c r="AH24" t="s">
        <v>55</v>
      </c>
    </row>
    <row r="25" spans="1:34" x14ac:dyDescent="0.25">
      <c r="A25" t="s">
        <v>277</v>
      </c>
      <c r="B25" t="s">
        <v>57</v>
      </c>
      <c r="C25" t="s">
        <v>36</v>
      </c>
      <c r="D25" t="s">
        <v>185</v>
      </c>
      <c r="E25">
        <v>1</v>
      </c>
      <c r="F25">
        <v>0</v>
      </c>
      <c r="G25" t="s">
        <v>89</v>
      </c>
      <c r="H25" t="s">
        <v>82</v>
      </c>
      <c r="I25" t="s">
        <v>43</v>
      </c>
      <c r="J25" t="s">
        <v>43</v>
      </c>
      <c r="K25" t="s">
        <v>43</v>
      </c>
      <c r="L25" t="s">
        <v>43</v>
      </c>
      <c r="M25" t="s">
        <v>43</v>
      </c>
      <c r="N25" t="s">
        <v>43</v>
      </c>
      <c r="O25" t="s">
        <v>43</v>
      </c>
      <c r="P25" t="s">
        <v>43</v>
      </c>
      <c r="Q25" t="s">
        <v>43</v>
      </c>
      <c r="R25" t="s">
        <v>43</v>
      </c>
      <c r="S25" t="s">
        <v>43</v>
      </c>
      <c r="T25" t="s">
        <v>43</v>
      </c>
      <c r="U25" t="s">
        <v>43</v>
      </c>
      <c r="V25" t="s">
        <v>43</v>
      </c>
      <c r="W25" t="s">
        <v>43</v>
      </c>
      <c r="X25" t="s">
        <v>43</v>
      </c>
      <c r="Y25" t="s">
        <v>43</v>
      </c>
      <c r="Z25" t="s">
        <v>43</v>
      </c>
      <c r="AA25" t="s">
        <v>43</v>
      </c>
      <c r="AB25" t="s">
        <v>43</v>
      </c>
      <c r="AC25" t="s">
        <v>43</v>
      </c>
      <c r="AD25" t="s">
        <v>43</v>
      </c>
      <c r="AE25" t="s">
        <v>43</v>
      </c>
      <c r="AF25" t="s">
        <v>43</v>
      </c>
      <c r="AG25" t="s">
        <v>43</v>
      </c>
      <c r="AH25" t="s">
        <v>55</v>
      </c>
    </row>
    <row r="26" spans="1:34" x14ac:dyDescent="0.25">
      <c r="A26" t="s">
        <v>278</v>
      </c>
      <c r="B26" t="s">
        <v>57</v>
      </c>
      <c r="C26" t="s">
        <v>36</v>
      </c>
      <c r="D26" t="s">
        <v>141</v>
      </c>
      <c r="E26">
        <v>1</v>
      </c>
      <c r="F26">
        <v>0</v>
      </c>
      <c r="G26" t="s">
        <v>44</v>
      </c>
      <c r="H26" t="s">
        <v>43</v>
      </c>
      <c r="I26" t="s">
        <v>43</v>
      </c>
      <c r="J26" t="s">
        <v>43</v>
      </c>
      <c r="K26" t="s">
        <v>43</v>
      </c>
      <c r="L26" t="s">
        <v>43</v>
      </c>
      <c r="M26" t="s">
        <v>43</v>
      </c>
      <c r="N26" t="s">
        <v>43</v>
      </c>
      <c r="O26" t="s">
        <v>43</v>
      </c>
      <c r="P26" t="s">
        <v>43</v>
      </c>
      <c r="Q26" t="s">
        <v>43</v>
      </c>
      <c r="R26" t="s">
        <v>43</v>
      </c>
      <c r="S26" t="s">
        <v>43</v>
      </c>
      <c r="T26" t="s">
        <v>43</v>
      </c>
      <c r="U26" t="s">
        <v>43</v>
      </c>
      <c r="V26" t="s">
        <v>43</v>
      </c>
      <c r="W26" t="s">
        <v>43</v>
      </c>
      <c r="X26" t="s">
        <v>43</v>
      </c>
      <c r="Y26" t="s">
        <v>43</v>
      </c>
      <c r="Z26" t="s">
        <v>43</v>
      </c>
      <c r="AA26" t="s">
        <v>43</v>
      </c>
      <c r="AB26" t="s">
        <v>43</v>
      </c>
      <c r="AC26" t="s">
        <v>43</v>
      </c>
      <c r="AD26" t="s">
        <v>43</v>
      </c>
      <c r="AE26" t="s">
        <v>43</v>
      </c>
      <c r="AF26" t="s">
        <v>43</v>
      </c>
      <c r="AG26" t="s">
        <v>43</v>
      </c>
      <c r="AH26" t="s">
        <v>55</v>
      </c>
    </row>
    <row r="27" spans="1:34" x14ac:dyDescent="0.25">
      <c r="A27" t="s">
        <v>279</v>
      </c>
      <c r="B27" t="s">
        <v>196</v>
      </c>
      <c r="C27" t="s">
        <v>108</v>
      </c>
      <c r="D27" t="s">
        <v>140</v>
      </c>
      <c r="E27">
        <v>36</v>
      </c>
      <c r="F27">
        <v>36</v>
      </c>
      <c r="G27" t="s">
        <v>280</v>
      </c>
      <c r="H27" t="s">
        <v>281</v>
      </c>
      <c r="I27" t="s">
        <v>63</v>
      </c>
      <c r="J27" t="s">
        <v>63</v>
      </c>
      <c r="K27" t="s">
        <v>83</v>
      </c>
      <c r="L27" t="s">
        <v>63</v>
      </c>
      <c r="M27" t="s">
        <v>43</v>
      </c>
      <c r="N27" t="s">
        <v>43</v>
      </c>
      <c r="O27" t="s">
        <v>114</v>
      </c>
      <c r="P27" t="s">
        <v>44</v>
      </c>
      <c r="Q27" t="s">
        <v>282</v>
      </c>
      <c r="R27" t="s">
        <v>282</v>
      </c>
      <c r="S27" t="s">
        <v>223</v>
      </c>
      <c r="T27" t="s">
        <v>283</v>
      </c>
      <c r="U27" t="s">
        <v>140</v>
      </c>
      <c r="V27" t="s">
        <v>284</v>
      </c>
      <c r="W27" t="s">
        <v>142</v>
      </c>
      <c r="X27" t="s">
        <v>169</v>
      </c>
      <c r="Y27" t="s">
        <v>169</v>
      </c>
      <c r="Z27" t="s">
        <v>204</v>
      </c>
      <c r="AA27" t="s">
        <v>169</v>
      </c>
      <c r="AB27" t="s">
        <v>204</v>
      </c>
      <c r="AC27" t="s">
        <v>242</v>
      </c>
      <c r="AD27" t="s">
        <v>193</v>
      </c>
      <c r="AE27" t="s">
        <v>53</v>
      </c>
      <c r="AF27" t="s">
        <v>242</v>
      </c>
      <c r="AG27" t="s">
        <v>53</v>
      </c>
      <c r="AH27" t="s">
        <v>285</v>
      </c>
    </row>
    <row r="28" spans="1:34" x14ac:dyDescent="0.25">
      <c r="A28" t="s">
        <v>286</v>
      </c>
      <c r="B28" t="s">
        <v>287</v>
      </c>
      <c r="C28" t="s">
        <v>137</v>
      </c>
      <c r="D28" t="s">
        <v>148</v>
      </c>
      <c r="E28">
        <v>37</v>
      </c>
      <c r="F28">
        <v>32</v>
      </c>
      <c r="G28" t="s">
        <v>288</v>
      </c>
      <c r="H28" t="s">
        <v>143</v>
      </c>
      <c r="I28" t="s">
        <v>40</v>
      </c>
      <c r="J28" t="s">
        <v>81</v>
      </c>
      <c r="K28" t="s">
        <v>90</v>
      </c>
      <c r="L28" t="s">
        <v>40</v>
      </c>
      <c r="M28" t="s">
        <v>43</v>
      </c>
      <c r="N28" t="s">
        <v>43</v>
      </c>
      <c r="O28" t="s">
        <v>114</v>
      </c>
      <c r="P28" t="s">
        <v>43</v>
      </c>
      <c r="Q28" t="s">
        <v>289</v>
      </c>
      <c r="R28" t="s">
        <v>289</v>
      </c>
      <c r="S28" t="s">
        <v>290</v>
      </c>
      <c r="T28" t="s">
        <v>291</v>
      </c>
      <c r="U28" t="s">
        <v>292</v>
      </c>
      <c r="V28" t="s">
        <v>293</v>
      </c>
      <c r="W28" t="s">
        <v>266</v>
      </c>
      <c r="X28" t="s">
        <v>98</v>
      </c>
      <c r="Y28" t="s">
        <v>215</v>
      </c>
      <c r="Z28" t="s">
        <v>216</v>
      </c>
      <c r="AA28" t="s">
        <v>98</v>
      </c>
      <c r="AB28" t="s">
        <v>216</v>
      </c>
      <c r="AC28" t="s">
        <v>251</v>
      </c>
      <c r="AD28" t="s">
        <v>194</v>
      </c>
      <c r="AE28" t="s">
        <v>70</v>
      </c>
      <c r="AF28" t="s">
        <v>251</v>
      </c>
      <c r="AG28" t="s">
        <v>70</v>
      </c>
      <c r="AH28" t="s">
        <v>285</v>
      </c>
    </row>
    <row r="29" spans="1:34" x14ac:dyDescent="0.25">
      <c r="A29" t="s">
        <v>294</v>
      </c>
      <c r="B29" t="s">
        <v>85</v>
      </c>
      <c r="C29" t="s">
        <v>36</v>
      </c>
      <c r="D29" t="s">
        <v>201</v>
      </c>
      <c r="E29">
        <v>33</v>
      </c>
      <c r="F29">
        <v>31</v>
      </c>
      <c r="G29" t="s">
        <v>295</v>
      </c>
      <c r="H29" t="s">
        <v>296</v>
      </c>
      <c r="I29" t="s">
        <v>81</v>
      </c>
      <c r="J29" t="s">
        <v>81</v>
      </c>
      <c r="K29" t="s">
        <v>231</v>
      </c>
      <c r="L29" t="s">
        <v>83</v>
      </c>
      <c r="M29" t="s">
        <v>44</v>
      </c>
      <c r="N29" t="s">
        <v>44</v>
      </c>
      <c r="O29" t="s">
        <v>142</v>
      </c>
      <c r="P29" t="s">
        <v>44</v>
      </c>
      <c r="Q29" t="s">
        <v>128</v>
      </c>
      <c r="R29" t="s">
        <v>224</v>
      </c>
      <c r="S29" t="s">
        <v>297</v>
      </c>
      <c r="T29" t="s">
        <v>92</v>
      </c>
      <c r="U29" t="s">
        <v>298</v>
      </c>
      <c r="V29" t="s">
        <v>299</v>
      </c>
      <c r="W29" t="s">
        <v>300</v>
      </c>
      <c r="X29" t="s">
        <v>215</v>
      </c>
      <c r="Y29" t="s">
        <v>215</v>
      </c>
      <c r="Z29" t="s">
        <v>301</v>
      </c>
      <c r="AA29" t="s">
        <v>218</v>
      </c>
      <c r="AB29" t="s">
        <v>100</v>
      </c>
      <c r="AC29" t="s">
        <v>118</v>
      </c>
      <c r="AD29" t="s">
        <v>53</v>
      </c>
      <c r="AE29" t="s">
        <v>50</v>
      </c>
      <c r="AF29" t="s">
        <v>82</v>
      </c>
      <c r="AG29" t="s">
        <v>103</v>
      </c>
      <c r="AH29" t="s">
        <v>285</v>
      </c>
    </row>
    <row r="30" spans="1:34" x14ac:dyDescent="0.25">
      <c r="A30" t="s">
        <v>302</v>
      </c>
      <c r="B30" t="s">
        <v>303</v>
      </c>
      <c r="C30" t="s">
        <v>137</v>
      </c>
      <c r="D30" t="s">
        <v>304</v>
      </c>
      <c r="E30">
        <v>32</v>
      </c>
      <c r="F30">
        <v>28</v>
      </c>
      <c r="G30" t="s">
        <v>305</v>
      </c>
      <c r="H30" t="s">
        <v>306</v>
      </c>
      <c r="I30" t="s">
        <v>203</v>
      </c>
      <c r="J30" t="s">
        <v>231</v>
      </c>
      <c r="K30" t="s">
        <v>123</v>
      </c>
      <c r="L30" t="s">
        <v>90</v>
      </c>
      <c r="M30" t="s">
        <v>81</v>
      </c>
      <c r="N30" t="s">
        <v>142</v>
      </c>
      <c r="O30" t="s">
        <v>63</v>
      </c>
      <c r="P30" t="s">
        <v>43</v>
      </c>
      <c r="Q30" t="s">
        <v>307</v>
      </c>
      <c r="R30" t="s">
        <v>308</v>
      </c>
      <c r="S30" t="s">
        <v>240</v>
      </c>
      <c r="T30" t="s">
        <v>309</v>
      </c>
      <c r="U30" t="s">
        <v>310</v>
      </c>
      <c r="V30" t="s">
        <v>311</v>
      </c>
      <c r="W30" t="s">
        <v>312</v>
      </c>
      <c r="X30" t="s">
        <v>313</v>
      </c>
      <c r="Y30" t="s">
        <v>250</v>
      </c>
      <c r="Z30" t="s">
        <v>314</v>
      </c>
      <c r="AA30" t="s">
        <v>315</v>
      </c>
      <c r="AB30" t="s">
        <v>316</v>
      </c>
      <c r="AC30" t="s">
        <v>317</v>
      </c>
      <c r="AD30" t="s">
        <v>318</v>
      </c>
      <c r="AE30" t="s">
        <v>319</v>
      </c>
      <c r="AF30" t="s">
        <v>320</v>
      </c>
      <c r="AG30" t="s">
        <v>321</v>
      </c>
      <c r="AH30" t="s">
        <v>285</v>
      </c>
    </row>
    <row r="31" spans="1:34" x14ac:dyDescent="0.25">
      <c r="A31" t="s">
        <v>322</v>
      </c>
      <c r="B31" t="s">
        <v>76</v>
      </c>
      <c r="C31" t="s">
        <v>77</v>
      </c>
      <c r="D31" t="s">
        <v>263</v>
      </c>
      <c r="E31">
        <v>28</v>
      </c>
      <c r="F31">
        <v>28</v>
      </c>
      <c r="G31" t="s">
        <v>323</v>
      </c>
      <c r="H31" t="s">
        <v>123</v>
      </c>
      <c r="I31" t="s">
        <v>43</v>
      </c>
      <c r="J31" t="s">
        <v>43</v>
      </c>
      <c r="K31" t="s">
        <v>43</v>
      </c>
      <c r="L31" t="s">
        <v>43</v>
      </c>
      <c r="M31" t="s">
        <v>43</v>
      </c>
      <c r="N31" t="s">
        <v>43</v>
      </c>
      <c r="O31" t="s">
        <v>44</v>
      </c>
      <c r="P31" t="s">
        <v>43</v>
      </c>
      <c r="Q31" t="s">
        <v>43</v>
      </c>
      <c r="R31" t="s">
        <v>43</v>
      </c>
      <c r="S31" t="s">
        <v>43</v>
      </c>
      <c r="T31" t="s">
        <v>43</v>
      </c>
      <c r="U31" t="s">
        <v>43</v>
      </c>
      <c r="V31" t="s">
        <v>81</v>
      </c>
      <c r="W31" t="s">
        <v>43</v>
      </c>
      <c r="X31" t="s">
        <v>43</v>
      </c>
      <c r="Y31" t="s">
        <v>43</v>
      </c>
      <c r="Z31" t="s">
        <v>43</v>
      </c>
      <c r="AA31" t="s">
        <v>43</v>
      </c>
      <c r="AB31" t="s">
        <v>43</v>
      </c>
      <c r="AC31" t="s">
        <v>43</v>
      </c>
      <c r="AD31" t="s">
        <v>43</v>
      </c>
      <c r="AE31" t="s">
        <v>43</v>
      </c>
      <c r="AF31" t="s">
        <v>43</v>
      </c>
      <c r="AG31" t="s">
        <v>43</v>
      </c>
      <c r="AH31" t="s">
        <v>285</v>
      </c>
    </row>
    <row r="32" spans="1:34" x14ac:dyDescent="0.25">
      <c r="A32" t="s">
        <v>324</v>
      </c>
      <c r="B32" t="s">
        <v>57</v>
      </c>
      <c r="C32" t="s">
        <v>108</v>
      </c>
      <c r="D32" t="s">
        <v>201</v>
      </c>
      <c r="E32">
        <v>28</v>
      </c>
      <c r="F32">
        <v>25</v>
      </c>
      <c r="G32" t="s">
        <v>325</v>
      </c>
      <c r="H32" t="s">
        <v>326</v>
      </c>
      <c r="I32" t="s">
        <v>114</v>
      </c>
      <c r="J32" t="s">
        <v>83</v>
      </c>
      <c r="K32" t="s">
        <v>142</v>
      </c>
      <c r="L32" t="s">
        <v>114</v>
      </c>
      <c r="M32" t="s">
        <v>43</v>
      </c>
      <c r="N32" t="s">
        <v>43</v>
      </c>
      <c r="O32" t="s">
        <v>126</v>
      </c>
      <c r="P32" t="s">
        <v>43</v>
      </c>
      <c r="Q32" t="s">
        <v>113</v>
      </c>
      <c r="R32" t="s">
        <v>327</v>
      </c>
      <c r="S32" t="s">
        <v>328</v>
      </c>
      <c r="T32" t="s">
        <v>329</v>
      </c>
      <c r="U32" t="s">
        <v>330</v>
      </c>
      <c r="V32" t="s">
        <v>331</v>
      </c>
      <c r="W32" t="s">
        <v>332</v>
      </c>
      <c r="X32" t="s">
        <v>118</v>
      </c>
      <c r="Y32" t="s">
        <v>215</v>
      </c>
      <c r="Z32" t="s">
        <v>236</v>
      </c>
      <c r="AA32" t="s">
        <v>118</v>
      </c>
      <c r="AB32" t="s">
        <v>236</v>
      </c>
      <c r="AC32" t="s">
        <v>204</v>
      </c>
      <c r="AD32" t="s">
        <v>163</v>
      </c>
      <c r="AE32" t="s">
        <v>251</v>
      </c>
      <c r="AF32" t="s">
        <v>82</v>
      </c>
      <c r="AG32" t="s">
        <v>112</v>
      </c>
      <c r="AH32" t="s">
        <v>285</v>
      </c>
    </row>
    <row r="33" spans="1:34" x14ac:dyDescent="0.25">
      <c r="A33" t="s">
        <v>333</v>
      </c>
      <c r="B33" t="s">
        <v>334</v>
      </c>
      <c r="C33" t="s">
        <v>36</v>
      </c>
      <c r="D33" t="s">
        <v>272</v>
      </c>
      <c r="E33">
        <v>33</v>
      </c>
      <c r="F33">
        <v>25</v>
      </c>
      <c r="G33" t="s">
        <v>335</v>
      </c>
      <c r="H33" t="s">
        <v>336</v>
      </c>
      <c r="I33" t="s">
        <v>114</v>
      </c>
      <c r="J33" t="s">
        <v>63</v>
      </c>
      <c r="K33" t="s">
        <v>81</v>
      </c>
      <c r="L33" t="s">
        <v>114</v>
      </c>
      <c r="M33" t="s">
        <v>43</v>
      </c>
      <c r="N33" t="s">
        <v>43</v>
      </c>
      <c r="O33" t="s">
        <v>44</v>
      </c>
      <c r="P33" t="s">
        <v>43</v>
      </c>
      <c r="Q33" t="s">
        <v>128</v>
      </c>
      <c r="R33" t="s">
        <v>128</v>
      </c>
      <c r="S33" t="s">
        <v>337</v>
      </c>
      <c r="T33" t="s">
        <v>329</v>
      </c>
      <c r="U33" t="s">
        <v>338</v>
      </c>
      <c r="V33" t="s">
        <v>339</v>
      </c>
      <c r="W33" t="s">
        <v>340</v>
      </c>
      <c r="X33" t="s">
        <v>118</v>
      </c>
      <c r="Y33" t="s">
        <v>120</v>
      </c>
      <c r="Z33" t="s">
        <v>134</v>
      </c>
      <c r="AA33" t="s">
        <v>118</v>
      </c>
      <c r="AB33" t="s">
        <v>134</v>
      </c>
      <c r="AC33" t="s">
        <v>205</v>
      </c>
      <c r="AD33" t="s">
        <v>50</v>
      </c>
      <c r="AE33" t="s">
        <v>112</v>
      </c>
      <c r="AF33" t="s">
        <v>205</v>
      </c>
      <c r="AG33" t="s">
        <v>112</v>
      </c>
      <c r="AH33" t="s">
        <v>285</v>
      </c>
    </row>
    <row r="34" spans="1:34" x14ac:dyDescent="0.25">
      <c r="A34" t="s">
        <v>341</v>
      </c>
      <c r="B34" t="s">
        <v>342</v>
      </c>
      <c r="C34" t="s">
        <v>137</v>
      </c>
      <c r="D34" t="s">
        <v>201</v>
      </c>
      <c r="E34">
        <v>36</v>
      </c>
      <c r="F34">
        <v>22</v>
      </c>
      <c r="G34" t="s">
        <v>343</v>
      </c>
      <c r="H34" t="s">
        <v>198</v>
      </c>
      <c r="I34" t="s">
        <v>89</v>
      </c>
      <c r="J34" t="s">
        <v>40</v>
      </c>
      <c r="K34" t="s">
        <v>62</v>
      </c>
      <c r="L34" t="s">
        <v>89</v>
      </c>
      <c r="M34" t="s">
        <v>43</v>
      </c>
      <c r="N34" t="s">
        <v>44</v>
      </c>
      <c r="O34" t="s">
        <v>41</v>
      </c>
      <c r="P34" t="s">
        <v>43</v>
      </c>
      <c r="Q34" t="s">
        <v>344</v>
      </c>
      <c r="R34" t="s">
        <v>308</v>
      </c>
      <c r="S34" t="s">
        <v>126</v>
      </c>
      <c r="T34" t="s">
        <v>345</v>
      </c>
      <c r="U34" t="s">
        <v>260</v>
      </c>
      <c r="V34" t="s">
        <v>346</v>
      </c>
      <c r="W34" t="s">
        <v>347</v>
      </c>
      <c r="X34" t="s">
        <v>348</v>
      </c>
      <c r="Y34" t="s">
        <v>301</v>
      </c>
      <c r="Z34" t="s">
        <v>349</v>
      </c>
      <c r="AA34" t="s">
        <v>348</v>
      </c>
      <c r="AB34" t="s">
        <v>349</v>
      </c>
      <c r="AC34" t="s">
        <v>350</v>
      </c>
      <c r="AD34" t="s">
        <v>98</v>
      </c>
      <c r="AE34" t="s">
        <v>351</v>
      </c>
      <c r="AF34" t="s">
        <v>352</v>
      </c>
      <c r="AG34" t="s">
        <v>150</v>
      </c>
      <c r="AH34" t="s">
        <v>285</v>
      </c>
    </row>
    <row r="35" spans="1:34" x14ac:dyDescent="0.25">
      <c r="A35" t="s">
        <v>353</v>
      </c>
      <c r="B35" t="s">
        <v>354</v>
      </c>
      <c r="C35" t="s">
        <v>36</v>
      </c>
      <c r="D35" t="s">
        <v>263</v>
      </c>
      <c r="E35">
        <v>29</v>
      </c>
      <c r="F35">
        <v>20</v>
      </c>
      <c r="G35" t="s">
        <v>355</v>
      </c>
      <c r="H35" t="s">
        <v>356</v>
      </c>
      <c r="I35" t="s">
        <v>44</v>
      </c>
      <c r="J35" t="s">
        <v>43</v>
      </c>
      <c r="K35" t="s">
        <v>44</v>
      </c>
      <c r="L35" t="s">
        <v>44</v>
      </c>
      <c r="M35" t="s">
        <v>43</v>
      </c>
      <c r="N35" t="s">
        <v>43</v>
      </c>
      <c r="O35" t="s">
        <v>231</v>
      </c>
      <c r="P35" t="s">
        <v>43</v>
      </c>
      <c r="Q35" t="s">
        <v>176</v>
      </c>
      <c r="R35" t="s">
        <v>176</v>
      </c>
      <c r="S35" t="s">
        <v>164</v>
      </c>
      <c r="T35" t="s">
        <v>327</v>
      </c>
      <c r="U35" t="s">
        <v>231</v>
      </c>
      <c r="V35" t="s">
        <v>357</v>
      </c>
      <c r="W35" t="s">
        <v>185</v>
      </c>
      <c r="X35" t="s">
        <v>168</v>
      </c>
      <c r="Y35" t="s">
        <v>43</v>
      </c>
      <c r="Z35" t="s">
        <v>168</v>
      </c>
      <c r="AA35" t="s">
        <v>168</v>
      </c>
      <c r="AB35" t="s">
        <v>168</v>
      </c>
      <c r="AC35" t="s">
        <v>358</v>
      </c>
      <c r="AD35" t="s">
        <v>120</v>
      </c>
      <c r="AE35" t="s">
        <v>53</v>
      </c>
      <c r="AF35" t="s">
        <v>358</v>
      </c>
      <c r="AG35" t="s">
        <v>53</v>
      </c>
      <c r="AH35" t="s">
        <v>285</v>
      </c>
    </row>
    <row r="36" spans="1:34" x14ac:dyDescent="0.25">
      <c r="A36" t="s">
        <v>359</v>
      </c>
      <c r="B36" t="s">
        <v>360</v>
      </c>
      <c r="C36" t="s">
        <v>108</v>
      </c>
      <c r="D36" t="s">
        <v>78</v>
      </c>
      <c r="E36">
        <v>23</v>
      </c>
      <c r="F36">
        <v>18</v>
      </c>
      <c r="G36" t="s">
        <v>361</v>
      </c>
      <c r="H36" t="s">
        <v>362</v>
      </c>
      <c r="I36" t="s">
        <v>114</v>
      </c>
      <c r="J36" t="s">
        <v>63</v>
      </c>
      <c r="K36" t="s">
        <v>81</v>
      </c>
      <c r="L36" t="s">
        <v>114</v>
      </c>
      <c r="M36" t="s">
        <v>43</v>
      </c>
      <c r="N36" t="s">
        <v>43</v>
      </c>
      <c r="O36" t="s">
        <v>63</v>
      </c>
      <c r="P36" t="s">
        <v>43</v>
      </c>
      <c r="Q36" t="s">
        <v>175</v>
      </c>
      <c r="R36" t="s">
        <v>175</v>
      </c>
      <c r="S36" t="s">
        <v>363</v>
      </c>
      <c r="T36" t="s">
        <v>258</v>
      </c>
      <c r="U36" t="s">
        <v>190</v>
      </c>
      <c r="V36" t="s">
        <v>131</v>
      </c>
      <c r="W36" t="s">
        <v>364</v>
      </c>
      <c r="X36" t="s">
        <v>205</v>
      </c>
      <c r="Y36" t="s">
        <v>204</v>
      </c>
      <c r="Z36" t="s">
        <v>98</v>
      </c>
      <c r="AA36" t="s">
        <v>205</v>
      </c>
      <c r="AB36" t="s">
        <v>98</v>
      </c>
      <c r="AC36" t="s">
        <v>82</v>
      </c>
      <c r="AD36" t="s">
        <v>236</v>
      </c>
      <c r="AE36" t="s">
        <v>105</v>
      </c>
      <c r="AF36" t="s">
        <v>82</v>
      </c>
      <c r="AG36" t="s">
        <v>105</v>
      </c>
      <c r="AH36" t="s">
        <v>285</v>
      </c>
    </row>
    <row r="37" spans="1:34" x14ac:dyDescent="0.25">
      <c r="A37" t="s">
        <v>365</v>
      </c>
      <c r="B37" t="s">
        <v>57</v>
      </c>
      <c r="C37" t="s">
        <v>108</v>
      </c>
      <c r="D37" t="s">
        <v>148</v>
      </c>
      <c r="E37">
        <v>32</v>
      </c>
      <c r="F37">
        <v>17</v>
      </c>
      <c r="G37" t="s">
        <v>366</v>
      </c>
      <c r="H37" t="s">
        <v>367</v>
      </c>
      <c r="I37" t="s">
        <v>43</v>
      </c>
      <c r="J37" t="s">
        <v>44</v>
      </c>
      <c r="K37" t="s">
        <v>44</v>
      </c>
      <c r="L37" t="s">
        <v>43</v>
      </c>
      <c r="M37" t="s">
        <v>43</v>
      </c>
      <c r="N37" t="s">
        <v>43</v>
      </c>
      <c r="O37" t="s">
        <v>81</v>
      </c>
      <c r="P37" t="s">
        <v>43</v>
      </c>
      <c r="Q37" t="s">
        <v>259</v>
      </c>
      <c r="R37" t="s">
        <v>259</v>
      </c>
      <c r="S37" t="s">
        <v>222</v>
      </c>
      <c r="T37" t="s">
        <v>246</v>
      </c>
      <c r="U37" t="s">
        <v>298</v>
      </c>
      <c r="V37" t="s">
        <v>226</v>
      </c>
      <c r="W37" t="s">
        <v>368</v>
      </c>
      <c r="X37" t="s">
        <v>43</v>
      </c>
      <c r="Y37" t="s">
        <v>168</v>
      </c>
      <c r="Z37" t="s">
        <v>168</v>
      </c>
      <c r="AA37" t="s">
        <v>43</v>
      </c>
      <c r="AB37" t="s">
        <v>168</v>
      </c>
      <c r="AC37" t="s">
        <v>193</v>
      </c>
      <c r="AD37" t="s">
        <v>181</v>
      </c>
      <c r="AE37" t="s">
        <v>82</v>
      </c>
      <c r="AF37" t="s">
        <v>193</v>
      </c>
      <c r="AG37" t="s">
        <v>82</v>
      </c>
      <c r="AH37" t="s">
        <v>285</v>
      </c>
    </row>
    <row r="38" spans="1:34" x14ac:dyDescent="0.25">
      <c r="A38" t="s">
        <v>369</v>
      </c>
      <c r="B38" t="s">
        <v>196</v>
      </c>
      <c r="C38" t="s">
        <v>58</v>
      </c>
      <c r="D38" t="s">
        <v>201</v>
      </c>
      <c r="E38">
        <v>35</v>
      </c>
      <c r="F38">
        <v>17</v>
      </c>
      <c r="G38" t="s">
        <v>370</v>
      </c>
      <c r="H38" t="s">
        <v>371</v>
      </c>
      <c r="I38" t="s">
        <v>40</v>
      </c>
      <c r="J38" t="s">
        <v>81</v>
      </c>
      <c r="K38" t="s">
        <v>90</v>
      </c>
      <c r="L38" t="s">
        <v>40</v>
      </c>
      <c r="M38" t="s">
        <v>43</v>
      </c>
      <c r="N38" t="s">
        <v>43</v>
      </c>
      <c r="O38" t="s">
        <v>44</v>
      </c>
      <c r="P38" t="s">
        <v>43</v>
      </c>
      <c r="Q38" t="s">
        <v>41</v>
      </c>
      <c r="R38" t="s">
        <v>41</v>
      </c>
      <c r="S38" t="s">
        <v>224</v>
      </c>
      <c r="T38" t="s">
        <v>240</v>
      </c>
      <c r="U38" t="s">
        <v>372</v>
      </c>
      <c r="V38" t="s">
        <v>373</v>
      </c>
      <c r="W38" t="s">
        <v>364</v>
      </c>
      <c r="X38" t="s">
        <v>102</v>
      </c>
      <c r="Y38" t="s">
        <v>98</v>
      </c>
      <c r="Z38" t="s">
        <v>153</v>
      </c>
      <c r="AA38" t="s">
        <v>102</v>
      </c>
      <c r="AB38" t="s">
        <v>153</v>
      </c>
      <c r="AC38" t="s">
        <v>374</v>
      </c>
      <c r="AD38" t="s">
        <v>205</v>
      </c>
      <c r="AE38" t="s">
        <v>313</v>
      </c>
      <c r="AF38" t="s">
        <v>374</v>
      </c>
      <c r="AG38" t="s">
        <v>313</v>
      </c>
      <c r="AH38" t="s">
        <v>285</v>
      </c>
    </row>
    <row r="39" spans="1:34" x14ac:dyDescent="0.25">
      <c r="A39" t="s">
        <v>375</v>
      </c>
      <c r="B39" t="s">
        <v>376</v>
      </c>
      <c r="C39" t="s">
        <v>108</v>
      </c>
      <c r="D39" t="s">
        <v>201</v>
      </c>
      <c r="E39">
        <v>22</v>
      </c>
      <c r="F39">
        <v>17</v>
      </c>
      <c r="G39" t="s">
        <v>377</v>
      </c>
      <c r="H39" t="s">
        <v>291</v>
      </c>
      <c r="I39" t="s">
        <v>43</v>
      </c>
      <c r="J39" t="s">
        <v>43</v>
      </c>
      <c r="K39" t="s">
        <v>43</v>
      </c>
      <c r="L39" t="s">
        <v>43</v>
      </c>
      <c r="M39" t="s">
        <v>43</v>
      </c>
      <c r="N39" t="s">
        <v>43</v>
      </c>
      <c r="O39" t="s">
        <v>81</v>
      </c>
      <c r="P39" t="s">
        <v>44</v>
      </c>
      <c r="Q39" t="s">
        <v>378</v>
      </c>
      <c r="R39" t="s">
        <v>378</v>
      </c>
      <c r="S39" t="s">
        <v>112</v>
      </c>
      <c r="T39" t="s">
        <v>254</v>
      </c>
      <c r="U39" t="s">
        <v>201</v>
      </c>
      <c r="V39" t="s">
        <v>379</v>
      </c>
      <c r="W39" t="s">
        <v>114</v>
      </c>
      <c r="X39" t="s">
        <v>43</v>
      </c>
      <c r="Y39" t="s">
        <v>43</v>
      </c>
      <c r="Z39" t="s">
        <v>43</v>
      </c>
      <c r="AA39" t="s">
        <v>43</v>
      </c>
      <c r="AB39" t="s">
        <v>43</v>
      </c>
      <c r="AC39" t="s">
        <v>193</v>
      </c>
      <c r="AD39" t="s">
        <v>182</v>
      </c>
      <c r="AE39" t="s">
        <v>169</v>
      </c>
      <c r="AF39" t="s">
        <v>193</v>
      </c>
      <c r="AG39" t="s">
        <v>169</v>
      </c>
      <c r="AH39" t="s">
        <v>285</v>
      </c>
    </row>
    <row r="40" spans="1:34" x14ac:dyDescent="0.25">
      <c r="A40" t="s">
        <v>380</v>
      </c>
      <c r="B40" t="s">
        <v>57</v>
      </c>
      <c r="C40" t="s">
        <v>36</v>
      </c>
      <c r="D40" t="s">
        <v>272</v>
      </c>
      <c r="E40">
        <v>23</v>
      </c>
      <c r="F40">
        <v>14</v>
      </c>
      <c r="G40" t="s">
        <v>381</v>
      </c>
      <c r="H40" t="s">
        <v>90</v>
      </c>
      <c r="I40" t="s">
        <v>44</v>
      </c>
      <c r="J40" t="s">
        <v>44</v>
      </c>
      <c r="K40" t="s">
        <v>63</v>
      </c>
      <c r="L40" t="s">
        <v>44</v>
      </c>
      <c r="M40" t="s">
        <v>43</v>
      </c>
      <c r="N40" t="s">
        <v>43</v>
      </c>
      <c r="O40" t="s">
        <v>114</v>
      </c>
      <c r="P40" t="s">
        <v>44</v>
      </c>
      <c r="Q40" t="s">
        <v>113</v>
      </c>
      <c r="R40" t="s">
        <v>113</v>
      </c>
      <c r="S40" t="s">
        <v>378</v>
      </c>
      <c r="T40" t="s">
        <v>382</v>
      </c>
      <c r="U40" t="s">
        <v>304</v>
      </c>
      <c r="V40" t="s">
        <v>115</v>
      </c>
      <c r="W40" t="s">
        <v>383</v>
      </c>
      <c r="X40" t="s">
        <v>242</v>
      </c>
      <c r="Y40" t="s">
        <v>242</v>
      </c>
      <c r="Z40" t="s">
        <v>156</v>
      </c>
      <c r="AA40" t="s">
        <v>242</v>
      </c>
      <c r="AB40" t="s">
        <v>156</v>
      </c>
      <c r="AC40" t="s">
        <v>241</v>
      </c>
      <c r="AD40" t="s">
        <v>168</v>
      </c>
      <c r="AE40" t="s">
        <v>50</v>
      </c>
      <c r="AF40" t="s">
        <v>241</v>
      </c>
      <c r="AG40" t="s">
        <v>50</v>
      </c>
      <c r="AH40" t="s">
        <v>285</v>
      </c>
    </row>
    <row r="41" spans="1:34" x14ac:dyDescent="0.25">
      <c r="A41" t="s">
        <v>384</v>
      </c>
      <c r="B41" t="s">
        <v>122</v>
      </c>
      <c r="C41" t="s">
        <v>137</v>
      </c>
      <c r="D41" t="s">
        <v>148</v>
      </c>
      <c r="E41">
        <v>21</v>
      </c>
      <c r="F41">
        <v>14</v>
      </c>
      <c r="G41" t="s">
        <v>385</v>
      </c>
      <c r="H41" t="s">
        <v>386</v>
      </c>
      <c r="I41" t="s">
        <v>231</v>
      </c>
      <c r="J41" t="s">
        <v>114</v>
      </c>
      <c r="K41" t="s">
        <v>90</v>
      </c>
      <c r="L41" t="s">
        <v>231</v>
      </c>
      <c r="M41" t="s">
        <v>43</v>
      </c>
      <c r="N41" t="s">
        <v>43</v>
      </c>
      <c r="O41" t="s">
        <v>114</v>
      </c>
      <c r="P41" t="s">
        <v>44</v>
      </c>
      <c r="Q41" t="s">
        <v>387</v>
      </c>
      <c r="R41" t="s">
        <v>387</v>
      </c>
      <c r="S41" t="s">
        <v>382</v>
      </c>
      <c r="T41" t="s">
        <v>388</v>
      </c>
      <c r="U41" t="s">
        <v>346</v>
      </c>
      <c r="V41" t="s">
        <v>165</v>
      </c>
      <c r="W41" t="s">
        <v>234</v>
      </c>
      <c r="X41" t="s">
        <v>389</v>
      </c>
      <c r="Y41" t="s">
        <v>54</v>
      </c>
      <c r="Z41" t="s">
        <v>390</v>
      </c>
      <c r="AA41" t="s">
        <v>389</v>
      </c>
      <c r="AB41" t="s">
        <v>390</v>
      </c>
      <c r="AC41" t="s">
        <v>318</v>
      </c>
      <c r="AD41" t="s">
        <v>73</v>
      </c>
      <c r="AE41" t="s">
        <v>352</v>
      </c>
      <c r="AF41" t="s">
        <v>318</v>
      </c>
      <c r="AG41" t="s">
        <v>352</v>
      </c>
      <c r="AH41" t="s">
        <v>285</v>
      </c>
    </row>
    <row r="42" spans="1:34" x14ac:dyDescent="0.25">
      <c r="A42" t="s">
        <v>391</v>
      </c>
      <c r="B42" t="s">
        <v>57</v>
      </c>
      <c r="C42" t="s">
        <v>108</v>
      </c>
      <c r="D42" t="s">
        <v>141</v>
      </c>
      <c r="E42">
        <v>17</v>
      </c>
      <c r="F42">
        <v>13</v>
      </c>
      <c r="G42" t="s">
        <v>392</v>
      </c>
      <c r="H42" t="s">
        <v>393</v>
      </c>
      <c r="I42" t="s">
        <v>63</v>
      </c>
      <c r="J42" t="s">
        <v>43</v>
      </c>
      <c r="K42" t="s">
        <v>63</v>
      </c>
      <c r="L42" t="s">
        <v>63</v>
      </c>
      <c r="M42" t="s">
        <v>43</v>
      </c>
      <c r="N42" t="s">
        <v>43</v>
      </c>
      <c r="O42" t="s">
        <v>44</v>
      </c>
      <c r="P42" t="s">
        <v>43</v>
      </c>
      <c r="Q42" t="s">
        <v>44</v>
      </c>
      <c r="R42" t="s">
        <v>44</v>
      </c>
      <c r="S42" t="s">
        <v>82</v>
      </c>
      <c r="T42" t="s">
        <v>254</v>
      </c>
      <c r="U42" t="s">
        <v>90</v>
      </c>
      <c r="V42" t="s">
        <v>394</v>
      </c>
      <c r="W42" t="s">
        <v>44</v>
      </c>
      <c r="X42" t="s">
        <v>156</v>
      </c>
      <c r="Y42" t="s">
        <v>43</v>
      </c>
      <c r="Z42" t="s">
        <v>156</v>
      </c>
      <c r="AA42" t="s">
        <v>156</v>
      </c>
      <c r="AB42" t="s">
        <v>156</v>
      </c>
      <c r="AC42" t="s">
        <v>242</v>
      </c>
      <c r="AD42" t="s">
        <v>119</v>
      </c>
      <c r="AE42" t="s">
        <v>242</v>
      </c>
      <c r="AF42" t="s">
        <v>242</v>
      </c>
      <c r="AG42" t="s">
        <v>242</v>
      </c>
      <c r="AH42" t="s">
        <v>285</v>
      </c>
    </row>
    <row r="43" spans="1:34" x14ac:dyDescent="0.25">
      <c r="A43" t="s">
        <v>395</v>
      </c>
      <c r="B43" t="s">
        <v>196</v>
      </c>
      <c r="C43" t="s">
        <v>36</v>
      </c>
      <c r="D43" t="s">
        <v>185</v>
      </c>
      <c r="E43">
        <v>26</v>
      </c>
      <c r="F43">
        <v>12</v>
      </c>
      <c r="G43" t="s">
        <v>396</v>
      </c>
      <c r="H43" t="s">
        <v>397</v>
      </c>
      <c r="I43" t="s">
        <v>44</v>
      </c>
      <c r="J43" t="s">
        <v>43</v>
      </c>
      <c r="K43" t="s">
        <v>44</v>
      </c>
      <c r="L43" t="s">
        <v>44</v>
      </c>
      <c r="M43" t="s">
        <v>43</v>
      </c>
      <c r="N43" t="s">
        <v>43</v>
      </c>
      <c r="O43" t="s">
        <v>43</v>
      </c>
      <c r="P43" t="s">
        <v>43</v>
      </c>
      <c r="Q43" t="s">
        <v>63</v>
      </c>
      <c r="R43" t="s">
        <v>63</v>
      </c>
      <c r="S43" t="s">
        <v>398</v>
      </c>
      <c r="T43" t="s">
        <v>224</v>
      </c>
      <c r="U43" t="s">
        <v>399</v>
      </c>
      <c r="V43" t="s">
        <v>400</v>
      </c>
      <c r="W43" t="s">
        <v>401</v>
      </c>
      <c r="X43" t="s">
        <v>242</v>
      </c>
      <c r="Y43" t="s">
        <v>43</v>
      </c>
      <c r="Z43" t="s">
        <v>242</v>
      </c>
      <c r="AA43" t="s">
        <v>242</v>
      </c>
      <c r="AB43" t="s">
        <v>242</v>
      </c>
      <c r="AC43" t="s">
        <v>205</v>
      </c>
      <c r="AD43" t="s">
        <v>181</v>
      </c>
      <c r="AE43" t="s">
        <v>402</v>
      </c>
      <c r="AF43" t="s">
        <v>205</v>
      </c>
      <c r="AG43" t="s">
        <v>402</v>
      </c>
      <c r="AH43" t="s">
        <v>285</v>
      </c>
    </row>
    <row r="44" spans="1:34" x14ac:dyDescent="0.25">
      <c r="A44" t="s">
        <v>403</v>
      </c>
      <c r="B44" t="s">
        <v>57</v>
      </c>
      <c r="C44" t="s">
        <v>86</v>
      </c>
      <c r="D44" t="s">
        <v>141</v>
      </c>
      <c r="E44">
        <v>34</v>
      </c>
      <c r="F44">
        <v>11</v>
      </c>
      <c r="G44" t="s">
        <v>404</v>
      </c>
      <c r="H44" t="s">
        <v>127</v>
      </c>
      <c r="I44" t="s">
        <v>114</v>
      </c>
      <c r="J44" t="s">
        <v>126</v>
      </c>
      <c r="K44" t="s">
        <v>41</v>
      </c>
      <c r="L44" t="s">
        <v>114</v>
      </c>
      <c r="M44" t="s">
        <v>43</v>
      </c>
      <c r="N44" t="s">
        <v>43</v>
      </c>
      <c r="O44" t="s">
        <v>63</v>
      </c>
      <c r="P44" t="s">
        <v>43</v>
      </c>
      <c r="Q44" t="s">
        <v>405</v>
      </c>
      <c r="R44" t="s">
        <v>405</v>
      </c>
      <c r="S44" t="s">
        <v>406</v>
      </c>
      <c r="T44" t="s">
        <v>407</v>
      </c>
      <c r="U44" t="s">
        <v>298</v>
      </c>
      <c r="V44" t="s">
        <v>408</v>
      </c>
      <c r="W44" t="s">
        <v>409</v>
      </c>
      <c r="X44" t="s">
        <v>241</v>
      </c>
      <c r="Y44" t="s">
        <v>112</v>
      </c>
      <c r="Z44" t="s">
        <v>70</v>
      </c>
      <c r="AA44" t="s">
        <v>241</v>
      </c>
      <c r="AB44" t="s">
        <v>70</v>
      </c>
      <c r="AC44" t="s">
        <v>151</v>
      </c>
      <c r="AD44" t="s">
        <v>402</v>
      </c>
      <c r="AE44" t="s">
        <v>318</v>
      </c>
      <c r="AF44" t="s">
        <v>151</v>
      </c>
      <c r="AG44" t="s">
        <v>318</v>
      </c>
      <c r="AH44" t="s">
        <v>285</v>
      </c>
    </row>
    <row r="45" spans="1:34" x14ac:dyDescent="0.25">
      <c r="A45" t="s">
        <v>410</v>
      </c>
      <c r="B45" t="s">
        <v>411</v>
      </c>
      <c r="C45" t="s">
        <v>77</v>
      </c>
      <c r="D45" t="s">
        <v>201</v>
      </c>
      <c r="E45">
        <v>10</v>
      </c>
      <c r="F45">
        <v>10</v>
      </c>
      <c r="G45" t="s">
        <v>412</v>
      </c>
      <c r="H45" t="s">
        <v>231</v>
      </c>
      <c r="I45" t="s">
        <v>43</v>
      </c>
      <c r="J45" t="s">
        <v>43</v>
      </c>
      <c r="K45" t="s">
        <v>43</v>
      </c>
      <c r="L45" t="s">
        <v>43</v>
      </c>
      <c r="M45" t="s">
        <v>43</v>
      </c>
      <c r="N45" t="s">
        <v>43</v>
      </c>
      <c r="O45" t="s">
        <v>43</v>
      </c>
      <c r="P45" t="s">
        <v>43</v>
      </c>
      <c r="Q45" t="s">
        <v>43</v>
      </c>
      <c r="R45" t="s">
        <v>43</v>
      </c>
      <c r="S45" t="s">
        <v>43</v>
      </c>
      <c r="T45" t="s">
        <v>43</v>
      </c>
      <c r="U45" t="s">
        <v>43</v>
      </c>
      <c r="V45" t="s">
        <v>44</v>
      </c>
      <c r="W45" t="s">
        <v>43</v>
      </c>
      <c r="X45" t="s">
        <v>43</v>
      </c>
      <c r="Y45" t="s">
        <v>43</v>
      </c>
      <c r="Z45" t="s">
        <v>43</v>
      </c>
      <c r="AA45" t="s">
        <v>43</v>
      </c>
      <c r="AB45" t="s">
        <v>43</v>
      </c>
      <c r="AC45" t="s">
        <v>43</v>
      </c>
      <c r="AD45" t="s">
        <v>43</v>
      </c>
      <c r="AE45" t="s">
        <v>43</v>
      </c>
      <c r="AF45" t="s">
        <v>43</v>
      </c>
      <c r="AG45" t="s">
        <v>43</v>
      </c>
      <c r="AH45" t="s">
        <v>285</v>
      </c>
    </row>
    <row r="46" spans="1:34" x14ac:dyDescent="0.25">
      <c r="A46" t="s">
        <v>413</v>
      </c>
      <c r="B46" t="s">
        <v>414</v>
      </c>
      <c r="C46" t="s">
        <v>108</v>
      </c>
      <c r="D46" t="s">
        <v>141</v>
      </c>
      <c r="E46">
        <v>11</v>
      </c>
      <c r="F46">
        <v>10</v>
      </c>
      <c r="G46" t="s">
        <v>415</v>
      </c>
      <c r="H46" t="s">
        <v>65</v>
      </c>
      <c r="I46" t="s">
        <v>44</v>
      </c>
      <c r="J46" t="s">
        <v>114</v>
      </c>
      <c r="K46" t="s">
        <v>83</v>
      </c>
      <c r="L46" t="s">
        <v>44</v>
      </c>
      <c r="M46" t="s">
        <v>43</v>
      </c>
      <c r="N46" t="s">
        <v>43</v>
      </c>
      <c r="O46" t="s">
        <v>63</v>
      </c>
      <c r="P46" t="s">
        <v>43</v>
      </c>
      <c r="Q46" t="s">
        <v>398</v>
      </c>
      <c r="R46" t="s">
        <v>398</v>
      </c>
      <c r="S46" t="s">
        <v>416</v>
      </c>
      <c r="T46" t="s">
        <v>327</v>
      </c>
      <c r="U46" t="s">
        <v>147</v>
      </c>
      <c r="V46" t="s">
        <v>78</v>
      </c>
      <c r="W46" t="s">
        <v>94</v>
      </c>
      <c r="X46" t="s">
        <v>53</v>
      </c>
      <c r="Y46" t="s">
        <v>250</v>
      </c>
      <c r="Z46" t="s">
        <v>348</v>
      </c>
      <c r="AA46" t="s">
        <v>53</v>
      </c>
      <c r="AB46" t="s">
        <v>348</v>
      </c>
      <c r="AC46" t="s">
        <v>82</v>
      </c>
      <c r="AD46" t="s">
        <v>215</v>
      </c>
      <c r="AE46" t="s">
        <v>51</v>
      </c>
      <c r="AF46" t="s">
        <v>82</v>
      </c>
      <c r="AG46" t="s">
        <v>51</v>
      </c>
      <c r="AH46" t="s">
        <v>285</v>
      </c>
    </row>
    <row r="47" spans="1:34" x14ac:dyDescent="0.25">
      <c r="A47" t="s">
        <v>417</v>
      </c>
      <c r="B47" t="s">
        <v>418</v>
      </c>
      <c r="C47" t="s">
        <v>108</v>
      </c>
      <c r="D47" t="s">
        <v>304</v>
      </c>
      <c r="E47">
        <v>10</v>
      </c>
      <c r="F47">
        <v>9</v>
      </c>
      <c r="G47" t="s">
        <v>419</v>
      </c>
      <c r="H47" t="s">
        <v>420</v>
      </c>
      <c r="I47" t="s">
        <v>43</v>
      </c>
      <c r="J47" t="s">
        <v>43</v>
      </c>
      <c r="K47" t="s">
        <v>43</v>
      </c>
      <c r="L47" t="s">
        <v>43</v>
      </c>
      <c r="M47" t="s">
        <v>43</v>
      </c>
      <c r="N47" t="s">
        <v>43</v>
      </c>
      <c r="O47" t="s">
        <v>63</v>
      </c>
      <c r="P47" t="s">
        <v>43</v>
      </c>
      <c r="Q47" t="s">
        <v>176</v>
      </c>
      <c r="R47" t="s">
        <v>176</v>
      </c>
      <c r="S47" t="s">
        <v>82</v>
      </c>
      <c r="T47" t="s">
        <v>70</v>
      </c>
      <c r="U47" t="s">
        <v>40</v>
      </c>
      <c r="V47" t="s">
        <v>165</v>
      </c>
      <c r="W47" t="s">
        <v>44</v>
      </c>
      <c r="X47" t="s">
        <v>43</v>
      </c>
      <c r="Y47" t="s">
        <v>43</v>
      </c>
      <c r="Z47" t="s">
        <v>43</v>
      </c>
      <c r="AA47" t="s">
        <v>43</v>
      </c>
      <c r="AB47" t="s">
        <v>43</v>
      </c>
      <c r="AC47" t="s">
        <v>169</v>
      </c>
      <c r="AD47" t="s">
        <v>119</v>
      </c>
      <c r="AE47" t="s">
        <v>169</v>
      </c>
      <c r="AF47" t="s">
        <v>169</v>
      </c>
      <c r="AG47" t="s">
        <v>169</v>
      </c>
      <c r="AH47" t="s">
        <v>285</v>
      </c>
    </row>
    <row r="48" spans="1:34" x14ac:dyDescent="0.25">
      <c r="A48" t="s">
        <v>421</v>
      </c>
      <c r="B48" t="s">
        <v>422</v>
      </c>
      <c r="C48" t="s">
        <v>108</v>
      </c>
      <c r="D48" t="s">
        <v>37</v>
      </c>
      <c r="E48">
        <v>13</v>
      </c>
      <c r="F48">
        <v>8</v>
      </c>
      <c r="G48" t="s">
        <v>423</v>
      </c>
      <c r="H48" t="s">
        <v>424</v>
      </c>
      <c r="I48" t="s">
        <v>43</v>
      </c>
      <c r="J48" t="s">
        <v>114</v>
      </c>
      <c r="K48" t="s">
        <v>114</v>
      </c>
      <c r="L48" t="s">
        <v>43</v>
      </c>
      <c r="M48" t="s">
        <v>43</v>
      </c>
      <c r="N48" t="s">
        <v>43</v>
      </c>
      <c r="O48" t="s">
        <v>43</v>
      </c>
      <c r="P48" t="s">
        <v>43</v>
      </c>
      <c r="Q48" t="s">
        <v>82</v>
      </c>
      <c r="R48" t="s">
        <v>82</v>
      </c>
      <c r="S48" t="s">
        <v>44</v>
      </c>
      <c r="T48" t="s">
        <v>254</v>
      </c>
      <c r="U48" t="s">
        <v>201</v>
      </c>
      <c r="V48" t="s">
        <v>304</v>
      </c>
      <c r="W48" t="s">
        <v>425</v>
      </c>
      <c r="X48" t="s">
        <v>43</v>
      </c>
      <c r="Y48" t="s">
        <v>112</v>
      </c>
      <c r="Z48" t="s">
        <v>112</v>
      </c>
      <c r="AA48" t="s">
        <v>43</v>
      </c>
      <c r="AB48" t="s">
        <v>112</v>
      </c>
      <c r="AC48" t="s">
        <v>119</v>
      </c>
      <c r="AD48" t="s">
        <v>218</v>
      </c>
      <c r="AE48" t="s">
        <v>156</v>
      </c>
      <c r="AF48" t="s">
        <v>119</v>
      </c>
      <c r="AG48" t="s">
        <v>156</v>
      </c>
      <c r="AH48" t="s">
        <v>285</v>
      </c>
    </row>
    <row r="49" spans="1:34" x14ac:dyDescent="0.25">
      <c r="A49" t="s">
        <v>426</v>
      </c>
      <c r="B49" t="s">
        <v>57</v>
      </c>
      <c r="C49" t="s">
        <v>36</v>
      </c>
      <c r="D49" t="s">
        <v>203</v>
      </c>
      <c r="E49">
        <v>5</v>
      </c>
      <c r="F49">
        <v>1</v>
      </c>
      <c r="G49" t="s">
        <v>427</v>
      </c>
      <c r="H49" t="s">
        <v>44</v>
      </c>
      <c r="I49" t="s">
        <v>43</v>
      </c>
      <c r="J49" t="s">
        <v>43</v>
      </c>
      <c r="K49" t="s">
        <v>43</v>
      </c>
      <c r="L49" t="s">
        <v>43</v>
      </c>
      <c r="M49" t="s">
        <v>43</v>
      </c>
      <c r="N49" t="s">
        <v>43</v>
      </c>
      <c r="O49" t="s">
        <v>43</v>
      </c>
      <c r="P49" t="s">
        <v>43</v>
      </c>
      <c r="Q49" t="s">
        <v>82</v>
      </c>
      <c r="R49" t="s">
        <v>82</v>
      </c>
      <c r="S49" t="s">
        <v>43</v>
      </c>
      <c r="T49" t="s">
        <v>82</v>
      </c>
      <c r="U49" t="s">
        <v>114</v>
      </c>
      <c r="V49" t="s">
        <v>114</v>
      </c>
      <c r="W49" t="s">
        <v>142</v>
      </c>
      <c r="X49" t="s">
        <v>43</v>
      </c>
      <c r="Y49" t="s">
        <v>43</v>
      </c>
      <c r="Z49" t="s">
        <v>43</v>
      </c>
      <c r="AA49" t="s">
        <v>43</v>
      </c>
      <c r="AB49" t="s">
        <v>43</v>
      </c>
      <c r="AC49" t="s">
        <v>218</v>
      </c>
      <c r="AD49" t="s">
        <v>43</v>
      </c>
      <c r="AE49" t="s">
        <v>218</v>
      </c>
      <c r="AF49" t="s">
        <v>218</v>
      </c>
      <c r="AG49" t="s">
        <v>218</v>
      </c>
      <c r="AH49" t="s">
        <v>285</v>
      </c>
    </row>
    <row r="50" spans="1:34" x14ac:dyDescent="0.25">
      <c r="A50" t="s">
        <v>428</v>
      </c>
      <c r="B50" t="s">
        <v>35</v>
      </c>
      <c r="C50" t="s">
        <v>36</v>
      </c>
      <c r="D50" t="s">
        <v>203</v>
      </c>
      <c r="E50">
        <v>1</v>
      </c>
      <c r="F50">
        <v>0</v>
      </c>
      <c r="G50" t="s">
        <v>148</v>
      </c>
      <c r="H50" t="s">
        <v>163</v>
      </c>
      <c r="I50" t="s">
        <v>43</v>
      </c>
      <c r="J50" t="s">
        <v>43</v>
      </c>
      <c r="K50" t="s">
        <v>43</v>
      </c>
      <c r="L50" t="s">
        <v>43</v>
      </c>
      <c r="M50" t="s">
        <v>43</v>
      </c>
      <c r="N50" t="s">
        <v>43</v>
      </c>
      <c r="O50" t="s">
        <v>43</v>
      </c>
      <c r="P50" t="s">
        <v>43</v>
      </c>
      <c r="Q50" t="s">
        <v>43</v>
      </c>
      <c r="R50" t="s">
        <v>43</v>
      </c>
      <c r="S50" t="s">
        <v>43</v>
      </c>
      <c r="T50" t="s">
        <v>43</v>
      </c>
      <c r="U50" t="s">
        <v>43</v>
      </c>
      <c r="V50" t="s">
        <v>44</v>
      </c>
      <c r="W50" t="s">
        <v>43</v>
      </c>
      <c r="X50" t="s">
        <v>43</v>
      </c>
      <c r="Y50" t="s">
        <v>43</v>
      </c>
      <c r="Z50" t="s">
        <v>43</v>
      </c>
      <c r="AA50" t="s">
        <v>43</v>
      </c>
      <c r="AB50" t="s">
        <v>43</v>
      </c>
      <c r="AC50" t="s">
        <v>43</v>
      </c>
      <c r="AD50" t="s">
        <v>43</v>
      </c>
      <c r="AE50" t="s">
        <v>43</v>
      </c>
      <c r="AF50" t="s">
        <v>43</v>
      </c>
      <c r="AG50" t="s">
        <v>43</v>
      </c>
      <c r="AH50" t="s">
        <v>285</v>
      </c>
    </row>
    <row r="51" spans="1:34" x14ac:dyDescent="0.25">
      <c r="A51" t="s">
        <v>429</v>
      </c>
      <c r="B51" t="s">
        <v>360</v>
      </c>
      <c r="C51" t="s">
        <v>137</v>
      </c>
      <c r="D51" t="s">
        <v>42</v>
      </c>
      <c r="E51">
        <v>1</v>
      </c>
      <c r="F51">
        <v>0</v>
      </c>
      <c r="G51" t="s">
        <v>232</v>
      </c>
      <c r="H51" t="s">
        <v>241</v>
      </c>
      <c r="I51" t="s">
        <v>43</v>
      </c>
      <c r="J51" t="s">
        <v>43</v>
      </c>
      <c r="K51" t="s">
        <v>43</v>
      </c>
      <c r="L51" t="s">
        <v>43</v>
      </c>
      <c r="M51" t="s">
        <v>43</v>
      </c>
      <c r="N51" t="s">
        <v>43</v>
      </c>
      <c r="O51" t="s">
        <v>43</v>
      </c>
      <c r="P51" t="s">
        <v>43</v>
      </c>
      <c r="Q51" t="s">
        <v>43</v>
      </c>
      <c r="R51" t="s">
        <v>43</v>
      </c>
      <c r="S51" t="s">
        <v>43</v>
      </c>
      <c r="T51" t="s">
        <v>43</v>
      </c>
      <c r="U51" t="s">
        <v>43</v>
      </c>
      <c r="V51" t="s">
        <v>43</v>
      </c>
      <c r="W51" t="s">
        <v>43</v>
      </c>
      <c r="X51" t="s">
        <v>43</v>
      </c>
      <c r="Y51" t="s">
        <v>43</v>
      </c>
      <c r="Z51" t="s">
        <v>43</v>
      </c>
      <c r="AA51" t="s">
        <v>43</v>
      </c>
      <c r="AB51" t="s">
        <v>43</v>
      </c>
      <c r="AC51" t="s">
        <v>43</v>
      </c>
      <c r="AD51" t="s">
        <v>43</v>
      </c>
      <c r="AE51" t="s">
        <v>43</v>
      </c>
      <c r="AF51" t="s">
        <v>43</v>
      </c>
      <c r="AG51" t="s">
        <v>43</v>
      </c>
      <c r="AH51" t="s">
        <v>285</v>
      </c>
    </row>
    <row r="52" spans="1:34" x14ac:dyDescent="0.25">
      <c r="A52" t="s">
        <v>430</v>
      </c>
      <c r="B52" t="s">
        <v>57</v>
      </c>
      <c r="C52" t="s">
        <v>137</v>
      </c>
      <c r="D52" t="s">
        <v>42</v>
      </c>
      <c r="E52">
        <v>2</v>
      </c>
      <c r="F52">
        <v>0</v>
      </c>
      <c r="G52" t="s">
        <v>41</v>
      </c>
      <c r="H52" t="s">
        <v>82</v>
      </c>
      <c r="I52" t="s">
        <v>43</v>
      </c>
      <c r="J52" t="s">
        <v>43</v>
      </c>
      <c r="K52" t="s">
        <v>43</v>
      </c>
      <c r="L52" t="s">
        <v>43</v>
      </c>
      <c r="M52" t="s">
        <v>43</v>
      </c>
      <c r="N52" t="s">
        <v>43</v>
      </c>
      <c r="O52" t="s">
        <v>44</v>
      </c>
      <c r="P52" t="s">
        <v>43</v>
      </c>
      <c r="Q52" t="s">
        <v>43</v>
      </c>
      <c r="R52" t="s">
        <v>43</v>
      </c>
      <c r="S52" t="s">
        <v>43</v>
      </c>
      <c r="T52" t="s">
        <v>43</v>
      </c>
      <c r="U52" t="s">
        <v>43</v>
      </c>
      <c r="V52" t="s">
        <v>44</v>
      </c>
      <c r="W52" t="s">
        <v>63</v>
      </c>
      <c r="X52" t="s">
        <v>43</v>
      </c>
      <c r="Y52" t="s">
        <v>43</v>
      </c>
      <c r="Z52" t="s">
        <v>43</v>
      </c>
      <c r="AA52" t="s">
        <v>43</v>
      </c>
      <c r="AB52" t="s">
        <v>43</v>
      </c>
      <c r="AC52" t="s">
        <v>43</v>
      </c>
      <c r="AD52" t="s">
        <v>43</v>
      </c>
      <c r="AE52" t="s">
        <v>43</v>
      </c>
      <c r="AF52" t="s">
        <v>43</v>
      </c>
      <c r="AG52" t="s">
        <v>43</v>
      </c>
      <c r="AH52" t="s">
        <v>285</v>
      </c>
    </row>
    <row r="53" spans="1:34" x14ac:dyDescent="0.25">
      <c r="A53" t="s">
        <v>431</v>
      </c>
      <c r="B53" t="s">
        <v>432</v>
      </c>
      <c r="C53" t="s">
        <v>108</v>
      </c>
      <c r="D53" t="s">
        <v>141</v>
      </c>
      <c r="E53">
        <v>1</v>
      </c>
      <c r="F53">
        <v>0</v>
      </c>
      <c r="G53" t="s">
        <v>40</v>
      </c>
      <c r="H53" t="s">
        <v>82</v>
      </c>
      <c r="I53" t="s">
        <v>43</v>
      </c>
      <c r="J53" t="s">
        <v>43</v>
      </c>
      <c r="K53" t="s">
        <v>43</v>
      </c>
      <c r="L53" t="s">
        <v>43</v>
      </c>
      <c r="M53" t="s">
        <v>43</v>
      </c>
      <c r="N53" t="s">
        <v>43</v>
      </c>
      <c r="O53" t="s">
        <v>43</v>
      </c>
      <c r="P53" t="s">
        <v>43</v>
      </c>
      <c r="Q53" t="s">
        <v>43</v>
      </c>
      <c r="R53" t="s">
        <v>43</v>
      </c>
      <c r="S53" t="s">
        <v>43</v>
      </c>
      <c r="T53" t="s">
        <v>43</v>
      </c>
      <c r="U53" t="s">
        <v>43</v>
      </c>
      <c r="V53" t="s">
        <v>43</v>
      </c>
      <c r="W53" t="s">
        <v>44</v>
      </c>
      <c r="X53" t="s">
        <v>43</v>
      </c>
      <c r="Y53" t="s">
        <v>43</v>
      </c>
      <c r="Z53" t="s">
        <v>43</v>
      </c>
      <c r="AA53" t="s">
        <v>43</v>
      </c>
      <c r="AB53" t="s">
        <v>43</v>
      </c>
      <c r="AC53" t="s">
        <v>43</v>
      </c>
      <c r="AD53" t="s">
        <v>43</v>
      </c>
      <c r="AE53" t="s">
        <v>43</v>
      </c>
      <c r="AF53" t="s">
        <v>43</v>
      </c>
      <c r="AG53" t="s">
        <v>43</v>
      </c>
      <c r="AH53" t="s">
        <v>285</v>
      </c>
    </row>
    <row r="54" spans="1:34" x14ac:dyDescent="0.25">
      <c r="A54" t="s">
        <v>433</v>
      </c>
      <c r="B54" t="s">
        <v>35</v>
      </c>
      <c r="C54" t="s">
        <v>36</v>
      </c>
      <c r="D54" t="s">
        <v>140</v>
      </c>
      <c r="E54">
        <v>1</v>
      </c>
      <c r="F54">
        <v>0</v>
      </c>
      <c r="G54" t="s">
        <v>126</v>
      </c>
      <c r="H54" t="s">
        <v>82</v>
      </c>
      <c r="I54" t="s">
        <v>43</v>
      </c>
      <c r="J54" t="s">
        <v>43</v>
      </c>
      <c r="K54" t="s">
        <v>43</v>
      </c>
      <c r="L54" t="s">
        <v>43</v>
      </c>
      <c r="M54" t="s">
        <v>43</v>
      </c>
      <c r="N54" t="s">
        <v>43</v>
      </c>
      <c r="O54" t="s">
        <v>43</v>
      </c>
      <c r="P54" t="s">
        <v>43</v>
      </c>
      <c r="Q54" t="s">
        <v>43</v>
      </c>
      <c r="R54" t="s">
        <v>43</v>
      </c>
      <c r="S54" t="s">
        <v>43</v>
      </c>
      <c r="T54" t="s">
        <v>43</v>
      </c>
      <c r="U54" t="s">
        <v>43</v>
      </c>
      <c r="V54" t="s">
        <v>43</v>
      </c>
      <c r="W54" t="s">
        <v>43</v>
      </c>
      <c r="X54" t="s">
        <v>43</v>
      </c>
      <c r="Y54" t="s">
        <v>43</v>
      </c>
      <c r="Z54" t="s">
        <v>43</v>
      </c>
      <c r="AA54" t="s">
        <v>43</v>
      </c>
      <c r="AB54" t="s">
        <v>43</v>
      </c>
      <c r="AC54" t="s">
        <v>43</v>
      </c>
      <c r="AD54" t="s">
        <v>43</v>
      </c>
      <c r="AE54" t="s">
        <v>43</v>
      </c>
      <c r="AF54" t="s">
        <v>43</v>
      </c>
      <c r="AG54" t="s">
        <v>43</v>
      </c>
      <c r="AH54" t="s">
        <v>285</v>
      </c>
    </row>
    <row r="55" spans="1:34" x14ac:dyDescent="0.25">
      <c r="A55" t="s">
        <v>434</v>
      </c>
      <c r="B55" t="s">
        <v>57</v>
      </c>
      <c r="C55" t="s">
        <v>36</v>
      </c>
      <c r="D55" t="s">
        <v>203</v>
      </c>
      <c r="E55">
        <v>3</v>
      </c>
      <c r="F55">
        <v>0</v>
      </c>
      <c r="G55" t="s">
        <v>83</v>
      </c>
      <c r="H55" t="s">
        <v>43</v>
      </c>
      <c r="I55" t="s">
        <v>43</v>
      </c>
      <c r="J55" t="s">
        <v>43</v>
      </c>
      <c r="K55" t="s">
        <v>43</v>
      </c>
      <c r="L55" t="s">
        <v>43</v>
      </c>
      <c r="M55" t="s">
        <v>43</v>
      </c>
      <c r="N55" t="s">
        <v>43</v>
      </c>
      <c r="O55" t="s">
        <v>43</v>
      </c>
      <c r="P55" t="s">
        <v>43</v>
      </c>
      <c r="Q55" t="s">
        <v>43</v>
      </c>
      <c r="R55" t="s">
        <v>43</v>
      </c>
      <c r="S55" t="s">
        <v>43</v>
      </c>
      <c r="T55" t="s">
        <v>43</v>
      </c>
      <c r="U55" t="s">
        <v>43</v>
      </c>
      <c r="V55" t="s">
        <v>44</v>
      </c>
      <c r="W55" t="s">
        <v>43</v>
      </c>
      <c r="X55" t="s">
        <v>43</v>
      </c>
      <c r="Y55" t="s">
        <v>43</v>
      </c>
      <c r="Z55" t="s">
        <v>43</v>
      </c>
      <c r="AA55" t="s">
        <v>43</v>
      </c>
      <c r="AB55" t="s">
        <v>43</v>
      </c>
      <c r="AC55" t="s">
        <v>43</v>
      </c>
      <c r="AD55" t="s">
        <v>43</v>
      </c>
      <c r="AE55" t="s">
        <v>43</v>
      </c>
      <c r="AF55" t="s">
        <v>43</v>
      </c>
      <c r="AG55" t="s">
        <v>43</v>
      </c>
      <c r="AH55" t="s">
        <v>285</v>
      </c>
    </row>
    <row r="56" spans="1:34" x14ac:dyDescent="0.25">
      <c r="A56" t="s">
        <v>435</v>
      </c>
      <c r="B56" t="s">
        <v>57</v>
      </c>
      <c r="C56" t="s">
        <v>137</v>
      </c>
      <c r="D56" t="s">
        <v>203</v>
      </c>
      <c r="E56">
        <v>1</v>
      </c>
      <c r="F56">
        <v>0</v>
      </c>
      <c r="G56" t="s">
        <v>44</v>
      </c>
      <c r="H56" t="s">
        <v>43</v>
      </c>
      <c r="I56" t="s">
        <v>43</v>
      </c>
      <c r="J56" t="s">
        <v>43</v>
      </c>
      <c r="K56" t="s">
        <v>43</v>
      </c>
      <c r="L56" t="s">
        <v>43</v>
      </c>
      <c r="M56" t="s">
        <v>43</v>
      </c>
      <c r="N56" t="s">
        <v>43</v>
      </c>
      <c r="O56" t="s">
        <v>43</v>
      </c>
      <c r="P56" t="s">
        <v>43</v>
      </c>
      <c r="Q56" t="s">
        <v>43</v>
      </c>
      <c r="R56" t="s">
        <v>43</v>
      </c>
      <c r="S56" t="s">
        <v>43</v>
      </c>
      <c r="T56" t="s">
        <v>43</v>
      </c>
      <c r="U56" t="s">
        <v>43</v>
      </c>
      <c r="V56" t="s">
        <v>44</v>
      </c>
      <c r="W56" t="s">
        <v>43</v>
      </c>
      <c r="X56" t="s">
        <v>43</v>
      </c>
      <c r="Y56" t="s">
        <v>43</v>
      </c>
      <c r="Z56" t="s">
        <v>43</v>
      </c>
      <c r="AA56" t="s">
        <v>43</v>
      </c>
      <c r="AB56" t="s">
        <v>43</v>
      </c>
      <c r="AC56" t="s">
        <v>43</v>
      </c>
      <c r="AD56" t="s">
        <v>43</v>
      </c>
      <c r="AE56" t="s">
        <v>43</v>
      </c>
      <c r="AF56" t="s">
        <v>43</v>
      </c>
      <c r="AG56" t="s">
        <v>43</v>
      </c>
      <c r="AH56" t="s">
        <v>285</v>
      </c>
    </row>
    <row r="57" spans="1:34" x14ac:dyDescent="0.25">
      <c r="A57" t="s">
        <v>436</v>
      </c>
      <c r="B57" t="s">
        <v>376</v>
      </c>
      <c r="C57" t="s">
        <v>108</v>
      </c>
      <c r="D57" t="s">
        <v>272</v>
      </c>
      <c r="E57">
        <v>38</v>
      </c>
      <c r="F57">
        <v>38</v>
      </c>
      <c r="G57" t="s">
        <v>437</v>
      </c>
      <c r="H57" t="s">
        <v>227</v>
      </c>
      <c r="I57" t="s">
        <v>63</v>
      </c>
      <c r="J57" t="s">
        <v>44</v>
      </c>
      <c r="K57" t="s">
        <v>114</v>
      </c>
      <c r="L57" t="s">
        <v>63</v>
      </c>
      <c r="M57" t="s">
        <v>43</v>
      </c>
      <c r="N57" t="s">
        <v>43</v>
      </c>
      <c r="O57" t="s">
        <v>83</v>
      </c>
      <c r="P57" t="s">
        <v>43</v>
      </c>
      <c r="Q57" t="s">
        <v>223</v>
      </c>
      <c r="R57" t="s">
        <v>223</v>
      </c>
      <c r="S57" t="s">
        <v>241</v>
      </c>
      <c r="T57" t="s">
        <v>255</v>
      </c>
      <c r="U57" t="s">
        <v>167</v>
      </c>
      <c r="V57" t="s">
        <v>116</v>
      </c>
      <c r="W57" t="s">
        <v>126</v>
      </c>
      <c r="X57" t="s">
        <v>168</v>
      </c>
      <c r="Y57" t="s">
        <v>358</v>
      </c>
      <c r="Z57" t="s">
        <v>242</v>
      </c>
      <c r="AA57" t="s">
        <v>168</v>
      </c>
      <c r="AB57" t="s">
        <v>242</v>
      </c>
      <c r="AC57" t="s">
        <v>193</v>
      </c>
      <c r="AD57" t="s">
        <v>119</v>
      </c>
      <c r="AE57" t="s">
        <v>168</v>
      </c>
      <c r="AF57" t="s">
        <v>193</v>
      </c>
      <c r="AG57" t="s">
        <v>168</v>
      </c>
      <c r="AH57" t="s">
        <v>438</v>
      </c>
    </row>
    <row r="58" spans="1:34" x14ac:dyDescent="0.25">
      <c r="A58" t="s">
        <v>439</v>
      </c>
      <c r="B58" t="s">
        <v>57</v>
      </c>
      <c r="C58" t="s">
        <v>36</v>
      </c>
      <c r="D58" t="s">
        <v>201</v>
      </c>
      <c r="E58">
        <v>38</v>
      </c>
      <c r="F58">
        <v>37</v>
      </c>
      <c r="G58" t="s">
        <v>440</v>
      </c>
      <c r="H58" t="s">
        <v>441</v>
      </c>
      <c r="I58" t="s">
        <v>142</v>
      </c>
      <c r="J58" t="s">
        <v>40</v>
      </c>
      <c r="K58" t="s">
        <v>127</v>
      </c>
      <c r="L58" t="s">
        <v>142</v>
      </c>
      <c r="M58" t="s">
        <v>43</v>
      </c>
      <c r="N58" t="s">
        <v>43</v>
      </c>
      <c r="O58" t="s">
        <v>81</v>
      </c>
      <c r="P58" t="s">
        <v>43</v>
      </c>
      <c r="Q58" t="s">
        <v>382</v>
      </c>
      <c r="R58" t="s">
        <v>382</v>
      </c>
      <c r="S58" t="s">
        <v>387</v>
      </c>
      <c r="T58" t="s">
        <v>388</v>
      </c>
      <c r="U58" t="s">
        <v>338</v>
      </c>
      <c r="V58" t="s">
        <v>442</v>
      </c>
      <c r="W58" t="s">
        <v>94</v>
      </c>
      <c r="X58" t="s">
        <v>241</v>
      </c>
      <c r="Y58" t="s">
        <v>103</v>
      </c>
      <c r="Z58" t="s">
        <v>318</v>
      </c>
      <c r="AA58" t="s">
        <v>241</v>
      </c>
      <c r="AB58" t="s">
        <v>318</v>
      </c>
      <c r="AC58" t="s">
        <v>120</v>
      </c>
      <c r="AD58" t="s">
        <v>156</v>
      </c>
      <c r="AE58" t="s">
        <v>54</v>
      </c>
      <c r="AF58" t="s">
        <v>120</v>
      </c>
      <c r="AG58" t="s">
        <v>54</v>
      </c>
      <c r="AH58" t="s">
        <v>438</v>
      </c>
    </row>
    <row r="59" spans="1:34" x14ac:dyDescent="0.25">
      <c r="A59" t="s">
        <v>443</v>
      </c>
      <c r="B59" t="s">
        <v>136</v>
      </c>
      <c r="C59" t="s">
        <v>36</v>
      </c>
      <c r="D59" t="s">
        <v>201</v>
      </c>
      <c r="E59">
        <v>35</v>
      </c>
      <c r="F59">
        <v>35</v>
      </c>
      <c r="G59" t="s">
        <v>444</v>
      </c>
      <c r="H59" t="s">
        <v>445</v>
      </c>
      <c r="I59" t="s">
        <v>40</v>
      </c>
      <c r="J59" t="s">
        <v>231</v>
      </c>
      <c r="K59" t="s">
        <v>203</v>
      </c>
      <c r="L59" t="s">
        <v>126</v>
      </c>
      <c r="M59" t="s">
        <v>63</v>
      </c>
      <c r="N59" t="s">
        <v>63</v>
      </c>
      <c r="O59" t="s">
        <v>63</v>
      </c>
      <c r="P59" t="s">
        <v>43</v>
      </c>
      <c r="Q59" t="s">
        <v>446</v>
      </c>
      <c r="R59" t="s">
        <v>337</v>
      </c>
      <c r="S59" t="s">
        <v>447</v>
      </c>
      <c r="T59" t="s">
        <v>308</v>
      </c>
      <c r="U59" t="s">
        <v>448</v>
      </c>
      <c r="V59" t="s">
        <v>449</v>
      </c>
      <c r="W59" t="s">
        <v>450</v>
      </c>
      <c r="X59" t="s">
        <v>402</v>
      </c>
      <c r="Y59" t="s">
        <v>236</v>
      </c>
      <c r="Z59" t="s">
        <v>52</v>
      </c>
      <c r="AA59" t="s">
        <v>215</v>
      </c>
      <c r="AB59" t="s">
        <v>451</v>
      </c>
      <c r="AC59" t="s">
        <v>103</v>
      </c>
      <c r="AD59" t="s">
        <v>51</v>
      </c>
      <c r="AE59" t="s">
        <v>176</v>
      </c>
      <c r="AF59" t="s">
        <v>215</v>
      </c>
      <c r="AG59" t="s">
        <v>216</v>
      </c>
      <c r="AH59" t="s">
        <v>438</v>
      </c>
    </row>
    <row r="60" spans="1:34" x14ac:dyDescent="0.25">
      <c r="A60" t="s">
        <v>452</v>
      </c>
      <c r="B60" t="s">
        <v>57</v>
      </c>
      <c r="C60" t="s">
        <v>108</v>
      </c>
      <c r="D60" t="s">
        <v>268</v>
      </c>
      <c r="E60">
        <v>37</v>
      </c>
      <c r="F60">
        <v>35</v>
      </c>
      <c r="G60" t="s">
        <v>453</v>
      </c>
      <c r="H60" t="s">
        <v>454</v>
      </c>
      <c r="I60" t="s">
        <v>83</v>
      </c>
      <c r="J60" t="s">
        <v>83</v>
      </c>
      <c r="K60" t="s">
        <v>40</v>
      </c>
      <c r="L60" t="s">
        <v>83</v>
      </c>
      <c r="M60" t="s">
        <v>43</v>
      </c>
      <c r="N60" t="s">
        <v>43</v>
      </c>
      <c r="O60" t="s">
        <v>40</v>
      </c>
      <c r="P60" t="s">
        <v>43</v>
      </c>
      <c r="Q60" t="s">
        <v>200</v>
      </c>
      <c r="R60" t="s">
        <v>200</v>
      </c>
      <c r="S60" t="s">
        <v>455</v>
      </c>
      <c r="T60" t="s">
        <v>81</v>
      </c>
      <c r="U60" t="s">
        <v>298</v>
      </c>
      <c r="V60" t="s">
        <v>456</v>
      </c>
      <c r="W60" t="s">
        <v>457</v>
      </c>
      <c r="X60" t="s">
        <v>53</v>
      </c>
      <c r="Y60" t="s">
        <v>53</v>
      </c>
      <c r="Z60" t="s">
        <v>54</v>
      </c>
      <c r="AA60" t="s">
        <v>53</v>
      </c>
      <c r="AB60" t="s">
        <v>54</v>
      </c>
      <c r="AC60" t="s">
        <v>358</v>
      </c>
      <c r="AD60" t="s">
        <v>204</v>
      </c>
      <c r="AE60" t="s">
        <v>156</v>
      </c>
      <c r="AF60" t="s">
        <v>358</v>
      </c>
      <c r="AG60" t="s">
        <v>156</v>
      </c>
      <c r="AH60" t="s">
        <v>438</v>
      </c>
    </row>
    <row r="61" spans="1:34" x14ac:dyDescent="0.25">
      <c r="A61" t="s">
        <v>458</v>
      </c>
      <c r="B61" t="s">
        <v>57</v>
      </c>
      <c r="C61" t="s">
        <v>137</v>
      </c>
      <c r="D61" t="s">
        <v>185</v>
      </c>
      <c r="E61">
        <v>35</v>
      </c>
      <c r="F61">
        <v>35</v>
      </c>
      <c r="G61" t="s">
        <v>459</v>
      </c>
      <c r="H61" t="s">
        <v>460</v>
      </c>
      <c r="I61" t="s">
        <v>167</v>
      </c>
      <c r="J61" t="s">
        <v>41</v>
      </c>
      <c r="K61" t="s">
        <v>268</v>
      </c>
      <c r="L61" t="s">
        <v>231</v>
      </c>
      <c r="M61" t="s">
        <v>126</v>
      </c>
      <c r="N61" t="s">
        <v>126</v>
      </c>
      <c r="O61" t="s">
        <v>83</v>
      </c>
      <c r="P61" t="s">
        <v>43</v>
      </c>
      <c r="Q61" t="s">
        <v>308</v>
      </c>
      <c r="R61" t="s">
        <v>461</v>
      </c>
      <c r="S61" t="s">
        <v>462</v>
      </c>
      <c r="T61" t="s">
        <v>307</v>
      </c>
      <c r="U61" t="s">
        <v>463</v>
      </c>
      <c r="V61" t="s">
        <v>149</v>
      </c>
      <c r="W61" t="s">
        <v>464</v>
      </c>
      <c r="X61" t="s">
        <v>374</v>
      </c>
      <c r="Y61" t="s">
        <v>51</v>
      </c>
      <c r="Z61" t="s">
        <v>465</v>
      </c>
      <c r="AA61" t="s">
        <v>100</v>
      </c>
      <c r="AB61" t="s">
        <v>74</v>
      </c>
      <c r="AC61" t="s">
        <v>348</v>
      </c>
      <c r="AD61" t="s">
        <v>466</v>
      </c>
      <c r="AE61" t="s">
        <v>259</v>
      </c>
      <c r="AF61" t="s">
        <v>72</v>
      </c>
      <c r="AG61" t="s">
        <v>99</v>
      </c>
      <c r="AH61" t="s">
        <v>438</v>
      </c>
    </row>
    <row r="62" spans="1:34" x14ac:dyDescent="0.25">
      <c r="A62" t="s">
        <v>467</v>
      </c>
      <c r="B62" t="s">
        <v>76</v>
      </c>
      <c r="C62" t="s">
        <v>108</v>
      </c>
      <c r="D62" t="s">
        <v>268</v>
      </c>
      <c r="E62">
        <v>36</v>
      </c>
      <c r="F62">
        <v>34</v>
      </c>
      <c r="G62" t="s">
        <v>468</v>
      </c>
      <c r="H62" t="s">
        <v>469</v>
      </c>
      <c r="I62" t="s">
        <v>83</v>
      </c>
      <c r="J62" t="s">
        <v>43</v>
      </c>
      <c r="K62" t="s">
        <v>83</v>
      </c>
      <c r="L62" t="s">
        <v>83</v>
      </c>
      <c r="M62" t="s">
        <v>43</v>
      </c>
      <c r="N62" t="s">
        <v>43</v>
      </c>
      <c r="O62" t="s">
        <v>83</v>
      </c>
      <c r="P62" t="s">
        <v>43</v>
      </c>
      <c r="Q62" t="s">
        <v>145</v>
      </c>
      <c r="R62" t="s">
        <v>145</v>
      </c>
      <c r="S62" t="s">
        <v>378</v>
      </c>
      <c r="T62" t="s">
        <v>81</v>
      </c>
      <c r="U62" t="s">
        <v>90</v>
      </c>
      <c r="V62" t="s">
        <v>470</v>
      </c>
      <c r="W62" t="s">
        <v>40</v>
      </c>
      <c r="X62" t="s">
        <v>53</v>
      </c>
      <c r="Y62" t="s">
        <v>43</v>
      </c>
      <c r="Z62" t="s">
        <v>53</v>
      </c>
      <c r="AA62" t="s">
        <v>53</v>
      </c>
      <c r="AB62" t="s">
        <v>53</v>
      </c>
      <c r="AC62" t="s">
        <v>118</v>
      </c>
      <c r="AD62" t="s">
        <v>182</v>
      </c>
      <c r="AE62" t="s">
        <v>156</v>
      </c>
      <c r="AF62" t="s">
        <v>118</v>
      </c>
      <c r="AG62" t="s">
        <v>156</v>
      </c>
      <c r="AH62" t="s">
        <v>438</v>
      </c>
    </row>
    <row r="63" spans="1:34" x14ac:dyDescent="0.25">
      <c r="A63" t="s">
        <v>471</v>
      </c>
      <c r="B63" t="s">
        <v>35</v>
      </c>
      <c r="C63" t="s">
        <v>77</v>
      </c>
      <c r="D63" t="s">
        <v>37</v>
      </c>
      <c r="E63">
        <v>32</v>
      </c>
      <c r="F63">
        <v>32</v>
      </c>
      <c r="G63" t="s">
        <v>472</v>
      </c>
      <c r="H63" t="s">
        <v>140</v>
      </c>
      <c r="I63" t="s">
        <v>43</v>
      </c>
      <c r="J63" t="s">
        <v>43</v>
      </c>
      <c r="K63" t="s">
        <v>43</v>
      </c>
      <c r="L63" t="s">
        <v>43</v>
      </c>
      <c r="M63" t="s">
        <v>43</v>
      </c>
      <c r="N63" t="s">
        <v>43</v>
      </c>
      <c r="O63" t="s">
        <v>63</v>
      </c>
      <c r="P63" t="s">
        <v>43</v>
      </c>
      <c r="Q63" t="s">
        <v>43</v>
      </c>
      <c r="R63" t="s">
        <v>43</v>
      </c>
      <c r="S63" t="s">
        <v>43</v>
      </c>
      <c r="T63" t="s">
        <v>43</v>
      </c>
      <c r="U63" t="s">
        <v>43</v>
      </c>
      <c r="V63" t="s">
        <v>63</v>
      </c>
      <c r="W63" t="s">
        <v>43</v>
      </c>
      <c r="X63" t="s">
        <v>43</v>
      </c>
      <c r="Y63" t="s">
        <v>43</v>
      </c>
      <c r="Z63" t="s">
        <v>43</v>
      </c>
      <c r="AA63" t="s">
        <v>43</v>
      </c>
      <c r="AB63" t="s">
        <v>43</v>
      </c>
      <c r="AC63" t="s">
        <v>43</v>
      </c>
      <c r="AD63" t="s">
        <v>43</v>
      </c>
      <c r="AE63" t="s">
        <v>43</v>
      </c>
      <c r="AF63" t="s">
        <v>43</v>
      </c>
      <c r="AG63" t="s">
        <v>43</v>
      </c>
      <c r="AH63" t="s">
        <v>438</v>
      </c>
    </row>
    <row r="64" spans="1:34" x14ac:dyDescent="0.25">
      <c r="A64" t="s">
        <v>473</v>
      </c>
      <c r="B64" t="s">
        <v>262</v>
      </c>
      <c r="C64" t="s">
        <v>86</v>
      </c>
      <c r="D64" t="s">
        <v>201</v>
      </c>
      <c r="E64">
        <v>37</v>
      </c>
      <c r="F64">
        <v>30</v>
      </c>
      <c r="G64" t="s">
        <v>474</v>
      </c>
      <c r="H64" t="s">
        <v>475</v>
      </c>
      <c r="I64" t="s">
        <v>90</v>
      </c>
      <c r="J64" t="s">
        <v>142</v>
      </c>
      <c r="K64" t="s">
        <v>141</v>
      </c>
      <c r="L64" t="s">
        <v>276</v>
      </c>
      <c r="M64" t="s">
        <v>44</v>
      </c>
      <c r="N64" t="s">
        <v>44</v>
      </c>
      <c r="O64" t="s">
        <v>89</v>
      </c>
      <c r="P64" t="s">
        <v>43</v>
      </c>
      <c r="Q64" t="s">
        <v>476</v>
      </c>
      <c r="R64" t="s">
        <v>477</v>
      </c>
      <c r="S64" t="s">
        <v>283</v>
      </c>
      <c r="T64" t="s">
        <v>478</v>
      </c>
      <c r="U64" t="s">
        <v>49</v>
      </c>
      <c r="V64" t="s">
        <v>479</v>
      </c>
      <c r="W64" t="s">
        <v>480</v>
      </c>
      <c r="X64" t="s">
        <v>102</v>
      </c>
      <c r="Y64" t="s">
        <v>54</v>
      </c>
      <c r="Z64" t="s">
        <v>352</v>
      </c>
      <c r="AA64" t="s">
        <v>251</v>
      </c>
      <c r="AB64" t="s">
        <v>99</v>
      </c>
      <c r="AC64" t="s">
        <v>318</v>
      </c>
      <c r="AD64" t="s">
        <v>156</v>
      </c>
      <c r="AE64" t="s">
        <v>481</v>
      </c>
      <c r="AF64" t="s">
        <v>105</v>
      </c>
      <c r="AG64" t="s">
        <v>482</v>
      </c>
      <c r="AH64" t="s">
        <v>438</v>
      </c>
    </row>
    <row r="65" spans="1:34" x14ac:dyDescent="0.25">
      <c r="A65" t="s">
        <v>483</v>
      </c>
      <c r="B65" t="s">
        <v>76</v>
      </c>
      <c r="C65" t="s">
        <v>137</v>
      </c>
      <c r="D65" t="s">
        <v>272</v>
      </c>
      <c r="E65">
        <v>35</v>
      </c>
      <c r="F65">
        <v>24</v>
      </c>
      <c r="G65" t="s">
        <v>484</v>
      </c>
      <c r="H65" t="s">
        <v>485</v>
      </c>
      <c r="I65" t="s">
        <v>126</v>
      </c>
      <c r="J65" t="s">
        <v>83</v>
      </c>
      <c r="K65" t="s">
        <v>231</v>
      </c>
      <c r="L65" t="s">
        <v>126</v>
      </c>
      <c r="M65" t="s">
        <v>43</v>
      </c>
      <c r="N65" t="s">
        <v>43</v>
      </c>
      <c r="O65" t="s">
        <v>44</v>
      </c>
      <c r="P65" t="s">
        <v>43</v>
      </c>
      <c r="Q65" t="s">
        <v>486</v>
      </c>
      <c r="R65" t="s">
        <v>486</v>
      </c>
      <c r="S65" t="s">
        <v>487</v>
      </c>
      <c r="T65" t="s">
        <v>488</v>
      </c>
      <c r="U65" t="s">
        <v>489</v>
      </c>
      <c r="V65" t="s">
        <v>490</v>
      </c>
      <c r="W65" t="s">
        <v>491</v>
      </c>
      <c r="X65" t="s">
        <v>98</v>
      </c>
      <c r="Y65" t="s">
        <v>151</v>
      </c>
      <c r="Z65" t="s">
        <v>216</v>
      </c>
      <c r="AA65" t="s">
        <v>98</v>
      </c>
      <c r="AB65" t="s">
        <v>216</v>
      </c>
      <c r="AC65" t="s">
        <v>100</v>
      </c>
      <c r="AD65" t="s">
        <v>98</v>
      </c>
      <c r="AE65" t="s">
        <v>101</v>
      </c>
      <c r="AF65" t="s">
        <v>100</v>
      </c>
      <c r="AG65" t="s">
        <v>101</v>
      </c>
      <c r="AH65" t="s">
        <v>438</v>
      </c>
    </row>
    <row r="66" spans="1:34" x14ac:dyDescent="0.25">
      <c r="A66" t="s">
        <v>492</v>
      </c>
      <c r="B66" t="s">
        <v>493</v>
      </c>
      <c r="C66" t="s">
        <v>108</v>
      </c>
      <c r="D66" t="s">
        <v>148</v>
      </c>
      <c r="E66">
        <v>27</v>
      </c>
      <c r="F66">
        <v>20</v>
      </c>
      <c r="G66" t="s">
        <v>355</v>
      </c>
      <c r="H66" t="s">
        <v>356</v>
      </c>
      <c r="I66" t="s">
        <v>44</v>
      </c>
      <c r="J66" t="s">
        <v>63</v>
      </c>
      <c r="K66" t="s">
        <v>114</v>
      </c>
      <c r="L66" t="s">
        <v>44</v>
      </c>
      <c r="M66" t="s">
        <v>43</v>
      </c>
      <c r="N66" t="s">
        <v>43</v>
      </c>
      <c r="O66" t="s">
        <v>63</v>
      </c>
      <c r="P66" t="s">
        <v>43</v>
      </c>
      <c r="Q66" t="s">
        <v>70</v>
      </c>
      <c r="R66" t="s">
        <v>70</v>
      </c>
      <c r="S66" t="s">
        <v>199</v>
      </c>
      <c r="T66" t="s">
        <v>188</v>
      </c>
      <c r="U66" t="s">
        <v>494</v>
      </c>
      <c r="V66" t="s">
        <v>495</v>
      </c>
      <c r="W66" t="s">
        <v>260</v>
      </c>
      <c r="X66" t="s">
        <v>168</v>
      </c>
      <c r="Y66" t="s">
        <v>82</v>
      </c>
      <c r="Z66" t="s">
        <v>205</v>
      </c>
      <c r="AA66" t="s">
        <v>168</v>
      </c>
      <c r="AB66" t="s">
        <v>205</v>
      </c>
      <c r="AC66" t="s">
        <v>358</v>
      </c>
      <c r="AD66" t="s">
        <v>118</v>
      </c>
      <c r="AE66" t="s">
        <v>205</v>
      </c>
      <c r="AF66" t="s">
        <v>358</v>
      </c>
      <c r="AG66" t="s">
        <v>205</v>
      </c>
      <c r="AH66" t="s">
        <v>438</v>
      </c>
    </row>
    <row r="67" spans="1:34" x14ac:dyDescent="0.25">
      <c r="A67" t="s">
        <v>496</v>
      </c>
      <c r="B67" t="s">
        <v>207</v>
      </c>
      <c r="C67" t="s">
        <v>58</v>
      </c>
      <c r="D67" t="s">
        <v>123</v>
      </c>
      <c r="E67">
        <v>34</v>
      </c>
      <c r="F67">
        <v>18</v>
      </c>
      <c r="G67" t="s">
        <v>370</v>
      </c>
      <c r="H67" t="s">
        <v>371</v>
      </c>
      <c r="I67" t="s">
        <v>276</v>
      </c>
      <c r="J67" t="s">
        <v>44</v>
      </c>
      <c r="K67" t="s">
        <v>90</v>
      </c>
      <c r="L67" t="s">
        <v>276</v>
      </c>
      <c r="M67" t="s">
        <v>43</v>
      </c>
      <c r="N67" t="s">
        <v>43</v>
      </c>
      <c r="O67" t="s">
        <v>63</v>
      </c>
      <c r="P67" t="s">
        <v>43</v>
      </c>
      <c r="Q67" t="s">
        <v>497</v>
      </c>
      <c r="R67" t="s">
        <v>497</v>
      </c>
      <c r="S67" t="s">
        <v>282</v>
      </c>
      <c r="T67" t="s">
        <v>498</v>
      </c>
      <c r="U67" t="s">
        <v>499</v>
      </c>
      <c r="V67" t="s">
        <v>47</v>
      </c>
      <c r="W67" t="s">
        <v>463</v>
      </c>
      <c r="X67" t="s">
        <v>99</v>
      </c>
      <c r="Y67" t="s">
        <v>168</v>
      </c>
      <c r="Z67" t="s">
        <v>153</v>
      </c>
      <c r="AA67" t="s">
        <v>99</v>
      </c>
      <c r="AB67" t="s">
        <v>153</v>
      </c>
      <c r="AC67" t="s">
        <v>500</v>
      </c>
      <c r="AD67" t="s">
        <v>156</v>
      </c>
      <c r="AE67" t="s">
        <v>101</v>
      </c>
      <c r="AF67" t="s">
        <v>500</v>
      </c>
      <c r="AG67" t="s">
        <v>101</v>
      </c>
      <c r="AH67" t="s">
        <v>438</v>
      </c>
    </row>
    <row r="68" spans="1:34" x14ac:dyDescent="0.25">
      <c r="A68" t="s">
        <v>501</v>
      </c>
      <c r="B68" t="s">
        <v>76</v>
      </c>
      <c r="C68" t="s">
        <v>137</v>
      </c>
      <c r="D68" t="s">
        <v>148</v>
      </c>
      <c r="E68">
        <v>27</v>
      </c>
      <c r="F68">
        <v>17</v>
      </c>
      <c r="G68" t="s">
        <v>502</v>
      </c>
      <c r="H68" t="s">
        <v>503</v>
      </c>
      <c r="I68" t="s">
        <v>83</v>
      </c>
      <c r="J68" t="s">
        <v>81</v>
      </c>
      <c r="K68" t="s">
        <v>41</v>
      </c>
      <c r="L68" t="s">
        <v>83</v>
      </c>
      <c r="M68" t="s">
        <v>43</v>
      </c>
      <c r="N68" t="s">
        <v>43</v>
      </c>
      <c r="O68" t="s">
        <v>126</v>
      </c>
      <c r="P68" t="s">
        <v>43</v>
      </c>
      <c r="Q68" t="s">
        <v>504</v>
      </c>
      <c r="R68" t="s">
        <v>504</v>
      </c>
      <c r="S68" t="s">
        <v>455</v>
      </c>
      <c r="T68" t="s">
        <v>505</v>
      </c>
      <c r="U68" t="s">
        <v>227</v>
      </c>
      <c r="V68" t="s">
        <v>506</v>
      </c>
      <c r="W68" t="s">
        <v>463</v>
      </c>
      <c r="X68" t="s">
        <v>54</v>
      </c>
      <c r="Y68" t="s">
        <v>163</v>
      </c>
      <c r="Z68" t="s">
        <v>320</v>
      </c>
      <c r="AA68" t="s">
        <v>54</v>
      </c>
      <c r="AB68" t="s">
        <v>320</v>
      </c>
      <c r="AC68" t="s">
        <v>105</v>
      </c>
      <c r="AD68" t="s">
        <v>402</v>
      </c>
      <c r="AE68" t="s">
        <v>217</v>
      </c>
      <c r="AF68" t="s">
        <v>105</v>
      </c>
      <c r="AG68" t="s">
        <v>217</v>
      </c>
      <c r="AH68" t="s">
        <v>438</v>
      </c>
    </row>
    <row r="69" spans="1:34" x14ac:dyDescent="0.25">
      <c r="A69" t="s">
        <v>507</v>
      </c>
      <c r="B69" t="s">
        <v>508</v>
      </c>
      <c r="C69" t="s">
        <v>108</v>
      </c>
      <c r="D69" t="s">
        <v>59</v>
      </c>
      <c r="E69">
        <v>20</v>
      </c>
      <c r="F69">
        <v>11</v>
      </c>
      <c r="G69" t="s">
        <v>509</v>
      </c>
      <c r="H69" t="s">
        <v>462</v>
      </c>
      <c r="I69" t="s">
        <v>44</v>
      </c>
      <c r="J69" t="s">
        <v>114</v>
      </c>
      <c r="K69" t="s">
        <v>83</v>
      </c>
      <c r="L69" t="s">
        <v>44</v>
      </c>
      <c r="M69" t="s">
        <v>43</v>
      </c>
      <c r="N69" t="s">
        <v>43</v>
      </c>
      <c r="O69" t="s">
        <v>44</v>
      </c>
      <c r="P69" t="s">
        <v>43</v>
      </c>
      <c r="Q69" t="s">
        <v>259</v>
      </c>
      <c r="R69" t="s">
        <v>259</v>
      </c>
      <c r="S69" t="s">
        <v>398</v>
      </c>
      <c r="T69" t="s">
        <v>164</v>
      </c>
      <c r="U69" t="s">
        <v>83</v>
      </c>
      <c r="V69" t="s">
        <v>49</v>
      </c>
      <c r="W69" t="s">
        <v>167</v>
      </c>
      <c r="X69" t="s">
        <v>82</v>
      </c>
      <c r="Y69" t="s">
        <v>236</v>
      </c>
      <c r="Z69" t="s">
        <v>510</v>
      </c>
      <c r="AA69" t="s">
        <v>82</v>
      </c>
      <c r="AB69" t="s">
        <v>510</v>
      </c>
      <c r="AC69" t="s">
        <v>242</v>
      </c>
      <c r="AD69" t="s">
        <v>120</v>
      </c>
      <c r="AE69" t="s">
        <v>205</v>
      </c>
      <c r="AF69" t="s">
        <v>242</v>
      </c>
      <c r="AG69" t="s">
        <v>205</v>
      </c>
      <c r="AH69" t="s">
        <v>438</v>
      </c>
    </row>
    <row r="70" spans="1:34" x14ac:dyDescent="0.25">
      <c r="A70" t="s">
        <v>511</v>
      </c>
      <c r="B70" t="s">
        <v>354</v>
      </c>
      <c r="C70" t="s">
        <v>108</v>
      </c>
      <c r="D70" t="s">
        <v>201</v>
      </c>
      <c r="E70">
        <v>22</v>
      </c>
      <c r="F70">
        <v>10</v>
      </c>
      <c r="G70" t="s">
        <v>512</v>
      </c>
      <c r="H70" t="s">
        <v>513</v>
      </c>
      <c r="I70" t="s">
        <v>63</v>
      </c>
      <c r="J70" t="s">
        <v>44</v>
      </c>
      <c r="K70" t="s">
        <v>114</v>
      </c>
      <c r="L70" t="s">
        <v>63</v>
      </c>
      <c r="M70" t="s">
        <v>43</v>
      </c>
      <c r="N70" t="s">
        <v>43</v>
      </c>
      <c r="O70" t="s">
        <v>63</v>
      </c>
      <c r="P70" t="s">
        <v>44</v>
      </c>
      <c r="Q70" t="s">
        <v>416</v>
      </c>
      <c r="R70" t="s">
        <v>416</v>
      </c>
      <c r="S70" t="s">
        <v>112</v>
      </c>
      <c r="T70" t="s">
        <v>175</v>
      </c>
      <c r="U70" t="s">
        <v>42</v>
      </c>
      <c r="V70" t="s">
        <v>514</v>
      </c>
      <c r="W70" t="s">
        <v>225</v>
      </c>
      <c r="X70" t="s">
        <v>205</v>
      </c>
      <c r="Y70" t="s">
        <v>242</v>
      </c>
      <c r="Z70" t="s">
        <v>402</v>
      </c>
      <c r="AA70" t="s">
        <v>205</v>
      </c>
      <c r="AB70" t="s">
        <v>402</v>
      </c>
      <c r="AC70" t="s">
        <v>53</v>
      </c>
      <c r="AD70" t="s">
        <v>358</v>
      </c>
      <c r="AE70" t="s">
        <v>156</v>
      </c>
      <c r="AF70" t="s">
        <v>53</v>
      </c>
      <c r="AG70" t="s">
        <v>156</v>
      </c>
      <c r="AH70" t="s">
        <v>438</v>
      </c>
    </row>
    <row r="71" spans="1:34" x14ac:dyDescent="0.25">
      <c r="A71" t="s">
        <v>515</v>
      </c>
      <c r="B71" t="s">
        <v>57</v>
      </c>
      <c r="C71" t="s">
        <v>137</v>
      </c>
      <c r="D71" t="s">
        <v>201</v>
      </c>
      <c r="E71">
        <v>27</v>
      </c>
      <c r="F71">
        <v>10</v>
      </c>
      <c r="G71" t="s">
        <v>516</v>
      </c>
      <c r="H71" t="s">
        <v>276</v>
      </c>
      <c r="I71" t="s">
        <v>81</v>
      </c>
      <c r="J71" t="s">
        <v>63</v>
      </c>
      <c r="K71" t="s">
        <v>142</v>
      </c>
      <c r="L71" t="s">
        <v>81</v>
      </c>
      <c r="M71" t="s">
        <v>43</v>
      </c>
      <c r="N71" t="s">
        <v>43</v>
      </c>
      <c r="O71" t="s">
        <v>114</v>
      </c>
      <c r="P71" t="s">
        <v>43</v>
      </c>
      <c r="Q71" t="s">
        <v>189</v>
      </c>
      <c r="R71" t="s">
        <v>189</v>
      </c>
      <c r="S71" t="s">
        <v>259</v>
      </c>
      <c r="T71" t="s">
        <v>363</v>
      </c>
      <c r="U71" t="s">
        <v>272</v>
      </c>
      <c r="V71" t="s">
        <v>141</v>
      </c>
      <c r="W71" t="s">
        <v>517</v>
      </c>
      <c r="X71" t="s">
        <v>318</v>
      </c>
      <c r="Y71" t="s">
        <v>215</v>
      </c>
      <c r="Z71" t="s">
        <v>101</v>
      </c>
      <c r="AA71" t="s">
        <v>318</v>
      </c>
      <c r="AB71" t="s">
        <v>101</v>
      </c>
      <c r="AC71" t="s">
        <v>510</v>
      </c>
      <c r="AD71" t="s">
        <v>181</v>
      </c>
      <c r="AE71" t="s">
        <v>216</v>
      </c>
      <c r="AF71" t="s">
        <v>510</v>
      </c>
      <c r="AG71" t="s">
        <v>216</v>
      </c>
      <c r="AH71" t="s">
        <v>438</v>
      </c>
    </row>
    <row r="72" spans="1:34" x14ac:dyDescent="0.25">
      <c r="A72" t="s">
        <v>518</v>
      </c>
      <c r="B72" t="s">
        <v>519</v>
      </c>
      <c r="C72" t="s">
        <v>36</v>
      </c>
      <c r="D72" t="s">
        <v>304</v>
      </c>
      <c r="E72">
        <v>24</v>
      </c>
      <c r="F72">
        <v>10</v>
      </c>
      <c r="G72" t="s">
        <v>520</v>
      </c>
      <c r="H72" t="s">
        <v>521</v>
      </c>
      <c r="I72" t="s">
        <v>43</v>
      </c>
      <c r="J72" t="s">
        <v>63</v>
      </c>
      <c r="K72" t="s">
        <v>63</v>
      </c>
      <c r="L72" t="s">
        <v>43</v>
      </c>
      <c r="M72" t="s">
        <v>43</v>
      </c>
      <c r="N72" t="s">
        <v>43</v>
      </c>
      <c r="O72" t="s">
        <v>44</v>
      </c>
      <c r="P72" t="s">
        <v>43</v>
      </c>
      <c r="Q72" t="s">
        <v>82</v>
      </c>
      <c r="R72" t="s">
        <v>82</v>
      </c>
      <c r="S72" t="s">
        <v>162</v>
      </c>
      <c r="T72" t="s">
        <v>416</v>
      </c>
      <c r="U72" t="s">
        <v>40</v>
      </c>
      <c r="V72" t="s">
        <v>357</v>
      </c>
      <c r="W72" t="s">
        <v>40</v>
      </c>
      <c r="X72" t="s">
        <v>43</v>
      </c>
      <c r="Y72" t="s">
        <v>241</v>
      </c>
      <c r="Z72" t="s">
        <v>241</v>
      </c>
      <c r="AA72" t="s">
        <v>43</v>
      </c>
      <c r="AB72" t="s">
        <v>241</v>
      </c>
      <c r="AC72" t="s">
        <v>119</v>
      </c>
      <c r="AD72" t="s">
        <v>118</v>
      </c>
      <c r="AE72" t="s">
        <v>218</v>
      </c>
      <c r="AF72" t="s">
        <v>119</v>
      </c>
      <c r="AG72" t="s">
        <v>218</v>
      </c>
      <c r="AH72" t="s">
        <v>438</v>
      </c>
    </row>
    <row r="73" spans="1:34" x14ac:dyDescent="0.25">
      <c r="A73" t="s">
        <v>522</v>
      </c>
      <c r="B73" t="s">
        <v>523</v>
      </c>
      <c r="C73" t="s">
        <v>524</v>
      </c>
      <c r="D73" t="s">
        <v>263</v>
      </c>
      <c r="E73">
        <v>14</v>
      </c>
      <c r="F73">
        <v>9</v>
      </c>
      <c r="G73" t="s">
        <v>525</v>
      </c>
      <c r="H73" t="s">
        <v>526</v>
      </c>
      <c r="I73" t="s">
        <v>43</v>
      </c>
      <c r="J73" t="s">
        <v>43</v>
      </c>
      <c r="K73" t="s">
        <v>43</v>
      </c>
      <c r="L73" t="s">
        <v>43</v>
      </c>
      <c r="M73" t="s">
        <v>43</v>
      </c>
      <c r="N73" t="s">
        <v>43</v>
      </c>
      <c r="O73" t="s">
        <v>114</v>
      </c>
      <c r="P73" t="s">
        <v>43</v>
      </c>
      <c r="Q73" t="s">
        <v>112</v>
      </c>
      <c r="R73" t="s">
        <v>112</v>
      </c>
      <c r="S73" t="s">
        <v>163</v>
      </c>
      <c r="T73" t="s">
        <v>378</v>
      </c>
      <c r="U73" t="s">
        <v>127</v>
      </c>
      <c r="V73" t="s">
        <v>514</v>
      </c>
      <c r="W73" t="s">
        <v>231</v>
      </c>
      <c r="X73" t="s">
        <v>43</v>
      </c>
      <c r="Y73" t="s">
        <v>43</v>
      </c>
      <c r="Z73" t="s">
        <v>43</v>
      </c>
      <c r="AA73" t="s">
        <v>43</v>
      </c>
      <c r="AB73" t="s">
        <v>43</v>
      </c>
      <c r="AC73" t="s">
        <v>168</v>
      </c>
      <c r="AD73" t="s">
        <v>358</v>
      </c>
      <c r="AE73" t="s">
        <v>242</v>
      </c>
      <c r="AF73" t="s">
        <v>168</v>
      </c>
      <c r="AG73" t="s">
        <v>242</v>
      </c>
      <c r="AH73" t="s">
        <v>438</v>
      </c>
    </row>
    <row r="74" spans="1:34" x14ac:dyDescent="0.25">
      <c r="A74" t="s">
        <v>527</v>
      </c>
      <c r="B74" t="s">
        <v>57</v>
      </c>
      <c r="C74" t="s">
        <v>77</v>
      </c>
      <c r="D74" t="s">
        <v>268</v>
      </c>
      <c r="E74">
        <v>6</v>
      </c>
      <c r="F74">
        <v>6</v>
      </c>
      <c r="G74" t="s">
        <v>528</v>
      </c>
      <c r="H74" t="s">
        <v>126</v>
      </c>
      <c r="I74" t="s">
        <v>43</v>
      </c>
      <c r="J74" t="s">
        <v>43</v>
      </c>
      <c r="K74" t="s">
        <v>43</v>
      </c>
      <c r="L74" t="s">
        <v>43</v>
      </c>
      <c r="M74" t="s">
        <v>43</v>
      </c>
      <c r="N74" t="s">
        <v>43</v>
      </c>
      <c r="O74" t="s">
        <v>43</v>
      </c>
      <c r="P74" t="s">
        <v>43</v>
      </c>
      <c r="Q74" t="s">
        <v>43</v>
      </c>
      <c r="R74" t="s">
        <v>43</v>
      </c>
      <c r="S74" t="s">
        <v>43</v>
      </c>
      <c r="T74" t="s">
        <v>43</v>
      </c>
      <c r="U74" t="s">
        <v>43</v>
      </c>
      <c r="V74" t="s">
        <v>63</v>
      </c>
      <c r="W74" t="s">
        <v>43</v>
      </c>
      <c r="X74" t="s">
        <v>43</v>
      </c>
      <c r="Y74" t="s">
        <v>43</v>
      </c>
      <c r="Z74" t="s">
        <v>43</v>
      </c>
      <c r="AA74" t="s">
        <v>43</v>
      </c>
      <c r="AB74" t="s">
        <v>43</v>
      </c>
      <c r="AC74" t="s">
        <v>43</v>
      </c>
      <c r="AD74" t="s">
        <v>43</v>
      </c>
      <c r="AE74" t="s">
        <v>43</v>
      </c>
      <c r="AF74" t="s">
        <v>43</v>
      </c>
      <c r="AG74" t="s">
        <v>43</v>
      </c>
      <c r="AH74" t="s">
        <v>438</v>
      </c>
    </row>
    <row r="75" spans="1:34" x14ac:dyDescent="0.25">
      <c r="A75" t="s">
        <v>529</v>
      </c>
      <c r="B75" t="s">
        <v>57</v>
      </c>
      <c r="C75" t="s">
        <v>36</v>
      </c>
      <c r="D75" t="s">
        <v>59</v>
      </c>
      <c r="E75">
        <v>13</v>
      </c>
      <c r="F75">
        <v>3</v>
      </c>
      <c r="G75" t="s">
        <v>530</v>
      </c>
      <c r="H75" t="s">
        <v>46</v>
      </c>
      <c r="I75" t="s">
        <v>43</v>
      </c>
      <c r="J75" t="s">
        <v>44</v>
      </c>
      <c r="K75" t="s">
        <v>44</v>
      </c>
      <c r="L75" t="s">
        <v>43</v>
      </c>
      <c r="M75" t="s">
        <v>43</v>
      </c>
      <c r="N75" t="s">
        <v>43</v>
      </c>
      <c r="O75" t="s">
        <v>43</v>
      </c>
      <c r="P75" t="s">
        <v>43</v>
      </c>
      <c r="Q75" t="s">
        <v>63</v>
      </c>
      <c r="R75" t="s">
        <v>63</v>
      </c>
      <c r="S75" t="s">
        <v>241</v>
      </c>
      <c r="T75" t="s">
        <v>531</v>
      </c>
      <c r="U75" t="s">
        <v>89</v>
      </c>
      <c r="V75" t="s">
        <v>59</v>
      </c>
      <c r="W75" t="s">
        <v>203</v>
      </c>
      <c r="X75" t="s">
        <v>43</v>
      </c>
      <c r="Y75" t="s">
        <v>50</v>
      </c>
      <c r="Z75" t="s">
        <v>50</v>
      </c>
      <c r="AA75" t="s">
        <v>43</v>
      </c>
      <c r="AB75" t="s">
        <v>50</v>
      </c>
      <c r="AC75" t="s">
        <v>176</v>
      </c>
      <c r="AD75" t="s">
        <v>169</v>
      </c>
      <c r="AE75" t="s">
        <v>532</v>
      </c>
      <c r="AF75" t="s">
        <v>176</v>
      </c>
      <c r="AG75" t="s">
        <v>532</v>
      </c>
      <c r="AH75" t="s">
        <v>438</v>
      </c>
    </row>
    <row r="76" spans="1:34" x14ac:dyDescent="0.25">
      <c r="A76" t="s">
        <v>533</v>
      </c>
      <c r="B76" t="s">
        <v>122</v>
      </c>
      <c r="C76" t="s">
        <v>86</v>
      </c>
      <c r="D76" t="s">
        <v>59</v>
      </c>
      <c r="E76">
        <v>11</v>
      </c>
      <c r="F76">
        <v>2</v>
      </c>
      <c r="G76" t="s">
        <v>534</v>
      </c>
      <c r="H76" t="s">
        <v>382</v>
      </c>
      <c r="I76" t="s">
        <v>44</v>
      </c>
      <c r="J76" t="s">
        <v>63</v>
      </c>
      <c r="K76" t="s">
        <v>114</v>
      </c>
      <c r="L76" t="s">
        <v>43</v>
      </c>
      <c r="M76" t="s">
        <v>44</v>
      </c>
      <c r="N76" t="s">
        <v>44</v>
      </c>
      <c r="O76" t="s">
        <v>43</v>
      </c>
      <c r="P76" t="s">
        <v>44</v>
      </c>
      <c r="Q76" t="s">
        <v>222</v>
      </c>
      <c r="R76" t="s">
        <v>176</v>
      </c>
      <c r="S76" t="s">
        <v>223</v>
      </c>
      <c r="T76" t="s">
        <v>246</v>
      </c>
      <c r="U76" t="s">
        <v>276</v>
      </c>
      <c r="V76" t="s">
        <v>127</v>
      </c>
      <c r="W76" t="s">
        <v>263</v>
      </c>
      <c r="X76" t="s">
        <v>163</v>
      </c>
      <c r="Y76" t="s">
        <v>106</v>
      </c>
      <c r="Z76" t="s">
        <v>535</v>
      </c>
      <c r="AA76" t="s">
        <v>43</v>
      </c>
      <c r="AB76" t="s">
        <v>106</v>
      </c>
      <c r="AC76" t="s">
        <v>510</v>
      </c>
      <c r="AD76" t="s">
        <v>374</v>
      </c>
      <c r="AE76" t="s">
        <v>536</v>
      </c>
      <c r="AF76" t="s">
        <v>218</v>
      </c>
      <c r="AG76" t="s">
        <v>313</v>
      </c>
      <c r="AH76" t="s">
        <v>438</v>
      </c>
    </row>
    <row r="77" spans="1:34" x14ac:dyDescent="0.25">
      <c r="A77" t="s">
        <v>537</v>
      </c>
      <c r="B77" t="s">
        <v>57</v>
      </c>
      <c r="C77" t="s">
        <v>137</v>
      </c>
      <c r="D77" t="s">
        <v>59</v>
      </c>
      <c r="E77">
        <v>15</v>
      </c>
      <c r="F77">
        <v>1</v>
      </c>
      <c r="G77" t="s">
        <v>538</v>
      </c>
      <c r="H77" t="s">
        <v>114</v>
      </c>
      <c r="I77" t="s">
        <v>43</v>
      </c>
      <c r="J77" t="s">
        <v>43</v>
      </c>
      <c r="K77" t="s">
        <v>43</v>
      </c>
      <c r="L77" t="s">
        <v>43</v>
      </c>
      <c r="M77" t="s">
        <v>43</v>
      </c>
      <c r="N77" t="s">
        <v>43</v>
      </c>
      <c r="O77" t="s">
        <v>44</v>
      </c>
      <c r="P77" t="s">
        <v>43</v>
      </c>
      <c r="Q77" t="s">
        <v>241</v>
      </c>
      <c r="R77" t="s">
        <v>241</v>
      </c>
      <c r="S77" t="s">
        <v>70</v>
      </c>
      <c r="T77" t="s">
        <v>259</v>
      </c>
      <c r="U77" t="s">
        <v>41</v>
      </c>
      <c r="V77" t="s">
        <v>81</v>
      </c>
      <c r="W77" t="s">
        <v>148</v>
      </c>
      <c r="X77" t="s">
        <v>43</v>
      </c>
      <c r="Y77" t="s">
        <v>43</v>
      </c>
      <c r="Z77" t="s">
        <v>43</v>
      </c>
      <c r="AA77" t="s">
        <v>43</v>
      </c>
      <c r="AB77" t="s">
        <v>43</v>
      </c>
      <c r="AC77" t="s">
        <v>181</v>
      </c>
      <c r="AD77" t="s">
        <v>241</v>
      </c>
      <c r="AE77" t="s">
        <v>98</v>
      </c>
      <c r="AF77" t="s">
        <v>181</v>
      </c>
      <c r="AG77" t="s">
        <v>98</v>
      </c>
      <c r="AH77" t="s">
        <v>438</v>
      </c>
    </row>
    <row r="78" spans="1:34" x14ac:dyDescent="0.25">
      <c r="A78" t="s">
        <v>539</v>
      </c>
      <c r="B78" t="s">
        <v>196</v>
      </c>
      <c r="C78" t="s">
        <v>108</v>
      </c>
      <c r="D78" t="s">
        <v>272</v>
      </c>
      <c r="E78">
        <v>2</v>
      </c>
      <c r="F78">
        <v>1</v>
      </c>
      <c r="G78" t="s">
        <v>401</v>
      </c>
      <c r="H78" t="s">
        <v>259</v>
      </c>
      <c r="I78" t="s">
        <v>43</v>
      </c>
      <c r="J78" t="s">
        <v>43</v>
      </c>
      <c r="K78" t="s">
        <v>43</v>
      </c>
      <c r="L78" t="s">
        <v>43</v>
      </c>
      <c r="M78" t="s">
        <v>43</v>
      </c>
      <c r="N78" t="s">
        <v>43</v>
      </c>
      <c r="O78" t="s">
        <v>63</v>
      </c>
      <c r="P78" t="s">
        <v>43</v>
      </c>
      <c r="Q78" t="s">
        <v>43</v>
      </c>
      <c r="R78" t="s">
        <v>43</v>
      </c>
      <c r="S78" t="s">
        <v>43</v>
      </c>
      <c r="T78" t="s">
        <v>43</v>
      </c>
      <c r="U78" t="s">
        <v>43</v>
      </c>
      <c r="V78" t="s">
        <v>40</v>
      </c>
      <c r="W78" t="s">
        <v>81</v>
      </c>
      <c r="X78" t="s">
        <v>43</v>
      </c>
      <c r="Y78" t="s">
        <v>43</v>
      </c>
      <c r="Z78" t="s">
        <v>43</v>
      </c>
      <c r="AA78" t="s">
        <v>43</v>
      </c>
      <c r="AB78" t="s">
        <v>43</v>
      </c>
      <c r="AC78" t="s">
        <v>43</v>
      </c>
      <c r="AD78" t="s">
        <v>43</v>
      </c>
      <c r="AE78" t="s">
        <v>43</v>
      </c>
      <c r="AF78" t="s">
        <v>43</v>
      </c>
      <c r="AG78" t="s">
        <v>43</v>
      </c>
      <c r="AH78" t="s">
        <v>438</v>
      </c>
    </row>
    <row r="79" spans="1:34" x14ac:dyDescent="0.25">
      <c r="A79" t="s">
        <v>540</v>
      </c>
      <c r="B79" t="s">
        <v>122</v>
      </c>
      <c r="C79" t="s">
        <v>108</v>
      </c>
      <c r="D79" t="s">
        <v>304</v>
      </c>
      <c r="E79">
        <v>3</v>
      </c>
      <c r="F79">
        <v>0</v>
      </c>
      <c r="G79" t="s">
        <v>541</v>
      </c>
      <c r="H79" t="s">
        <v>378</v>
      </c>
      <c r="I79" t="s">
        <v>43</v>
      </c>
      <c r="J79" t="s">
        <v>43</v>
      </c>
      <c r="K79" t="s">
        <v>43</v>
      </c>
      <c r="L79" t="s">
        <v>43</v>
      </c>
      <c r="M79" t="s">
        <v>43</v>
      </c>
      <c r="N79" t="s">
        <v>43</v>
      </c>
      <c r="O79" t="s">
        <v>43</v>
      </c>
      <c r="P79" t="s">
        <v>43</v>
      </c>
      <c r="Q79" t="s">
        <v>43</v>
      </c>
      <c r="R79" t="s">
        <v>43</v>
      </c>
      <c r="S79" t="s">
        <v>43</v>
      </c>
      <c r="T79" t="s">
        <v>43</v>
      </c>
      <c r="U79" t="s">
        <v>43</v>
      </c>
      <c r="V79" t="s">
        <v>114</v>
      </c>
      <c r="W79" t="s">
        <v>126</v>
      </c>
      <c r="X79" t="s">
        <v>43</v>
      </c>
      <c r="Y79" t="s">
        <v>43</v>
      </c>
      <c r="Z79" t="s">
        <v>43</v>
      </c>
      <c r="AA79" t="s">
        <v>43</v>
      </c>
      <c r="AB79" t="s">
        <v>43</v>
      </c>
      <c r="AC79" t="s">
        <v>43</v>
      </c>
      <c r="AD79" t="s">
        <v>43</v>
      </c>
      <c r="AE79" t="s">
        <v>43</v>
      </c>
      <c r="AF79" t="s">
        <v>43</v>
      </c>
      <c r="AG79" t="s">
        <v>43</v>
      </c>
      <c r="AH79" t="s">
        <v>438</v>
      </c>
    </row>
    <row r="80" spans="1:34" x14ac:dyDescent="0.25">
      <c r="A80" t="s">
        <v>542</v>
      </c>
      <c r="B80" t="s">
        <v>303</v>
      </c>
      <c r="C80" t="s">
        <v>36</v>
      </c>
      <c r="D80" t="s">
        <v>304</v>
      </c>
      <c r="E80">
        <v>3</v>
      </c>
      <c r="F80">
        <v>0</v>
      </c>
      <c r="G80" t="s">
        <v>123</v>
      </c>
      <c r="H80" t="s">
        <v>163</v>
      </c>
      <c r="I80" t="s">
        <v>43</v>
      </c>
      <c r="J80" t="s">
        <v>43</v>
      </c>
      <c r="K80" t="s">
        <v>43</v>
      </c>
      <c r="L80" t="s">
        <v>43</v>
      </c>
      <c r="M80" t="s">
        <v>43</v>
      </c>
      <c r="N80" t="s">
        <v>43</v>
      </c>
      <c r="O80" t="s">
        <v>43</v>
      </c>
      <c r="P80" t="s">
        <v>43</v>
      </c>
      <c r="Q80" t="s">
        <v>82</v>
      </c>
      <c r="R80" t="s">
        <v>82</v>
      </c>
      <c r="S80" t="s">
        <v>43</v>
      </c>
      <c r="T80" t="s">
        <v>82</v>
      </c>
      <c r="U80" t="s">
        <v>44</v>
      </c>
      <c r="V80" t="s">
        <v>44</v>
      </c>
      <c r="W80" t="s">
        <v>43</v>
      </c>
      <c r="X80" t="s">
        <v>43</v>
      </c>
      <c r="Y80" t="s">
        <v>43</v>
      </c>
      <c r="Z80" t="s">
        <v>43</v>
      </c>
      <c r="AA80" t="s">
        <v>43</v>
      </c>
      <c r="AB80" t="s">
        <v>43</v>
      </c>
      <c r="AC80" t="s">
        <v>73</v>
      </c>
      <c r="AD80" t="s">
        <v>43</v>
      </c>
      <c r="AE80" t="s">
        <v>73</v>
      </c>
      <c r="AF80" t="s">
        <v>73</v>
      </c>
      <c r="AG80" t="s">
        <v>73</v>
      </c>
      <c r="AH80" t="s">
        <v>438</v>
      </c>
    </row>
    <row r="81" spans="1:34" x14ac:dyDescent="0.25">
      <c r="A81" t="s">
        <v>543</v>
      </c>
      <c r="B81" t="s">
        <v>57</v>
      </c>
      <c r="C81" t="s">
        <v>137</v>
      </c>
      <c r="D81" t="s">
        <v>167</v>
      </c>
      <c r="E81">
        <v>1</v>
      </c>
      <c r="F81">
        <v>0</v>
      </c>
      <c r="G81" t="s">
        <v>232</v>
      </c>
      <c r="H81" t="s">
        <v>241</v>
      </c>
      <c r="I81" t="s">
        <v>43</v>
      </c>
      <c r="J81" t="s">
        <v>43</v>
      </c>
      <c r="K81" t="s">
        <v>43</v>
      </c>
      <c r="L81" t="s">
        <v>43</v>
      </c>
      <c r="M81" t="s">
        <v>43</v>
      </c>
      <c r="N81" t="s">
        <v>43</v>
      </c>
      <c r="O81" t="s">
        <v>43</v>
      </c>
      <c r="P81" t="s">
        <v>43</v>
      </c>
      <c r="Q81" t="s">
        <v>43</v>
      </c>
      <c r="R81" t="s">
        <v>43</v>
      </c>
      <c r="S81" t="s">
        <v>43</v>
      </c>
      <c r="T81" t="s">
        <v>43</v>
      </c>
      <c r="U81" t="s">
        <v>63</v>
      </c>
      <c r="V81" t="s">
        <v>63</v>
      </c>
      <c r="W81" t="s">
        <v>44</v>
      </c>
      <c r="X81" t="s">
        <v>43</v>
      </c>
      <c r="Y81" t="s">
        <v>43</v>
      </c>
      <c r="Z81" t="s">
        <v>43</v>
      </c>
      <c r="AA81" t="s">
        <v>43</v>
      </c>
      <c r="AB81" t="s">
        <v>43</v>
      </c>
      <c r="AC81" t="s">
        <v>43</v>
      </c>
      <c r="AD81" t="s">
        <v>156</v>
      </c>
      <c r="AE81" t="s">
        <v>156</v>
      </c>
      <c r="AF81" t="s">
        <v>43</v>
      </c>
      <c r="AG81" t="s">
        <v>156</v>
      </c>
      <c r="AH81" t="s">
        <v>438</v>
      </c>
    </row>
    <row r="82" spans="1:34" x14ac:dyDescent="0.25">
      <c r="A82" t="s">
        <v>544</v>
      </c>
      <c r="B82" t="s">
        <v>57</v>
      </c>
      <c r="C82" t="s">
        <v>36</v>
      </c>
      <c r="D82" t="s">
        <v>59</v>
      </c>
      <c r="E82">
        <v>37</v>
      </c>
      <c r="F82">
        <v>37</v>
      </c>
      <c r="G82" t="s">
        <v>545</v>
      </c>
      <c r="H82" t="s">
        <v>546</v>
      </c>
      <c r="I82" t="s">
        <v>81</v>
      </c>
      <c r="J82" t="s">
        <v>142</v>
      </c>
      <c r="K82" t="s">
        <v>276</v>
      </c>
      <c r="L82" t="s">
        <v>81</v>
      </c>
      <c r="M82" t="s">
        <v>43</v>
      </c>
      <c r="N82" t="s">
        <v>43</v>
      </c>
      <c r="O82" t="s">
        <v>41</v>
      </c>
      <c r="P82" t="s">
        <v>44</v>
      </c>
      <c r="Q82" t="s">
        <v>547</v>
      </c>
      <c r="R82" t="s">
        <v>547</v>
      </c>
      <c r="S82" t="s">
        <v>81</v>
      </c>
      <c r="T82" t="s">
        <v>548</v>
      </c>
      <c r="U82" t="s">
        <v>541</v>
      </c>
      <c r="V82" t="s">
        <v>117</v>
      </c>
      <c r="W82" t="s">
        <v>409</v>
      </c>
      <c r="X82" t="s">
        <v>218</v>
      </c>
      <c r="Y82" t="s">
        <v>241</v>
      </c>
      <c r="Z82" t="s">
        <v>301</v>
      </c>
      <c r="AA82" t="s">
        <v>218</v>
      </c>
      <c r="AB82" t="s">
        <v>301</v>
      </c>
      <c r="AC82" t="s">
        <v>53</v>
      </c>
      <c r="AD82" t="s">
        <v>156</v>
      </c>
      <c r="AE82" t="s">
        <v>98</v>
      </c>
      <c r="AF82" t="s">
        <v>53</v>
      </c>
      <c r="AG82" t="s">
        <v>98</v>
      </c>
      <c r="AH82" t="s">
        <v>549</v>
      </c>
    </row>
    <row r="83" spans="1:34" x14ac:dyDescent="0.25">
      <c r="A83" t="s">
        <v>550</v>
      </c>
      <c r="B83" t="s">
        <v>551</v>
      </c>
      <c r="C83" t="s">
        <v>36</v>
      </c>
      <c r="D83" t="s">
        <v>185</v>
      </c>
      <c r="E83">
        <v>35</v>
      </c>
      <c r="F83">
        <v>33</v>
      </c>
      <c r="G83" t="s">
        <v>552</v>
      </c>
      <c r="H83" t="s">
        <v>553</v>
      </c>
      <c r="I83" t="s">
        <v>44</v>
      </c>
      <c r="J83" t="s">
        <v>114</v>
      </c>
      <c r="K83" t="s">
        <v>83</v>
      </c>
      <c r="L83" t="s">
        <v>44</v>
      </c>
      <c r="M83" t="s">
        <v>43</v>
      </c>
      <c r="N83" t="s">
        <v>43</v>
      </c>
      <c r="O83" t="s">
        <v>89</v>
      </c>
      <c r="P83" t="s">
        <v>43</v>
      </c>
      <c r="Q83" t="s">
        <v>112</v>
      </c>
      <c r="R83" t="s">
        <v>112</v>
      </c>
      <c r="S83" t="s">
        <v>113</v>
      </c>
      <c r="T83" t="s">
        <v>114</v>
      </c>
      <c r="U83" t="s">
        <v>37</v>
      </c>
      <c r="V83" t="s">
        <v>166</v>
      </c>
      <c r="W83" t="s">
        <v>37</v>
      </c>
      <c r="X83" t="s">
        <v>358</v>
      </c>
      <c r="Y83" t="s">
        <v>120</v>
      </c>
      <c r="Z83" t="s">
        <v>118</v>
      </c>
      <c r="AA83" t="s">
        <v>358</v>
      </c>
      <c r="AB83" t="s">
        <v>118</v>
      </c>
      <c r="AC83" t="s">
        <v>119</v>
      </c>
      <c r="AD83" t="s">
        <v>242</v>
      </c>
      <c r="AE83" t="s">
        <v>120</v>
      </c>
      <c r="AF83" t="s">
        <v>119</v>
      </c>
      <c r="AG83" t="s">
        <v>120</v>
      </c>
      <c r="AH83" t="s">
        <v>549</v>
      </c>
    </row>
    <row r="84" spans="1:34" x14ac:dyDescent="0.25">
      <c r="A84" t="s">
        <v>554</v>
      </c>
      <c r="B84" t="s">
        <v>555</v>
      </c>
      <c r="C84" t="s">
        <v>137</v>
      </c>
      <c r="D84" t="s">
        <v>272</v>
      </c>
      <c r="E84">
        <v>35</v>
      </c>
      <c r="F84">
        <v>31</v>
      </c>
      <c r="G84" t="s">
        <v>556</v>
      </c>
      <c r="H84" t="s">
        <v>557</v>
      </c>
      <c r="I84" t="s">
        <v>232</v>
      </c>
      <c r="J84" t="s">
        <v>81</v>
      </c>
      <c r="K84" t="s">
        <v>62</v>
      </c>
      <c r="L84" t="s">
        <v>232</v>
      </c>
      <c r="M84" t="s">
        <v>43</v>
      </c>
      <c r="N84" t="s">
        <v>43</v>
      </c>
      <c r="O84" t="s">
        <v>231</v>
      </c>
      <c r="P84" t="s">
        <v>43</v>
      </c>
      <c r="Q84" t="s">
        <v>558</v>
      </c>
      <c r="R84" t="s">
        <v>558</v>
      </c>
      <c r="S84" t="s">
        <v>145</v>
      </c>
      <c r="T84" t="s">
        <v>144</v>
      </c>
      <c r="U84" t="s">
        <v>559</v>
      </c>
      <c r="V84" t="s">
        <v>394</v>
      </c>
      <c r="W84" t="s">
        <v>284</v>
      </c>
      <c r="X84" t="s">
        <v>216</v>
      </c>
      <c r="Y84" t="s">
        <v>205</v>
      </c>
      <c r="Z84" t="s">
        <v>106</v>
      </c>
      <c r="AA84" t="s">
        <v>216</v>
      </c>
      <c r="AB84" t="s">
        <v>106</v>
      </c>
      <c r="AC84" t="s">
        <v>70</v>
      </c>
      <c r="AD84" t="s">
        <v>218</v>
      </c>
      <c r="AE84" t="s">
        <v>237</v>
      </c>
      <c r="AF84" t="s">
        <v>70</v>
      </c>
      <c r="AG84" t="s">
        <v>237</v>
      </c>
      <c r="AH84" t="s">
        <v>549</v>
      </c>
    </row>
    <row r="85" spans="1:34" x14ac:dyDescent="0.25">
      <c r="A85" t="s">
        <v>277</v>
      </c>
      <c r="B85" t="s">
        <v>57</v>
      </c>
      <c r="C85" t="s">
        <v>58</v>
      </c>
      <c r="D85" t="s">
        <v>185</v>
      </c>
      <c r="E85">
        <v>33</v>
      </c>
      <c r="F85">
        <v>29</v>
      </c>
      <c r="G85" t="s">
        <v>560</v>
      </c>
      <c r="H85" t="s">
        <v>78</v>
      </c>
      <c r="I85" t="s">
        <v>272</v>
      </c>
      <c r="J85" t="s">
        <v>89</v>
      </c>
      <c r="K85" t="s">
        <v>109</v>
      </c>
      <c r="L85" t="s">
        <v>90</v>
      </c>
      <c r="M85" t="s">
        <v>41</v>
      </c>
      <c r="N85" t="s">
        <v>41</v>
      </c>
      <c r="O85" t="s">
        <v>142</v>
      </c>
      <c r="P85" t="s">
        <v>43</v>
      </c>
      <c r="Q85" t="s">
        <v>561</v>
      </c>
      <c r="R85" t="s">
        <v>562</v>
      </c>
      <c r="S85" t="s">
        <v>562</v>
      </c>
      <c r="T85" t="s">
        <v>563</v>
      </c>
      <c r="U85" t="s">
        <v>470</v>
      </c>
      <c r="V85" t="s">
        <v>564</v>
      </c>
      <c r="W85" t="s">
        <v>565</v>
      </c>
      <c r="X85" t="s">
        <v>566</v>
      </c>
      <c r="Y85" t="s">
        <v>510</v>
      </c>
      <c r="Z85" t="s">
        <v>567</v>
      </c>
      <c r="AA85" t="s">
        <v>216</v>
      </c>
      <c r="AB85" t="s">
        <v>568</v>
      </c>
      <c r="AC85" t="s">
        <v>569</v>
      </c>
      <c r="AD85" t="s">
        <v>510</v>
      </c>
      <c r="AE85" t="s">
        <v>570</v>
      </c>
      <c r="AF85" t="s">
        <v>510</v>
      </c>
      <c r="AG85" t="s">
        <v>465</v>
      </c>
      <c r="AH85" t="s">
        <v>549</v>
      </c>
    </row>
    <row r="86" spans="1:34" x14ac:dyDescent="0.25">
      <c r="A86" t="s">
        <v>571</v>
      </c>
      <c r="B86" t="s">
        <v>376</v>
      </c>
      <c r="C86" t="s">
        <v>108</v>
      </c>
      <c r="D86" t="s">
        <v>268</v>
      </c>
      <c r="E86">
        <v>31</v>
      </c>
      <c r="F86">
        <v>29</v>
      </c>
      <c r="G86" t="s">
        <v>572</v>
      </c>
      <c r="H86" t="s">
        <v>573</v>
      </c>
      <c r="I86" t="s">
        <v>63</v>
      </c>
      <c r="J86" t="s">
        <v>43</v>
      </c>
      <c r="K86" t="s">
        <v>63</v>
      </c>
      <c r="L86" t="s">
        <v>63</v>
      </c>
      <c r="M86" t="s">
        <v>43</v>
      </c>
      <c r="N86" t="s">
        <v>43</v>
      </c>
      <c r="O86" t="s">
        <v>126</v>
      </c>
      <c r="P86" t="s">
        <v>43</v>
      </c>
      <c r="Q86" t="s">
        <v>177</v>
      </c>
      <c r="R86" t="s">
        <v>177</v>
      </c>
      <c r="S86" t="s">
        <v>163</v>
      </c>
      <c r="T86" t="s">
        <v>405</v>
      </c>
      <c r="U86" t="s">
        <v>263</v>
      </c>
      <c r="V86" t="s">
        <v>574</v>
      </c>
      <c r="W86" t="s">
        <v>185</v>
      </c>
      <c r="X86" t="s">
        <v>181</v>
      </c>
      <c r="Y86" t="s">
        <v>43</v>
      </c>
      <c r="Z86" t="s">
        <v>181</v>
      </c>
      <c r="AA86" t="s">
        <v>181</v>
      </c>
      <c r="AB86" t="s">
        <v>181</v>
      </c>
      <c r="AC86" t="s">
        <v>242</v>
      </c>
      <c r="AD86" t="s">
        <v>119</v>
      </c>
      <c r="AE86" t="s">
        <v>120</v>
      </c>
      <c r="AF86" t="s">
        <v>242</v>
      </c>
      <c r="AG86" t="s">
        <v>120</v>
      </c>
      <c r="AH86" t="s">
        <v>549</v>
      </c>
    </row>
    <row r="87" spans="1:34" x14ac:dyDescent="0.25">
      <c r="A87" t="s">
        <v>575</v>
      </c>
      <c r="B87" t="s">
        <v>76</v>
      </c>
      <c r="C87" t="s">
        <v>108</v>
      </c>
      <c r="D87" t="s">
        <v>227</v>
      </c>
      <c r="E87">
        <v>31</v>
      </c>
      <c r="F87">
        <v>28</v>
      </c>
      <c r="G87" t="s">
        <v>576</v>
      </c>
      <c r="H87" t="s">
        <v>577</v>
      </c>
      <c r="I87" t="s">
        <v>114</v>
      </c>
      <c r="J87" t="s">
        <v>44</v>
      </c>
      <c r="K87" t="s">
        <v>83</v>
      </c>
      <c r="L87" t="s">
        <v>114</v>
      </c>
      <c r="M87" t="s">
        <v>43</v>
      </c>
      <c r="N87" t="s">
        <v>43</v>
      </c>
      <c r="O87" t="s">
        <v>83</v>
      </c>
      <c r="P87" t="s">
        <v>43</v>
      </c>
      <c r="Q87" t="s">
        <v>259</v>
      </c>
      <c r="R87" t="s">
        <v>259</v>
      </c>
      <c r="S87" t="s">
        <v>44</v>
      </c>
      <c r="T87" t="s">
        <v>255</v>
      </c>
      <c r="U87" t="s">
        <v>63</v>
      </c>
      <c r="V87" t="s">
        <v>578</v>
      </c>
      <c r="W87" t="s">
        <v>81</v>
      </c>
      <c r="X87" t="s">
        <v>204</v>
      </c>
      <c r="Y87" t="s">
        <v>193</v>
      </c>
      <c r="Z87" t="s">
        <v>218</v>
      </c>
      <c r="AA87" t="s">
        <v>204</v>
      </c>
      <c r="AB87" t="s">
        <v>218</v>
      </c>
      <c r="AC87" t="s">
        <v>358</v>
      </c>
      <c r="AD87" t="s">
        <v>193</v>
      </c>
      <c r="AE87" t="s">
        <v>169</v>
      </c>
      <c r="AF87" t="s">
        <v>358</v>
      </c>
      <c r="AG87" t="s">
        <v>169</v>
      </c>
      <c r="AH87" t="s">
        <v>549</v>
      </c>
    </row>
    <row r="88" spans="1:34" x14ac:dyDescent="0.25">
      <c r="A88" t="s">
        <v>579</v>
      </c>
      <c r="B88" t="s">
        <v>85</v>
      </c>
      <c r="C88" t="s">
        <v>36</v>
      </c>
      <c r="D88" t="s">
        <v>272</v>
      </c>
      <c r="E88">
        <v>28</v>
      </c>
      <c r="F88">
        <v>26</v>
      </c>
      <c r="G88" t="s">
        <v>580</v>
      </c>
      <c r="H88" t="s">
        <v>581</v>
      </c>
      <c r="I88" t="s">
        <v>114</v>
      </c>
      <c r="J88" t="s">
        <v>63</v>
      </c>
      <c r="K88" t="s">
        <v>81</v>
      </c>
      <c r="L88" t="s">
        <v>63</v>
      </c>
      <c r="M88" t="s">
        <v>44</v>
      </c>
      <c r="N88" t="s">
        <v>63</v>
      </c>
      <c r="O88" t="s">
        <v>142</v>
      </c>
      <c r="P88" t="s">
        <v>43</v>
      </c>
      <c r="Q88" t="s">
        <v>407</v>
      </c>
      <c r="R88" t="s">
        <v>210</v>
      </c>
      <c r="S88" t="s">
        <v>267</v>
      </c>
      <c r="T88" t="s">
        <v>40</v>
      </c>
      <c r="U88" t="s">
        <v>582</v>
      </c>
      <c r="V88" t="s">
        <v>583</v>
      </c>
      <c r="W88" t="s">
        <v>346</v>
      </c>
      <c r="X88" t="s">
        <v>53</v>
      </c>
      <c r="Y88" t="s">
        <v>242</v>
      </c>
      <c r="Z88" t="s">
        <v>241</v>
      </c>
      <c r="AA88" t="s">
        <v>242</v>
      </c>
      <c r="AB88" t="s">
        <v>205</v>
      </c>
      <c r="AC88" t="s">
        <v>50</v>
      </c>
      <c r="AD88" t="s">
        <v>218</v>
      </c>
      <c r="AE88" t="s">
        <v>105</v>
      </c>
      <c r="AF88" t="s">
        <v>194</v>
      </c>
      <c r="AG88" t="s">
        <v>72</v>
      </c>
      <c r="AH88" t="s">
        <v>549</v>
      </c>
    </row>
    <row r="89" spans="1:34" x14ac:dyDescent="0.25">
      <c r="A89" t="s">
        <v>584</v>
      </c>
      <c r="B89" t="s">
        <v>585</v>
      </c>
      <c r="C89" t="s">
        <v>77</v>
      </c>
      <c r="D89" t="s">
        <v>59</v>
      </c>
      <c r="E89">
        <v>23</v>
      </c>
      <c r="F89">
        <v>22</v>
      </c>
      <c r="G89" t="s">
        <v>586</v>
      </c>
      <c r="H89" t="s">
        <v>587</v>
      </c>
      <c r="I89" t="s">
        <v>43</v>
      </c>
      <c r="J89" t="s">
        <v>43</v>
      </c>
      <c r="K89" t="s">
        <v>43</v>
      </c>
      <c r="L89" t="s">
        <v>43</v>
      </c>
      <c r="M89" t="s">
        <v>43</v>
      </c>
      <c r="N89" t="s">
        <v>43</v>
      </c>
      <c r="O89" t="s">
        <v>63</v>
      </c>
      <c r="P89" t="s">
        <v>43</v>
      </c>
      <c r="Q89" t="s">
        <v>43</v>
      </c>
      <c r="R89" t="s">
        <v>43</v>
      </c>
      <c r="S89" t="s">
        <v>43</v>
      </c>
      <c r="T89" t="s">
        <v>43</v>
      </c>
      <c r="U89" t="s">
        <v>43</v>
      </c>
      <c r="V89" t="s">
        <v>44</v>
      </c>
      <c r="W89" t="s">
        <v>43</v>
      </c>
      <c r="X89" t="s">
        <v>43</v>
      </c>
      <c r="Y89" t="s">
        <v>43</v>
      </c>
      <c r="Z89" t="s">
        <v>43</v>
      </c>
      <c r="AA89" t="s">
        <v>43</v>
      </c>
      <c r="AB89" t="s">
        <v>43</v>
      </c>
      <c r="AC89" t="s">
        <v>43</v>
      </c>
      <c r="AD89" t="s">
        <v>43</v>
      </c>
      <c r="AE89" t="s">
        <v>43</v>
      </c>
      <c r="AF89" t="s">
        <v>43</v>
      </c>
      <c r="AG89" t="s">
        <v>43</v>
      </c>
      <c r="AH89" t="s">
        <v>549</v>
      </c>
    </row>
    <row r="90" spans="1:34" x14ac:dyDescent="0.25">
      <c r="A90" t="s">
        <v>588</v>
      </c>
      <c r="B90" t="s">
        <v>57</v>
      </c>
      <c r="C90" t="s">
        <v>58</v>
      </c>
      <c r="D90" t="s">
        <v>123</v>
      </c>
      <c r="E90">
        <v>31</v>
      </c>
      <c r="F90">
        <v>22</v>
      </c>
      <c r="G90" t="s">
        <v>589</v>
      </c>
      <c r="H90" t="s">
        <v>272</v>
      </c>
      <c r="I90" t="s">
        <v>40</v>
      </c>
      <c r="J90" t="s">
        <v>83</v>
      </c>
      <c r="K90" t="s">
        <v>276</v>
      </c>
      <c r="L90" t="s">
        <v>40</v>
      </c>
      <c r="M90" t="s">
        <v>43</v>
      </c>
      <c r="N90" t="s">
        <v>43</v>
      </c>
      <c r="O90" t="s">
        <v>142</v>
      </c>
      <c r="P90" t="s">
        <v>43</v>
      </c>
      <c r="Q90" t="s">
        <v>590</v>
      </c>
      <c r="R90" t="s">
        <v>590</v>
      </c>
      <c r="S90" t="s">
        <v>189</v>
      </c>
      <c r="T90" t="s">
        <v>89</v>
      </c>
      <c r="U90" t="s">
        <v>591</v>
      </c>
      <c r="V90" t="s">
        <v>400</v>
      </c>
      <c r="W90" t="s">
        <v>592</v>
      </c>
      <c r="X90" t="s">
        <v>250</v>
      </c>
      <c r="Y90" t="s">
        <v>151</v>
      </c>
      <c r="Z90" t="s">
        <v>320</v>
      </c>
      <c r="AA90" t="s">
        <v>250</v>
      </c>
      <c r="AB90" t="s">
        <v>320</v>
      </c>
      <c r="AC90" t="s">
        <v>236</v>
      </c>
      <c r="AD90" t="s">
        <v>241</v>
      </c>
      <c r="AE90" t="s">
        <v>176</v>
      </c>
      <c r="AF90" t="s">
        <v>236</v>
      </c>
      <c r="AG90" t="s">
        <v>176</v>
      </c>
      <c r="AH90" t="s">
        <v>549</v>
      </c>
    </row>
    <row r="91" spans="1:34" x14ac:dyDescent="0.25">
      <c r="A91" t="s">
        <v>593</v>
      </c>
      <c r="B91" t="s">
        <v>57</v>
      </c>
      <c r="C91" t="s">
        <v>108</v>
      </c>
      <c r="D91" t="s">
        <v>141</v>
      </c>
      <c r="E91">
        <v>23</v>
      </c>
      <c r="F91">
        <v>20</v>
      </c>
      <c r="G91" t="s">
        <v>594</v>
      </c>
      <c r="H91" t="s">
        <v>141</v>
      </c>
      <c r="I91" t="s">
        <v>44</v>
      </c>
      <c r="J91" t="s">
        <v>44</v>
      </c>
      <c r="K91" t="s">
        <v>63</v>
      </c>
      <c r="L91" t="s">
        <v>44</v>
      </c>
      <c r="M91" t="s">
        <v>43</v>
      </c>
      <c r="N91" t="s">
        <v>43</v>
      </c>
      <c r="O91" t="s">
        <v>63</v>
      </c>
      <c r="P91" t="s">
        <v>43</v>
      </c>
      <c r="Q91" t="s">
        <v>222</v>
      </c>
      <c r="R91" t="s">
        <v>222</v>
      </c>
      <c r="S91" t="s">
        <v>200</v>
      </c>
      <c r="T91" t="s">
        <v>199</v>
      </c>
      <c r="U91" t="s">
        <v>59</v>
      </c>
      <c r="V91" t="s">
        <v>425</v>
      </c>
      <c r="W91" t="s">
        <v>37</v>
      </c>
      <c r="X91" t="s">
        <v>168</v>
      </c>
      <c r="Y91" t="s">
        <v>168</v>
      </c>
      <c r="Z91" t="s">
        <v>82</v>
      </c>
      <c r="AA91" t="s">
        <v>168</v>
      </c>
      <c r="AB91" t="s">
        <v>82</v>
      </c>
      <c r="AC91" t="s">
        <v>169</v>
      </c>
      <c r="AD91" t="s">
        <v>169</v>
      </c>
      <c r="AE91" t="s">
        <v>53</v>
      </c>
      <c r="AF91" t="s">
        <v>169</v>
      </c>
      <c r="AG91" t="s">
        <v>53</v>
      </c>
      <c r="AH91" t="s">
        <v>549</v>
      </c>
    </row>
    <row r="92" spans="1:34" x14ac:dyDescent="0.25">
      <c r="A92" t="s">
        <v>595</v>
      </c>
      <c r="B92" t="s">
        <v>35</v>
      </c>
      <c r="C92" t="s">
        <v>108</v>
      </c>
      <c r="D92" t="s">
        <v>268</v>
      </c>
      <c r="E92">
        <v>21</v>
      </c>
      <c r="F92">
        <v>20</v>
      </c>
      <c r="G92" t="s">
        <v>596</v>
      </c>
      <c r="H92" t="s">
        <v>367</v>
      </c>
      <c r="I92" t="s">
        <v>43</v>
      </c>
      <c r="J92" t="s">
        <v>63</v>
      </c>
      <c r="K92" t="s">
        <v>63</v>
      </c>
      <c r="L92" t="s">
        <v>43</v>
      </c>
      <c r="M92" t="s">
        <v>43</v>
      </c>
      <c r="N92" t="s">
        <v>43</v>
      </c>
      <c r="O92" t="s">
        <v>231</v>
      </c>
      <c r="P92" t="s">
        <v>43</v>
      </c>
      <c r="Q92" t="s">
        <v>254</v>
      </c>
      <c r="R92" t="s">
        <v>254</v>
      </c>
      <c r="S92" t="s">
        <v>254</v>
      </c>
      <c r="T92" t="s">
        <v>531</v>
      </c>
      <c r="U92" t="s">
        <v>304</v>
      </c>
      <c r="V92" t="s">
        <v>248</v>
      </c>
      <c r="W92" t="s">
        <v>425</v>
      </c>
      <c r="X92" t="s">
        <v>43</v>
      </c>
      <c r="Y92" t="s">
        <v>82</v>
      </c>
      <c r="Z92" t="s">
        <v>82</v>
      </c>
      <c r="AA92" t="s">
        <v>43</v>
      </c>
      <c r="AB92" t="s">
        <v>82</v>
      </c>
      <c r="AC92" t="s">
        <v>169</v>
      </c>
      <c r="AD92" t="s">
        <v>168</v>
      </c>
      <c r="AE92" t="s">
        <v>204</v>
      </c>
      <c r="AF92" t="s">
        <v>169</v>
      </c>
      <c r="AG92" t="s">
        <v>204</v>
      </c>
      <c r="AH92" t="s">
        <v>549</v>
      </c>
    </row>
    <row r="93" spans="1:34" x14ac:dyDescent="0.25">
      <c r="A93" t="s">
        <v>597</v>
      </c>
      <c r="B93" t="s">
        <v>376</v>
      </c>
      <c r="C93" t="s">
        <v>108</v>
      </c>
      <c r="D93" t="s">
        <v>141</v>
      </c>
      <c r="E93">
        <v>27</v>
      </c>
      <c r="F93">
        <v>19</v>
      </c>
      <c r="G93" t="s">
        <v>598</v>
      </c>
      <c r="H93" t="s">
        <v>599</v>
      </c>
      <c r="I93" t="s">
        <v>43</v>
      </c>
      <c r="J93" t="s">
        <v>126</v>
      </c>
      <c r="K93" t="s">
        <v>126</v>
      </c>
      <c r="L93" t="s">
        <v>43</v>
      </c>
      <c r="M93" t="s">
        <v>43</v>
      </c>
      <c r="N93" t="s">
        <v>43</v>
      </c>
      <c r="O93" t="s">
        <v>142</v>
      </c>
      <c r="P93" t="s">
        <v>44</v>
      </c>
      <c r="Q93" t="s">
        <v>398</v>
      </c>
      <c r="R93" t="s">
        <v>398</v>
      </c>
      <c r="S93" t="s">
        <v>145</v>
      </c>
      <c r="T93" t="s">
        <v>600</v>
      </c>
      <c r="U93" t="s">
        <v>400</v>
      </c>
      <c r="V93" t="s">
        <v>601</v>
      </c>
      <c r="W93" t="s">
        <v>602</v>
      </c>
      <c r="X93" t="s">
        <v>43</v>
      </c>
      <c r="Y93" t="s">
        <v>100</v>
      </c>
      <c r="Z93" t="s">
        <v>100</v>
      </c>
      <c r="AA93" t="s">
        <v>43</v>
      </c>
      <c r="AB93" t="s">
        <v>100</v>
      </c>
      <c r="AC93" t="s">
        <v>168</v>
      </c>
      <c r="AD93" t="s">
        <v>103</v>
      </c>
      <c r="AE93" t="s">
        <v>98</v>
      </c>
      <c r="AF93" t="s">
        <v>168</v>
      </c>
      <c r="AG93" t="s">
        <v>98</v>
      </c>
      <c r="AH93" t="s">
        <v>549</v>
      </c>
    </row>
    <row r="94" spans="1:34" x14ac:dyDescent="0.25">
      <c r="A94" t="s">
        <v>603</v>
      </c>
      <c r="B94" t="s">
        <v>493</v>
      </c>
      <c r="C94" t="s">
        <v>137</v>
      </c>
      <c r="D94" t="s">
        <v>272</v>
      </c>
      <c r="E94">
        <v>31</v>
      </c>
      <c r="F94">
        <v>18</v>
      </c>
      <c r="G94" t="s">
        <v>604</v>
      </c>
      <c r="H94" t="s">
        <v>291</v>
      </c>
      <c r="I94" t="s">
        <v>81</v>
      </c>
      <c r="J94" t="s">
        <v>63</v>
      </c>
      <c r="K94" t="s">
        <v>142</v>
      </c>
      <c r="L94" t="s">
        <v>81</v>
      </c>
      <c r="M94" t="s">
        <v>43</v>
      </c>
      <c r="N94" t="s">
        <v>43</v>
      </c>
      <c r="O94" t="s">
        <v>81</v>
      </c>
      <c r="P94" t="s">
        <v>43</v>
      </c>
      <c r="Q94" t="s">
        <v>283</v>
      </c>
      <c r="R94" t="s">
        <v>283</v>
      </c>
      <c r="S94" t="s">
        <v>45</v>
      </c>
      <c r="T94" t="s">
        <v>605</v>
      </c>
      <c r="U94" t="s">
        <v>606</v>
      </c>
      <c r="V94" t="s">
        <v>330</v>
      </c>
      <c r="W94" t="s">
        <v>607</v>
      </c>
      <c r="X94" t="s">
        <v>236</v>
      </c>
      <c r="Y94" t="s">
        <v>204</v>
      </c>
      <c r="Z94" t="s">
        <v>112</v>
      </c>
      <c r="AA94" t="s">
        <v>236</v>
      </c>
      <c r="AB94" t="s">
        <v>112</v>
      </c>
      <c r="AC94" t="s">
        <v>50</v>
      </c>
      <c r="AD94" t="s">
        <v>402</v>
      </c>
      <c r="AE94" t="s">
        <v>348</v>
      </c>
      <c r="AF94" t="s">
        <v>50</v>
      </c>
      <c r="AG94" t="s">
        <v>348</v>
      </c>
      <c r="AH94" t="s">
        <v>549</v>
      </c>
    </row>
    <row r="95" spans="1:34" x14ac:dyDescent="0.25">
      <c r="A95" t="s">
        <v>608</v>
      </c>
      <c r="B95" t="s">
        <v>35</v>
      </c>
      <c r="C95" t="s">
        <v>77</v>
      </c>
      <c r="D95" t="s">
        <v>268</v>
      </c>
      <c r="E95">
        <v>16</v>
      </c>
      <c r="F95">
        <v>16</v>
      </c>
      <c r="G95" t="s">
        <v>609</v>
      </c>
      <c r="H95" t="s">
        <v>478</v>
      </c>
      <c r="I95" t="s">
        <v>43</v>
      </c>
      <c r="J95" t="s">
        <v>43</v>
      </c>
      <c r="K95" t="s">
        <v>43</v>
      </c>
      <c r="L95" t="s">
        <v>43</v>
      </c>
      <c r="M95" t="s">
        <v>43</v>
      </c>
      <c r="N95" t="s">
        <v>43</v>
      </c>
      <c r="O95" t="s">
        <v>63</v>
      </c>
      <c r="P95" t="s">
        <v>43</v>
      </c>
      <c r="Q95" t="s">
        <v>43</v>
      </c>
      <c r="R95" t="s">
        <v>43</v>
      </c>
      <c r="S95" t="s">
        <v>43</v>
      </c>
      <c r="T95" t="s">
        <v>43</v>
      </c>
      <c r="U95" t="s">
        <v>43</v>
      </c>
      <c r="V95" t="s">
        <v>44</v>
      </c>
      <c r="W95" t="s">
        <v>43</v>
      </c>
      <c r="X95" t="s">
        <v>43</v>
      </c>
      <c r="Y95" t="s">
        <v>43</v>
      </c>
      <c r="Z95" t="s">
        <v>43</v>
      </c>
      <c r="AA95" t="s">
        <v>43</v>
      </c>
      <c r="AB95" t="s">
        <v>43</v>
      </c>
      <c r="AC95" t="s">
        <v>43</v>
      </c>
      <c r="AD95" t="s">
        <v>43</v>
      </c>
      <c r="AE95" t="s">
        <v>43</v>
      </c>
      <c r="AF95" t="s">
        <v>43</v>
      </c>
      <c r="AG95" t="s">
        <v>43</v>
      </c>
      <c r="AH95" t="s">
        <v>549</v>
      </c>
    </row>
    <row r="96" spans="1:34" x14ac:dyDescent="0.25">
      <c r="A96" t="s">
        <v>610</v>
      </c>
      <c r="B96" t="s">
        <v>376</v>
      </c>
      <c r="C96" t="s">
        <v>108</v>
      </c>
      <c r="D96" t="s">
        <v>272</v>
      </c>
      <c r="E96">
        <v>18</v>
      </c>
      <c r="F96">
        <v>15</v>
      </c>
      <c r="G96" t="s">
        <v>611</v>
      </c>
      <c r="H96" t="s">
        <v>612</v>
      </c>
      <c r="I96" t="s">
        <v>43</v>
      </c>
      <c r="J96" t="s">
        <v>44</v>
      </c>
      <c r="K96" t="s">
        <v>44</v>
      </c>
      <c r="L96" t="s">
        <v>43</v>
      </c>
      <c r="M96" t="s">
        <v>43</v>
      </c>
      <c r="N96" t="s">
        <v>43</v>
      </c>
      <c r="O96" t="s">
        <v>114</v>
      </c>
      <c r="P96" t="s">
        <v>43</v>
      </c>
      <c r="Q96" t="s">
        <v>163</v>
      </c>
      <c r="R96" t="s">
        <v>163</v>
      </c>
      <c r="S96" t="s">
        <v>416</v>
      </c>
      <c r="T96" t="s">
        <v>255</v>
      </c>
      <c r="U96" t="s">
        <v>114</v>
      </c>
      <c r="V96" t="s">
        <v>178</v>
      </c>
      <c r="W96" t="s">
        <v>114</v>
      </c>
      <c r="X96" t="s">
        <v>43</v>
      </c>
      <c r="Y96" t="s">
        <v>181</v>
      </c>
      <c r="Z96" t="s">
        <v>181</v>
      </c>
      <c r="AA96" t="s">
        <v>43</v>
      </c>
      <c r="AB96" t="s">
        <v>181</v>
      </c>
      <c r="AC96" t="s">
        <v>182</v>
      </c>
      <c r="AD96" t="s">
        <v>82</v>
      </c>
      <c r="AE96" t="s">
        <v>53</v>
      </c>
      <c r="AF96" t="s">
        <v>182</v>
      </c>
      <c r="AG96" t="s">
        <v>53</v>
      </c>
      <c r="AH96" t="s">
        <v>549</v>
      </c>
    </row>
    <row r="97" spans="1:34" x14ac:dyDescent="0.25">
      <c r="A97" t="s">
        <v>613</v>
      </c>
      <c r="B97" t="s">
        <v>57</v>
      </c>
      <c r="C97" t="s">
        <v>137</v>
      </c>
      <c r="D97" t="s">
        <v>185</v>
      </c>
      <c r="E97">
        <v>23</v>
      </c>
      <c r="F97">
        <v>13</v>
      </c>
      <c r="G97" t="s">
        <v>614</v>
      </c>
      <c r="H97" t="s">
        <v>615</v>
      </c>
      <c r="I97" t="s">
        <v>81</v>
      </c>
      <c r="J97" t="s">
        <v>63</v>
      </c>
      <c r="K97" t="s">
        <v>142</v>
      </c>
      <c r="L97" t="s">
        <v>83</v>
      </c>
      <c r="M97" t="s">
        <v>44</v>
      </c>
      <c r="N97" t="s">
        <v>44</v>
      </c>
      <c r="O97" t="s">
        <v>63</v>
      </c>
      <c r="P97" t="s">
        <v>43</v>
      </c>
      <c r="Q97" t="s">
        <v>199</v>
      </c>
      <c r="R97" t="s">
        <v>164</v>
      </c>
      <c r="S97" t="s">
        <v>113</v>
      </c>
      <c r="T97" t="s">
        <v>145</v>
      </c>
      <c r="U97" t="s">
        <v>47</v>
      </c>
      <c r="V97" t="s">
        <v>582</v>
      </c>
      <c r="W97" t="s">
        <v>191</v>
      </c>
      <c r="X97" t="s">
        <v>500</v>
      </c>
      <c r="Y97" t="s">
        <v>215</v>
      </c>
      <c r="Z97" t="s">
        <v>70</v>
      </c>
      <c r="AA97" t="s">
        <v>616</v>
      </c>
      <c r="AB97" t="s">
        <v>617</v>
      </c>
      <c r="AC97" t="s">
        <v>134</v>
      </c>
      <c r="AD97" t="s">
        <v>402</v>
      </c>
      <c r="AE97" t="s">
        <v>102</v>
      </c>
      <c r="AF97" t="s">
        <v>218</v>
      </c>
      <c r="AG97" t="s">
        <v>97</v>
      </c>
      <c r="AH97" t="s">
        <v>549</v>
      </c>
    </row>
    <row r="98" spans="1:34" x14ac:dyDescent="0.25">
      <c r="A98" t="s">
        <v>618</v>
      </c>
      <c r="B98" t="s">
        <v>57</v>
      </c>
      <c r="C98" t="s">
        <v>108</v>
      </c>
      <c r="D98" t="s">
        <v>201</v>
      </c>
      <c r="E98">
        <v>13</v>
      </c>
      <c r="F98">
        <v>10</v>
      </c>
      <c r="G98" t="s">
        <v>619</v>
      </c>
      <c r="H98" t="s">
        <v>620</v>
      </c>
      <c r="I98" t="s">
        <v>44</v>
      </c>
      <c r="J98" t="s">
        <v>43</v>
      </c>
      <c r="K98" t="s">
        <v>44</v>
      </c>
      <c r="L98" t="s">
        <v>44</v>
      </c>
      <c r="M98" t="s">
        <v>43</v>
      </c>
      <c r="N98" t="s">
        <v>43</v>
      </c>
      <c r="O98" t="s">
        <v>44</v>
      </c>
      <c r="P98" t="s">
        <v>43</v>
      </c>
      <c r="Q98" t="s">
        <v>241</v>
      </c>
      <c r="R98" t="s">
        <v>241</v>
      </c>
      <c r="S98" t="s">
        <v>82</v>
      </c>
      <c r="T98" t="s">
        <v>163</v>
      </c>
      <c r="U98" t="s">
        <v>81</v>
      </c>
      <c r="V98" t="s">
        <v>304</v>
      </c>
      <c r="W98" t="s">
        <v>41</v>
      </c>
      <c r="X98" t="s">
        <v>120</v>
      </c>
      <c r="Y98" t="s">
        <v>43</v>
      </c>
      <c r="Z98" t="s">
        <v>120</v>
      </c>
      <c r="AA98" t="s">
        <v>120</v>
      </c>
      <c r="AB98" t="s">
        <v>120</v>
      </c>
      <c r="AC98" t="s">
        <v>182</v>
      </c>
      <c r="AD98" t="s">
        <v>119</v>
      </c>
      <c r="AE98" t="s">
        <v>182</v>
      </c>
      <c r="AF98" t="s">
        <v>182</v>
      </c>
      <c r="AG98" t="s">
        <v>182</v>
      </c>
      <c r="AH98" t="s">
        <v>549</v>
      </c>
    </row>
    <row r="99" spans="1:34" x14ac:dyDescent="0.25">
      <c r="A99" t="s">
        <v>621</v>
      </c>
      <c r="B99" t="s">
        <v>57</v>
      </c>
      <c r="C99" t="s">
        <v>108</v>
      </c>
      <c r="D99" t="s">
        <v>148</v>
      </c>
      <c r="E99">
        <v>13</v>
      </c>
      <c r="F99">
        <v>9</v>
      </c>
      <c r="G99" t="s">
        <v>622</v>
      </c>
      <c r="H99" t="s">
        <v>65</v>
      </c>
      <c r="I99" t="s">
        <v>43</v>
      </c>
      <c r="J99" t="s">
        <v>44</v>
      </c>
      <c r="K99" t="s">
        <v>44</v>
      </c>
      <c r="L99" t="s">
        <v>43</v>
      </c>
      <c r="M99" t="s">
        <v>43</v>
      </c>
      <c r="N99" t="s">
        <v>43</v>
      </c>
      <c r="O99" t="s">
        <v>81</v>
      </c>
      <c r="P99" t="s">
        <v>43</v>
      </c>
      <c r="Q99" t="s">
        <v>200</v>
      </c>
      <c r="R99" t="s">
        <v>200</v>
      </c>
      <c r="S99" t="s">
        <v>531</v>
      </c>
      <c r="T99" t="s">
        <v>267</v>
      </c>
      <c r="U99" t="s">
        <v>272</v>
      </c>
      <c r="V99" t="s">
        <v>268</v>
      </c>
      <c r="W99" t="s">
        <v>623</v>
      </c>
      <c r="X99" t="s">
        <v>43</v>
      </c>
      <c r="Y99" t="s">
        <v>53</v>
      </c>
      <c r="Z99" t="s">
        <v>53</v>
      </c>
      <c r="AA99" t="s">
        <v>43</v>
      </c>
      <c r="AB99" t="s">
        <v>53</v>
      </c>
      <c r="AC99" t="s">
        <v>218</v>
      </c>
      <c r="AD99" t="s">
        <v>73</v>
      </c>
      <c r="AE99" t="s">
        <v>251</v>
      </c>
      <c r="AF99" t="s">
        <v>218</v>
      </c>
      <c r="AG99" t="s">
        <v>251</v>
      </c>
      <c r="AH99" t="s">
        <v>549</v>
      </c>
    </row>
    <row r="100" spans="1:34" x14ac:dyDescent="0.25">
      <c r="A100" t="s">
        <v>624</v>
      </c>
      <c r="B100" t="s">
        <v>625</v>
      </c>
      <c r="C100" t="s">
        <v>137</v>
      </c>
      <c r="D100" t="s">
        <v>185</v>
      </c>
      <c r="E100">
        <v>13</v>
      </c>
      <c r="F100">
        <v>6</v>
      </c>
      <c r="G100" t="s">
        <v>626</v>
      </c>
      <c r="H100" t="s">
        <v>81</v>
      </c>
      <c r="I100" t="s">
        <v>44</v>
      </c>
      <c r="J100" t="s">
        <v>43</v>
      </c>
      <c r="K100" t="s">
        <v>44</v>
      </c>
      <c r="L100" t="s">
        <v>44</v>
      </c>
      <c r="M100" t="s">
        <v>43</v>
      </c>
      <c r="N100" t="s">
        <v>43</v>
      </c>
      <c r="O100" t="s">
        <v>43</v>
      </c>
      <c r="P100" t="s">
        <v>43</v>
      </c>
      <c r="Q100" t="s">
        <v>177</v>
      </c>
      <c r="R100" t="s">
        <v>177</v>
      </c>
      <c r="S100" t="s">
        <v>241</v>
      </c>
      <c r="T100" t="s">
        <v>199</v>
      </c>
      <c r="U100" t="s">
        <v>89</v>
      </c>
      <c r="V100" t="s">
        <v>126</v>
      </c>
      <c r="W100" t="s">
        <v>225</v>
      </c>
      <c r="X100" t="s">
        <v>241</v>
      </c>
      <c r="Y100" t="s">
        <v>43</v>
      </c>
      <c r="Z100" t="s">
        <v>241</v>
      </c>
      <c r="AA100" t="s">
        <v>241</v>
      </c>
      <c r="AB100" t="s">
        <v>241</v>
      </c>
      <c r="AC100" t="s">
        <v>451</v>
      </c>
      <c r="AD100" t="s">
        <v>358</v>
      </c>
      <c r="AE100" t="s">
        <v>176</v>
      </c>
      <c r="AF100" t="s">
        <v>451</v>
      </c>
      <c r="AG100" t="s">
        <v>176</v>
      </c>
      <c r="AH100" t="s">
        <v>549</v>
      </c>
    </row>
    <row r="101" spans="1:34" x14ac:dyDescent="0.25">
      <c r="A101" t="s">
        <v>627</v>
      </c>
      <c r="B101" t="s">
        <v>57</v>
      </c>
      <c r="C101" t="s">
        <v>108</v>
      </c>
      <c r="D101" t="s">
        <v>59</v>
      </c>
      <c r="E101">
        <v>10</v>
      </c>
      <c r="F101">
        <v>5</v>
      </c>
      <c r="G101" t="s">
        <v>628</v>
      </c>
      <c r="H101" t="s">
        <v>629</v>
      </c>
      <c r="I101" t="s">
        <v>43</v>
      </c>
      <c r="J101" t="s">
        <v>63</v>
      </c>
      <c r="K101" t="s">
        <v>63</v>
      </c>
      <c r="L101" t="s">
        <v>43</v>
      </c>
      <c r="M101" t="s">
        <v>43</v>
      </c>
      <c r="N101" t="s">
        <v>43</v>
      </c>
      <c r="O101" t="s">
        <v>63</v>
      </c>
      <c r="P101" t="s">
        <v>63</v>
      </c>
      <c r="Q101" t="s">
        <v>163</v>
      </c>
      <c r="R101" t="s">
        <v>163</v>
      </c>
      <c r="S101" t="s">
        <v>164</v>
      </c>
      <c r="T101" t="s">
        <v>246</v>
      </c>
      <c r="U101" t="s">
        <v>62</v>
      </c>
      <c r="V101" t="s">
        <v>185</v>
      </c>
      <c r="W101" t="s">
        <v>147</v>
      </c>
      <c r="X101" t="s">
        <v>43</v>
      </c>
      <c r="Y101" t="s">
        <v>500</v>
      </c>
      <c r="Z101" t="s">
        <v>500</v>
      </c>
      <c r="AA101" t="s">
        <v>43</v>
      </c>
      <c r="AB101" t="s">
        <v>500</v>
      </c>
      <c r="AC101" t="s">
        <v>181</v>
      </c>
      <c r="AD101" t="s">
        <v>97</v>
      </c>
      <c r="AE101" t="s">
        <v>102</v>
      </c>
      <c r="AF101" t="s">
        <v>181</v>
      </c>
      <c r="AG101" t="s">
        <v>102</v>
      </c>
      <c r="AH101" t="s">
        <v>549</v>
      </c>
    </row>
    <row r="102" spans="1:34" x14ac:dyDescent="0.25">
      <c r="A102" t="s">
        <v>630</v>
      </c>
      <c r="B102" t="s">
        <v>376</v>
      </c>
      <c r="C102" t="s">
        <v>36</v>
      </c>
      <c r="D102" t="s">
        <v>62</v>
      </c>
      <c r="E102">
        <v>12</v>
      </c>
      <c r="F102">
        <v>3</v>
      </c>
      <c r="G102" t="s">
        <v>631</v>
      </c>
      <c r="H102" t="s">
        <v>382</v>
      </c>
      <c r="I102" t="s">
        <v>43</v>
      </c>
      <c r="J102" t="s">
        <v>43</v>
      </c>
      <c r="K102" t="s">
        <v>43</v>
      </c>
      <c r="L102" t="s">
        <v>43</v>
      </c>
      <c r="M102" t="s">
        <v>43</v>
      </c>
      <c r="N102" t="s">
        <v>43</v>
      </c>
      <c r="O102" t="s">
        <v>63</v>
      </c>
      <c r="P102" t="s">
        <v>43</v>
      </c>
      <c r="Q102" t="s">
        <v>43</v>
      </c>
      <c r="R102" t="s">
        <v>43</v>
      </c>
      <c r="S102" t="s">
        <v>82</v>
      </c>
      <c r="T102" t="s">
        <v>82</v>
      </c>
      <c r="U102" t="s">
        <v>40</v>
      </c>
      <c r="V102" t="s">
        <v>42</v>
      </c>
      <c r="W102" t="s">
        <v>114</v>
      </c>
      <c r="X102" t="s">
        <v>43</v>
      </c>
      <c r="Y102" t="s">
        <v>43</v>
      </c>
      <c r="Z102" t="s">
        <v>43</v>
      </c>
      <c r="AA102" t="s">
        <v>43</v>
      </c>
      <c r="AB102" t="s">
        <v>43</v>
      </c>
      <c r="AC102" t="s">
        <v>43</v>
      </c>
      <c r="AD102" t="s">
        <v>358</v>
      </c>
      <c r="AE102" t="s">
        <v>358</v>
      </c>
      <c r="AF102" t="s">
        <v>43</v>
      </c>
      <c r="AG102" t="s">
        <v>358</v>
      </c>
      <c r="AH102" t="s">
        <v>549</v>
      </c>
    </row>
    <row r="103" spans="1:34" x14ac:dyDescent="0.25">
      <c r="A103" t="s">
        <v>632</v>
      </c>
      <c r="B103" t="s">
        <v>376</v>
      </c>
      <c r="C103" t="s">
        <v>58</v>
      </c>
      <c r="D103" t="s">
        <v>268</v>
      </c>
      <c r="E103">
        <v>11</v>
      </c>
      <c r="F103">
        <v>2</v>
      </c>
      <c r="G103" t="s">
        <v>633</v>
      </c>
      <c r="H103" t="s">
        <v>634</v>
      </c>
      <c r="I103" t="s">
        <v>114</v>
      </c>
      <c r="J103" t="s">
        <v>43</v>
      </c>
      <c r="K103" t="s">
        <v>114</v>
      </c>
      <c r="L103" t="s">
        <v>114</v>
      </c>
      <c r="M103" t="s">
        <v>43</v>
      </c>
      <c r="N103" t="s">
        <v>43</v>
      </c>
      <c r="O103" t="s">
        <v>43</v>
      </c>
      <c r="P103" t="s">
        <v>43</v>
      </c>
      <c r="Q103" t="s">
        <v>327</v>
      </c>
      <c r="R103" t="s">
        <v>327</v>
      </c>
      <c r="S103" t="s">
        <v>241</v>
      </c>
      <c r="T103" t="s">
        <v>199</v>
      </c>
      <c r="U103" t="s">
        <v>231</v>
      </c>
      <c r="V103" t="s">
        <v>62</v>
      </c>
      <c r="W103" t="s">
        <v>147</v>
      </c>
      <c r="X103" t="s">
        <v>106</v>
      </c>
      <c r="Y103" t="s">
        <v>43</v>
      </c>
      <c r="Z103" t="s">
        <v>106</v>
      </c>
      <c r="AA103" t="s">
        <v>106</v>
      </c>
      <c r="AB103" t="s">
        <v>106</v>
      </c>
      <c r="AC103" t="s">
        <v>451</v>
      </c>
      <c r="AD103" t="s">
        <v>168</v>
      </c>
      <c r="AE103" t="s">
        <v>52</v>
      </c>
      <c r="AF103" t="s">
        <v>451</v>
      </c>
      <c r="AG103" t="s">
        <v>52</v>
      </c>
      <c r="AH103" t="s">
        <v>549</v>
      </c>
    </row>
    <row r="104" spans="1:34" x14ac:dyDescent="0.25">
      <c r="A104" t="s">
        <v>635</v>
      </c>
      <c r="B104" t="s">
        <v>57</v>
      </c>
      <c r="C104" t="s">
        <v>86</v>
      </c>
      <c r="D104" t="s">
        <v>62</v>
      </c>
      <c r="E104">
        <v>9</v>
      </c>
      <c r="F104">
        <v>2</v>
      </c>
      <c r="G104" t="s">
        <v>636</v>
      </c>
      <c r="H104" t="s">
        <v>199</v>
      </c>
      <c r="I104" t="s">
        <v>44</v>
      </c>
      <c r="J104" t="s">
        <v>44</v>
      </c>
      <c r="K104" t="s">
        <v>63</v>
      </c>
      <c r="L104" t="s">
        <v>44</v>
      </c>
      <c r="M104" t="s">
        <v>43</v>
      </c>
      <c r="N104" t="s">
        <v>43</v>
      </c>
      <c r="O104" t="s">
        <v>63</v>
      </c>
      <c r="P104" t="s">
        <v>43</v>
      </c>
      <c r="Q104" t="s">
        <v>241</v>
      </c>
      <c r="R104" t="s">
        <v>241</v>
      </c>
      <c r="S104" t="s">
        <v>163</v>
      </c>
      <c r="T104" t="s">
        <v>176</v>
      </c>
      <c r="U104" t="s">
        <v>83</v>
      </c>
      <c r="V104" t="s">
        <v>276</v>
      </c>
      <c r="W104" t="s">
        <v>62</v>
      </c>
      <c r="X104" t="s">
        <v>112</v>
      </c>
      <c r="Y104" t="s">
        <v>112</v>
      </c>
      <c r="Z104" t="s">
        <v>389</v>
      </c>
      <c r="AA104" t="s">
        <v>112</v>
      </c>
      <c r="AB104" t="s">
        <v>389</v>
      </c>
      <c r="AC104" t="s">
        <v>169</v>
      </c>
      <c r="AD104" t="s">
        <v>118</v>
      </c>
      <c r="AE104" t="s">
        <v>194</v>
      </c>
      <c r="AF104" t="s">
        <v>169</v>
      </c>
      <c r="AG104" t="s">
        <v>194</v>
      </c>
      <c r="AH104" t="s">
        <v>549</v>
      </c>
    </row>
    <row r="105" spans="1:34" x14ac:dyDescent="0.25">
      <c r="A105" t="s">
        <v>637</v>
      </c>
      <c r="B105" t="s">
        <v>57</v>
      </c>
      <c r="C105" t="s">
        <v>108</v>
      </c>
      <c r="D105" t="s">
        <v>62</v>
      </c>
      <c r="E105">
        <v>11</v>
      </c>
      <c r="F105">
        <v>2</v>
      </c>
      <c r="G105" t="s">
        <v>638</v>
      </c>
      <c r="H105" t="s">
        <v>327</v>
      </c>
      <c r="I105" t="s">
        <v>44</v>
      </c>
      <c r="J105" t="s">
        <v>43</v>
      </c>
      <c r="K105" t="s">
        <v>44</v>
      </c>
      <c r="L105" t="s">
        <v>44</v>
      </c>
      <c r="M105" t="s">
        <v>43</v>
      </c>
      <c r="N105" t="s">
        <v>43</v>
      </c>
      <c r="O105" t="s">
        <v>44</v>
      </c>
      <c r="P105" t="s">
        <v>43</v>
      </c>
      <c r="Q105" t="s">
        <v>163</v>
      </c>
      <c r="R105" t="s">
        <v>163</v>
      </c>
      <c r="S105" t="s">
        <v>43</v>
      </c>
      <c r="T105" t="s">
        <v>163</v>
      </c>
      <c r="U105" t="s">
        <v>44</v>
      </c>
      <c r="V105" t="s">
        <v>142</v>
      </c>
      <c r="W105" t="s">
        <v>83</v>
      </c>
      <c r="X105" t="s">
        <v>500</v>
      </c>
      <c r="Y105" t="s">
        <v>43</v>
      </c>
      <c r="Z105" t="s">
        <v>500</v>
      </c>
      <c r="AA105" t="s">
        <v>500</v>
      </c>
      <c r="AB105" t="s">
        <v>500</v>
      </c>
      <c r="AC105" t="s">
        <v>218</v>
      </c>
      <c r="AD105" t="s">
        <v>43</v>
      </c>
      <c r="AE105" t="s">
        <v>218</v>
      </c>
      <c r="AF105" t="s">
        <v>218</v>
      </c>
      <c r="AG105" t="s">
        <v>218</v>
      </c>
      <c r="AH105" t="s">
        <v>549</v>
      </c>
    </row>
    <row r="106" spans="1:34" x14ac:dyDescent="0.25">
      <c r="A106" t="s">
        <v>639</v>
      </c>
      <c r="B106" t="s">
        <v>196</v>
      </c>
      <c r="C106" t="s">
        <v>58</v>
      </c>
      <c r="D106" t="s">
        <v>185</v>
      </c>
      <c r="E106">
        <v>12</v>
      </c>
      <c r="F106">
        <v>1</v>
      </c>
      <c r="G106" t="s">
        <v>299</v>
      </c>
      <c r="H106" t="s">
        <v>327</v>
      </c>
      <c r="I106" t="s">
        <v>43</v>
      </c>
      <c r="J106" t="s">
        <v>43</v>
      </c>
      <c r="K106" t="s">
        <v>43</v>
      </c>
      <c r="L106" t="s">
        <v>43</v>
      </c>
      <c r="M106" t="s">
        <v>43</v>
      </c>
      <c r="N106" t="s">
        <v>43</v>
      </c>
      <c r="O106" t="s">
        <v>44</v>
      </c>
      <c r="P106" t="s">
        <v>43</v>
      </c>
      <c r="Q106" t="s">
        <v>259</v>
      </c>
      <c r="R106" t="s">
        <v>259</v>
      </c>
      <c r="S106" t="s">
        <v>82</v>
      </c>
      <c r="T106" t="s">
        <v>398</v>
      </c>
      <c r="U106" t="s">
        <v>41</v>
      </c>
      <c r="V106" t="s">
        <v>40</v>
      </c>
      <c r="W106" t="s">
        <v>127</v>
      </c>
      <c r="X106" t="s">
        <v>43</v>
      </c>
      <c r="Y106" t="s">
        <v>43</v>
      </c>
      <c r="Z106" t="s">
        <v>43</v>
      </c>
      <c r="AA106" t="s">
        <v>43</v>
      </c>
      <c r="AB106" t="s">
        <v>43</v>
      </c>
      <c r="AC106" t="s">
        <v>301</v>
      </c>
      <c r="AD106" t="s">
        <v>193</v>
      </c>
      <c r="AE106" t="s">
        <v>105</v>
      </c>
      <c r="AF106" t="s">
        <v>301</v>
      </c>
      <c r="AG106" t="s">
        <v>105</v>
      </c>
      <c r="AH106" t="s">
        <v>549</v>
      </c>
    </row>
    <row r="107" spans="1:34" x14ac:dyDescent="0.25">
      <c r="A107" t="s">
        <v>640</v>
      </c>
      <c r="B107" t="s">
        <v>519</v>
      </c>
      <c r="C107" t="s">
        <v>58</v>
      </c>
      <c r="D107" t="s">
        <v>141</v>
      </c>
      <c r="E107">
        <v>11</v>
      </c>
      <c r="F107">
        <v>0</v>
      </c>
      <c r="G107" t="s">
        <v>641</v>
      </c>
      <c r="H107" t="s">
        <v>398</v>
      </c>
      <c r="I107" t="s">
        <v>43</v>
      </c>
      <c r="J107" t="s">
        <v>43</v>
      </c>
      <c r="K107" t="s">
        <v>43</v>
      </c>
      <c r="L107" t="s">
        <v>43</v>
      </c>
      <c r="M107" t="s">
        <v>43</v>
      </c>
      <c r="N107" t="s">
        <v>43</v>
      </c>
      <c r="O107" t="s">
        <v>43</v>
      </c>
      <c r="P107" t="s">
        <v>43</v>
      </c>
      <c r="Q107" t="s">
        <v>43</v>
      </c>
      <c r="R107" t="s">
        <v>43</v>
      </c>
      <c r="S107" t="s">
        <v>82</v>
      </c>
      <c r="T107" t="s">
        <v>82</v>
      </c>
      <c r="U107" t="s">
        <v>44</v>
      </c>
      <c r="V107" t="s">
        <v>114</v>
      </c>
      <c r="W107" t="s">
        <v>114</v>
      </c>
      <c r="X107" t="s">
        <v>43</v>
      </c>
      <c r="Y107" t="s">
        <v>43</v>
      </c>
      <c r="Z107" t="s">
        <v>43</v>
      </c>
      <c r="AA107" t="s">
        <v>43</v>
      </c>
      <c r="AB107" t="s">
        <v>43</v>
      </c>
      <c r="AC107" t="s">
        <v>43</v>
      </c>
      <c r="AD107" t="s">
        <v>53</v>
      </c>
      <c r="AE107" t="s">
        <v>53</v>
      </c>
      <c r="AF107" t="s">
        <v>43</v>
      </c>
      <c r="AG107" t="s">
        <v>53</v>
      </c>
      <c r="AH107" t="s">
        <v>549</v>
      </c>
    </row>
    <row r="108" spans="1:34" x14ac:dyDescent="0.25">
      <c r="A108" t="s">
        <v>642</v>
      </c>
      <c r="B108" t="s">
        <v>207</v>
      </c>
      <c r="C108" t="s">
        <v>36</v>
      </c>
      <c r="D108" t="s">
        <v>62</v>
      </c>
      <c r="E108">
        <v>1</v>
      </c>
      <c r="F108">
        <v>0</v>
      </c>
      <c r="G108" t="s">
        <v>109</v>
      </c>
      <c r="H108" t="s">
        <v>112</v>
      </c>
      <c r="I108" t="s">
        <v>43</v>
      </c>
      <c r="J108" t="s">
        <v>43</v>
      </c>
      <c r="K108" t="s">
        <v>43</v>
      </c>
      <c r="L108" t="s">
        <v>43</v>
      </c>
      <c r="M108" t="s">
        <v>43</v>
      </c>
      <c r="N108" t="s">
        <v>43</v>
      </c>
      <c r="O108" t="s">
        <v>43</v>
      </c>
      <c r="P108" t="s">
        <v>43</v>
      </c>
      <c r="Q108" t="s">
        <v>43</v>
      </c>
      <c r="R108" t="s">
        <v>43</v>
      </c>
      <c r="S108" t="s">
        <v>43</v>
      </c>
      <c r="T108" t="s">
        <v>43</v>
      </c>
      <c r="U108" t="s">
        <v>43</v>
      </c>
      <c r="V108" t="s">
        <v>44</v>
      </c>
      <c r="W108" t="s">
        <v>43</v>
      </c>
      <c r="X108" t="s">
        <v>43</v>
      </c>
      <c r="Y108" t="s">
        <v>43</v>
      </c>
      <c r="Z108" t="s">
        <v>43</v>
      </c>
      <c r="AA108" t="s">
        <v>43</v>
      </c>
      <c r="AB108" t="s">
        <v>43</v>
      </c>
      <c r="AC108" t="s">
        <v>43</v>
      </c>
      <c r="AD108" t="s">
        <v>43</v>
      </c>
      <c r="AE108" t="s">
        <v>43</v>
      </c>
      <c r="AF108" t="s">
        <v>43</v>
      </c>
      <c r="AG108" t="s">
        <v>43</v>
      </c>
      <c r="AH108" t="s">
        <v>549</v>
      </c>
    </row>
    <row r="109" spans="1:34" x14ac:dyDescent="0.25">
      <c r="A109" t="s">
        <v>643</v>
      </c>
      <c r="B109" t="s">
        <v>76</v>
      </c>
      <c r="C109" t="s">
        <v>644</v>
      </c>
      <c r="D109" t="s">
        <v>203</v>
      </c>
      <c r="E109">
        <v>2</v>
      </c>
      <c r="F109">
        <v>0</v>
      </c>
      <c r="G109" t="s">
        <v>90</v>
      </c>
      <c r="H109" t="s">
        <v>82</v>
      </c>
      <c r="I109" t="s">
        <v>43</v>
      </c>
      <c r="J109" t="s">
        <v>43</v>
      </c>
      <c r="K109" t="s">
        <v>43</v>
      </c>
      <c r="L109" t="s">
        <v>43</v>
      </c>
      <c r="M109" t="s">
        <v>43</v>
      </c>
      <c r="N109" t="s">
        <v>43</v>
      </c>
      <c r="O109" t="s">
        <v>43</v>
      </c>
      <c r="P109" t="s">
        <v>43</v>
      </c>
      <c r="Q109" t="s">
        <v>176</v>
      </c>
      <c r="R109" t="s">
        <v>176</v>
      </c>
      <c r="S109" t="s">
        <v>43</v>
      </c>
      <c r="T109" t="s">
        <v>176</v>
      </c>
      <c r="U109" t="s">
        <v>43</v>
      </c>
      <c r="V109" t="s">
        <v>43</v>
      </c>
      <c r="W109" t="s">
        <v>44</v>
      </c>
      <c r="X109" t="s">
        <v>43</v>
      </c>
      <c r="Y109" t="s">
        <v>43</v>
      </c>
      <c r="Z109" t="s">
        <v>43</v>
      </c>
      <c r="AA109" t="s">
        <v>43</v>
      </c>
      <c r="AB109" t="s">
        <v>43</v>
      </c>
      <c r="AC109" t="s">
        <v>645</v>
      </c>
      <c r="AD109" t="s">
        <v>43</v>
      </c>
      <c r="AE109" t="s">
        <v>645</v>
      </c>
      <c r="AF109" t="s">
        <v>645</v>
      </c>
      <c r="AG109" t="s">
        <v>645</v>
      </c>
      <c r="AH109" t="s">
        <v>549</v>
      </c>
    </row>
    <row r="110" spans="1:34" x14ac:dyDescent="0.25">
      <c r="A110" t="s">
        <v>646</v>
      </c>
      <c r="B110" t="s">
        <v>57</v>
      </c>
      <c r="C110" t="s">
        <v>137</v>
      </c>
      <c r="D110" t="s">
        <v>62</v>
      </c>
      <c r="E110">
        <v>2</v>
      </c>
      <c r="F110">
        <v>0</v>
      </c>
      <c r="G110" t="s">
        <v>41</v>
      </c>
      <c r="H110" t="s">
        <v>82</v>
      </c>
      <c r="I110" t="s">
        <v>43</v>
      </c>
      <c r="J110" t="s">
        <v>43</v>
      </c>
      <c r="K110" t="s">
        <v>43</v>
      </c>
      <c r="L110" t="s">
        <v>43</v>
      </c>
      <c r="M110" t="s">
        <v>43</v>
      </c>
      <c r="N110" t="s">
        <v>43</v>
      </c>
      <c r="O110" t="s">
        <v>43</v>
      </c>
      <c r="P110" t="s">
        <v>43</v>
      </c>
      <c r="Q110" t="s">
        <v>43</v>
      </c>
      <c r="R110" t="s">
        <v>43</v>
      </c>
      <c r="S110" t="s">
        <v>43</v>
      </c>
      <c r="T110" t="s">
        <v>43</v>
      </c>
      <c r="U110" t="s">
        <v>43</v>
      </c>
      <c r="V110" t="s">
        <v>43</v>
      </c>
      <c r="W110" t="s">
        <v>44</v>
      </c>
      <c r="X110" t="s">
        <v>43</v>
      </c>
      <c r="Y110" t="s">
        <v>43</v>
      </c>
      <c r="Z110" t="s">
        <v>43</v>
      </c>
      <c r="AA110" t="s">
        <v>43</v>
      </c>
      <c r="AB110" t="s">
        <v>43</v>
      </c>
      <c r="AC110" t="s">
        <v>43</v>
      </c>
      <c r="AD110" t="s">
        <v>43</v>
      </c>
      <c r="AE110" t="s">
        <v>43</v>
      </c>
      <c r="AF110" t="s">
        <v>43</v>
      </c>
      <c r="AG110" t="s">
        <v>43</v>
      </c>
      <c r="AH110" t="s">
        <v>549</v>
      </c>
    </row>
    <row r="111" spans="1:34" x14ac:dyDescent="0.25">
      <c r="A111" t="s">
        <v>647</v>
      </c>
      <c r="B111" t="s">
        <v>57</v>
      </c>
      <c r="C111" t="s">
        <v>108</v>
      </c>
      <c r="D111" t="s">
        <v>42</v>
      </c>
      <c r="E111">
        <v>1</v>
      </c>
      <c r="F111">
        <v>0</v>
      </c>
      <c r="G111" t="s">
        <v>126</v>
      </c>
      <c r="H111" t="s">
        <v>82</v>
      </c>
      <c r="I111" t="s">
        <v>43</v>
      </c>
      <c r="J111" t="s">
        <v>43</v>
      </c>
      <c r="K111" t="s">
        <v>43</v>
      </c>
      <c r="L111" t="s">
        <v>43</v>
      </c>
      <c r="M111" t="s">
        <v>43</v>
      </c>
      <c r="N111" t="s">
        <v>43</v>
      </c>
      <c r="O111" t="s">
        <v>43</v>
      </c>
      <c r="P111" t="s">
        <v>43</v>
      </c>
      <c r="Q111" t="s">
        <v>43</v>
      </c>
      <c r="R111" t="s">
        <v>43</v>
      </c>
      <c r="S111" t="s">
        <v>43</v>
      </c>
      <c r="T111" t="s">
        <v>43</v>
      </c>
      <c r="U111" t="s">
        <v>43</v>
      </c>
      <c r="V111" t="s">
        <v>43</v>
      </c>
      <c r="W111" t="s">
        <v>43</v>
      </c>
      <c r="X111" t="s">
        <v>43</v>
      </c>
      <c r="Y111" t="s">
        <v>43</v>
      </c>
      <c r="Z111" t="s">
        <v>43</v>
      </c>
      <c r="AA111" t="s">
        <v>43</v>
      </c>
      <c r="AB111" t="s">
        <v>43</v>
      </c>
      <c r="AC111" t="s">
        <v>43</v>
      </c>
      <c r="AD111" t="s">
        <v>43</v>
      </c>
      <c r="AE111" t="s">
        <v>43</v>
      </c>
      <c r="AF111" t="s">
        <v>43</v>
      </c>
      <c r="AG111" t="s">
        <v>43</v>
      </c>
      <c r="AH111" t="s">
        <v>549</v>
      </c>
    </row>
    <row r="112" spans="1:34" x14ac:dyDescent="0.25">
      <c r="A112" t="s">
        <v>648</v>
      </c>
      <c r="B112" t="s">
        <v>57</v>
      </c>
      <c r="C112" t="s">
        <v>36</v>
      </c>
      <c r="D112" t="s">
        <v>203</v>
      </c>
      <c r="E112">
        <v>1</v>
      </c>
      <c r="F112">
        <v>0</v>
      </c>
      <c r="G112" t="s">
        <v>44</v>
      </c>
      <c r="H112" t="s">
        <v>43</v>
      </c>
      <c r="I112" t="s">
        <v>43</v>
      </c>
      <c r="J112" t="s">
        <v>43</v>
      </c>
      <c r="K112" t="s">
        <v>43</v>
      </c>
      <c r="L112" t="s">
        <v>43</v>
      </c>
      <c r="M112" t="s">
        <v>43</v>
      </c>
      <c r="N112" t="s">
        <v>43</v>
      </c>
      <c r="O112" t="s">
        <v>43</v>
      </c>
      <c r="P112" t="s">
        <v>43</v>
      </c>
      <c r="Q112" t="s">
        <v>43</v>
      </c>
      <c r="R112" t="s">
        <v>43</v>
      </c>
      <c r="S112" t="s">
        <v>43</v>
      </c>
      <c r="T112" t="s">
        <v>43</v>
      </c>
      <c r="U112" t="s">
        <v>43</v>
      </c>
      <c r="V112" t="s">
        <v>43</v>
      </c>
      <c r="W112" t="s">
        <v>43</v>
      </c>
      <c r="X112" t="s">
        <v>43</v>
      </c>
      <c r="Y112" t="s">
        <v>43</v>
      </c>
      <c r="Z112" t="s">
        <v>43</v>
      </c>
      <c r="AA112" t="s">
        <v>43</v>
      </c>
      <c r="AB112" t="s">
        <v>43</v>
      </c>
      <c r="AC112" t="s">
        <v>43</v>
      </c>
      <c r="AD112" t="s">
        <v>43</v>
      </c>
      <c r="AE112" t="s">
        <v>43</v>
      </c>
      <c r="AF112" t="s">
        <v>43</v>
      </c>
      <c r="AG112" t="s">
        <v>43</v>
      </c>
      <c r="AH112" t="s">
        <v>549</v>
      </c>
    </row>
    <row r="113" spans="1:34" x14ac:dyDescent="0.25">
      <c r="A113" t="s">
        <v>649</v>
      </c>
      <c r="B113" t="s">
        <v>57</v>
      </c>
      <c r="C113" t="s">
        <v>137</v>
      </c>
      <c r="D113" t="s">
        <v>62</v>
      </c>
      <c r="E113">
        <v>1</v>
      </c>
      <c r="F113">
        <v>0</v>
      </c>
      <c r="G113" t="s">
        <v>44</v>
      </c>
      <c r="H113" t="s">
        <v>43</v>
      </c>
      <c r="I113" t="s">
        <v>43</v>
      </c>
      <c r="J113" t="s">
        <v>43</v>
      </c>
      <c r="K113" t="s">
        <v>43</v>
      </c>
      <c r="L113" t="s">
        <v>43</v>
      </c>
      <c r="M113" t="s">
        <v>43</v>
      </c>
      <c r="N113" t="s">
        <v>43</v>
      </c>
      <c r="O113" t="s">
        <v>43</v>
      </c>
      <c r="P113" t="s">
        <v>43</v>
      </c>
      <c r="Q113" t="s">
        <v>43</v>
      </c>
      <c r="R113" t="s">
        <v>43</v>
      </c>
      <c r="S113" t="s">
        <v>43</v>
      </c>
      <c r="T113" t="s">
        <v>43</v>
      </c>
      <c r="U113" t="s">
        <v>43</v>
      </c>
      <c r="V113" t="s">
        <v>43</v>
      </c>
      <c r="W113" t="s">
        <v>43</v>
      </c>
      <c r="X113" t="s">
        <v>43</v>
      </c>
      <c r="Y113" t="s">
        <v>43</v>
      </c>
      <c r="Z113" t="s">
        <v>43</v>
      </c>
      <c r="AA113" t="s">
        <v>43</v>
      </c>
      <c r="AB113" t="s">
        <v>43</v>
      </c>
      <c r="AC113" t="s">
        <v>43</v>
      </c>
      <c r="AD113" t="s">
        <v>43</v>
      </c>
      <c r="AE113" t="s">
        <v>43</v>
      </c>
      <c r="AF113" t="s">
        <v>43</v>
      </c>
      <c r="AG113" t="s">
        <v>43</v>
      </c>
      <c r="AH113" t="s">
        <v>549</v>
      </c>
    </row>
    <row r="114" spans="1:34" x14ac:dyDescent="0.25">
      <c r="A114" t="s">
        <v>650</v>
      </c>
      <c r="B114" t="s">
        <v>76</v>
      </c>
      <c r="C114" t="s">
        <v>36</v>
      </c>
      <c r="D114" t="s">
        <v>268</v>
      </c>
      <c r="E114">
        <v>37</v>
      </c>
      <c r="F114">
        <v>37</v>
      </c>
      <c r="G114" t="s">
        <v>651</v>
      </c>
      <c r="H114" t="s">
        <v>652</v>
      </c>
      <c r="I114" t="s">
        <v>142</v>
      </c>
      <c r="J114" t="s">
        <v>40</v>
      </c>
      <c r="K114" t="s">
        <v>127</v>
      </c>
      <c r="L114" t="s">
        <v>142</v>
      </c>
      <c r="M114" t="s">
        <v>43</v>
      </c>
      <c r="N114" t="s">
        <v>43</v>
      </c>
      <c r="O114" t="s">
        <v>41</v>
      </c>
      <c r="P114" t="s">
        <v>43</v>
      </c>
      <c r="Q114" t="s">
        <v>653</v>
      </c>
      <c r="R114" t="s">
        <v>653</v>
      </c>
      <c r="S114" t="s">
        <v>92</v>
      </c>
      <c r="T114" t="s">
        <v>245</v>
      </c>
      <c r="U114" t="s">
        <v>490</v>
      </c>
      <c r="V114" t="s">
        <v>654</v>
      </c>
      <c r="W114" t="s">
        <v>425</v>
      </c>
      <c r="X114" t="s">
        <v>194</v>
      </c>
      <c r="Y114" t="s">
        <v>103</v>
      </c>
      <c r="Z114" t="s">
        <v>251</v>
      </c>
      <c r="AA114" t="s">
        <v>194</v>
      </c>
      <c r="AB114" t="s">
        <v>251</v>
      </c>
      <c r="AC114" t="s">
        <v>118</v>
      </c>
      <c r="AD114" t="s">
        <v>151</v>
      </c>
      <c r="AE114" t="s">
        <v>100</v>
      </c>
      <c r="AF114" t="s">
        <v>118</v>
      </c>
      <c r="AG114" t="s">
        <v>100</v>
      </c>
      <c r="AH114" t="s">
        <v>655</v>
      </c>
    </row>
    <row r="115" spans="1:34" x14ac:dyDescent="0.25">
      <c r="A115" t="s">
        <v>656</v>
      </c>
      <c r="B115" t="s">
        <v>171</v>
      </c>
      <c r="C115" t="s">
        <v>108</v>
      </c>
      <c r="D115" t="s">
        <v>304</v>
      </c>
      <c r="E115">
        <v>36</v>
      </c>
      <c r="F115">
        <v>35</v>
      </c>
      <c r="G115" t="s">
        <v>657</v>
      </c>
      <c r="H115" t="s">
        <v>658</v>
      </c>
      <c r="I115" t="s">
        <v>83</v>
      </c>
      <c r="J115" t="s">
        <v>44</v>
      </c>
      <c r="K115" t="s">
        <v>81</v>
      </c>
      <c r="L115" t="s">
        <v>83</v>
      </c>
      <c r="M115" t="s">
        <v>43</v>
      </c>
      <c r="N115" t="s">
        <v>43</v>
      </c>
      <c r="O115" t="s">
        <v>81</v>
      </c>
      <c r="P115" t="s">
        <v>43</v>
      </c>
      <c r="Q115" t="s">
        <v>199</v>
      </c>
      <c r="R115" t="s">
        <v>199</v>
      </c>
      <c r="S115" t="s">
        <v>378</v>
      </c>
      <c r="T115" t="s">
        <v>382</v>
      </c>
      <c r="U115" t="s">
        <v>123</v>
      </c>
      <c r="V115" t="s">
        <v>235</v>
      </c>
      <c r="W115" t="s">
        <v>141</v>
      </c>
      <c r="X115" t="s">
        <v>53</v>
      </c>
      <c r="Y115" t="s">
        <v>358</v>
      </c>
      <c r="Z115" t="s">
        <v>156</v>
      </c>
      <c r="AA115" t="s">
        <v>53</v>
      </c>
      <c r="AB115" t="s">
        <v>156</v>
      </c>
      <c r="AC115" t="s">
        <v>181</v>
      </c>
      <c r="AD115" t="s">
        <v>182</v>
      </c>
      <c r="AE115" t="s">
        <v>82</v>
      </c>
      <c r="AF115" t="s">
        <v>181</v>
      </c>
      <c r="AG115" t="s">
        <v>82</v>
      </c>
      <c r="AH115" t="s">
        <v>655</v>
      </c>
    </row>
    <row r="116" spans="1:34" x14ac:dyDescent="0.25">
      <c r="A116" t="s">
        <v>659</v>
      </c>
      <c r="B116" t="s">
        <v>57</v>
      </c>
      <c r="C116" t="s">
        <v>137</v>
      </c>
      <c r="D116" t="s">
        <v>272</v>
      </c>
      <c r="E116">
        <v>35</v>
      </c>
      <c r="F116">
        <v>34</v>
      </c>
      <c r="G116" t="s">
        <v>660</v>
      </c>
      <c r="H116" t="s">
        <v>661</v>
      </c>
      <c r="I116" t="s">
        <v>89</v>
      </c>
      <c r="J116" t="s">
        <v>231</v>
      </c>
      <c r="K116" t="s">
        <v>185</v>
      </c>
      <c r="L116" t="s">
        <v>231</v>
      </c>
      <c r="M116" t="s">
        <v>44</v>
      </c>
      <c r="N116" t="s">
        <v>44</v>
      </c>
      <c r="O116" t="s">
        <v>276</v>
      </c>
      <c r="P116" t="s">
        <v>44</v>
      </c>
      <c r="Q116" t="s">
        <v>521</v>
      </c>
      <c r="R116" t="s">
        <v>662</v>
      </c>
      <c r="S116" t="s">
        <v>40</v>
      </c>
      <c r="T116" t="s">
        <v>663</v>
      </c>
      <c r="U116" t="s">
        <v>664</v>
      </c>
      <c r="V116" t="s">
        <v>357</v>
      </c>
      <c r="W116" t="s">
        <v>665</v>
      </c>
      <c r="X116" t="s">
        <v>616</v>
      </c>
      <c r="Y116" t="s">
        <v>100</v>
      </c>
      <c r="Z116" t="s">
        <v>99</v>
      </c>
      <c r="AA116" t="s">
        <v>100</v>
      </c>
      <c r="AB116" t="s">
        <v>217</v>
      </c>
      <c r="AC116" t="s">
        <v>466</v>
      </c>
      <c r="AD116" t="s">
        <v>50</v>
      </c>
      <c r="AE116" t="s">
        <v>481</v>
      </c>
      <c r="AF116" t="s">
        <v>236</v>
      </c>
      <c r="AG116" t="s">
        <v>482</v>
      </c>
      <c r="AH116" t="s">
        <v>655</v>
      </c>
    </row>
    <row r="117" spans="1:34" x14ac:dyDescent="0.25">
      <c r="A117" t="s">
        <v>666</v>
      </c>
      <c r="B117" t="s">
        <v>57</v>
      </c>
      <c r="C117" t="s">
        <v>108</v>
      </c>
      <c r="D117" t="s">
        <v>304</v>
      </c>
      <c r="E117">
        <v>33</v>
      </c>
      <c r="F117">
        <v>32</v>
      </c>
      <c r="G117" t="s">
        <v>667</v>
      </c>
      <c r="H117" t="s">
        <v>668</v>
      </c>
      <c r="I117" t="s">
        <v>63</v>
      </c>
      <c r="J117" t="s">
        <v>63</v>
      </c>
      <c r="K117" t="s">
        <v>83</v>
      </c>
      <c r="L117" t="s">
        <v>63</v>
      </c>
      <c r="M117" t="s">
        <v>43</v>
      </c>
      <c r="N117" t="s">
        <v>43</v>
      </c>
      <c r="O117" t="s">
        <v>83</v>
      </c>
      <c r="P117" t="s">
        <v>43</v>
      </c>
      <c r="Q117" t="s">
        <v>188</v>
      </c>
      <c r="R117" t="s">
        <v>188</v>
      </c>
      <c r="S117" t="s">
        <v>254</v>
      </c>
      <c r="T117" t="s">
        <v>547</v>
      </c>
      <c r="U117" t="s">
        <v>232</v>
      </c>
      <c r="V117" t="s">
        <v>338</v>
      </c>
      <c r="W117" t="s">
        <v>268</v>
      </c>
      <c r="X117" t="s">
        <v>181</v>
      </c>
      <c r="Y117" t="s">
        <v>181</v>
      </c>
      <c r="Z117" t="s">
        <v>118</v>
      </c>
      <c r="AA117" t="s">
        <v>181</v>
      </c>
      <c r="AB117" t="s">
        <v>118</v>
      </c>
      <c r="AC117" t="s">
        <v>82</v>
      </c>
      <c r="AD117" t="s">
        <v>193</v>
      </c>
      <c r="AE117" t="s">
        <v>218</v>
      </c>
      <c r="AF117" t="s">
        <v>82</v>
      </c>
      <c r="AG117" t="s">
        <v>218</v>
      </c>
      <c r="AH117" t="s">
        <v>655</v>
      </c>
    </row>
    <row r="118" spans="1:34" x14ac:dyDescent="0.25">
      <c r="A118" t="s">
        <v>669</v>
      </c>
      <c r="B118" t="s">
        <v>57</v>
      </c>
      <c r="C118" t="s">
        <v>36</v>
      </c>
      <c r="D118" t="s">
        <v>268</v>
      </c>
      <c r="E118">
        <v>35</v>
      </c>
      <c r="F118">
        <v>30</v>
      </c>
      <c r="G118" t="s">
        <v>670</v>
      </c>
      <c r="H118" t="s">
        <v>671</v>
      </c>
      <c r="I118" t="s">
        <v>126</v>
      </c>
      <c r="J118" t="s">
        <v>63</v>
      </c>
      <c r="K118" t="s">
        <v>40</v>
      </c>
      <c r="L118" t="s">
        <v>126</v>
      </c>
      <c r="M118" t="s">
        <v>43</v>
      </c>
      <c r="N118" t="s">
        <v>43</v>
      </c>
      <c r="O118" t="s">
        <v>142</v>
      </c>
      <c r="P118" t="s">
        <v>43</v>
      </c>
      <c r="Q118" t="s">
        <v>672</v>
      </c>
      <c r="R118" t="s">
        <v>672</v>
      </c>
      <c r="S118" t="s">
        <v>327</v>
      </c>
      <c r="T118" t="s">
        <v>526</v>
      </c>
      <c r="U118" t="s">
        <v>201</v>
      </c>
      <c r="V118" t="s">
        <v>673</v>
      </c>
      <c r="W118" t="s">
        <v>202</v>
      </c>
      <c r="X118" t="s">
        <v>241</v>
      </c>
      <c r="Y118" t="s">
        <v>181</v>
      </c>
      <c r="Z118" t="s">
        <v>73</v>
      </c>
      <c r="AA118" t="s">
        <v>241</v>
      </c>
      <c r="AB118" t="s">
        <v>73</v>
      </c>
      <c r="AC118" t="s">
        <v>103</v>
      </c>
      <c r="AD118" t="s">
        <v>181</v>
      </c>
      <c r="AE118" t="s">
        <v>236</v>
      </c>
      <c r="AF118" t="s">
        <v>103</v>
      </c>
      <c r="AG118" t="s">
        <v>236</v>
      </c>
      <c r="AH118" t="s">
        <v>655</v>
      </c>
    </row>
    <row r="119" spans="1:34" x14ac:dyDescent="0.25">
      <c r="A119" t="s">
        <v>674</v>
      </c>
      <c r="B119" t="s">
        <v>675</v>
      </c>
      <c r="C119" t="s">
        <v>137</v>
      </c>
      <c r="D119" t="s">
        <v>59</v>
      </c>
      <c r="E119">
        <v>30</v>
      </c>
      <c r="F119">
        <v>27</v>
      </c>
      <c r="G119" t="s">
        <v>676</v>
      </c>
      <c r="H119" t="s">
        <v>677</v>
      </c>
      <c r="I119" t="s">
        <v>185</v>
      </c>
      <c r="J119" t="s">
        <v>63</v>
      </c>
      <c r="K119" t="s">
        <v>59</v>
      </c>
      <c r="L119" t="s">
        <v>167</v>
      </c>
      <c r="M119" t="s">
        <v>81</v>
      </c>
      <c r="N119" t="s">
        <v>126</v>
      </c>
      <c r="O119" t="s">
        <v>44</v>
      </c>
      <c r="P119" t="s">
        <v>43</v>
      </c>
      <c r="Q119" t="s">
        <v>678</v>
      </c>
      <c r="R119" t="s">
        <v>679</v>
      </c>
      <c r="S119" t="s">
        <v>128</v>
      </c>
      <c r="T119" t="s">
        <v>680</v>
      </c>
      <c r="U119" t="s">
        <v>681</v>
      </c>
      <c r="V119" t="s">
        <v>401</v>
      </c>
      <c r="W119" t="s">
        <v>682</v>
      </c>
      <c r="X119" t="s">
        <v>349</v>
      </c>
      <c r="Y119" t="s">
        <v>242</v>
      </c>
      <c r="Z119" t="s">
        <v>683</v>
      </c>
      <c r="AA119" t="s">
        <v>313</v>
      </c>
      <c r="AB119" t="s">
        <v>350</v>
      </c>
      <c r="AC119" t="s">
        <v>158</v>
      </c>
      <c r="AD119" t="s">
        <v>156</v>
      </c>
      <c r="AE119" t="s">
        <v>159</v>
      </c>
      <c r="AF119" t="s">
        <v>217</v>
      </c>
      <c r="AG119" t="s">
        <v>465</v>
      </c>
      <c r="AH119" t="s">
        <v>655</v>
      </c>
    </row>
    <row r="120" spans="1:34" x14ac:dyDescent="0.25">
      <c r="A120" t="s">
        <v>684</v>
      </c>
      <c r="B120" t="s">
        <v>57</v>
      </c>
      <c r="C120" t="s">
        <v>108</v>
      </c>
      <c r="D120" t="s">
        <v>140</v>
      </c>
      <c r="E120">
        <v>28</v>
      </c>
      <c r="F120">
        <v>26</v>
      </c>
      <c r="G120" t="s">
        <v>685</v>
      </c>
      <c r="H120" t="s">
        <v>686</v>
      </c>
      <c r="I120" t="s">
        <v>44</v>
      </c>
      <c r="J120" t="s">
        <v>231</v>
      </c>
      <c r="K120" t="s">
        <v>89</v>
      </c>
      <c r="L120" t="s">
        <v>44</v>
      </c>
      <c r="M120" t="s">
        <v>43</v>
      </c>
      <c r="N120" t="s">
        <v>43</v>
      </c>
      <c r="O120" t="s">
        <v>81</v>
      </c>
      <c r="P120" t="s">
        <v>43</v>
      </c>
      <c r="Q120" t="s">
        <v>378</v>
      </c>
      <c r="R120" t="s">
        <v>378</v>
      </c>
      <c r="S120" t="s">
        <v>424</v>
      </c>
      <c r="T120" t="s">
        <v>687</v>
      </c>
      <c r="U120" t="s">
        <v>165</v>
      </c>
      <c r="V120" t="s">
        <v>116</v>
      </c>
      <c r="W120" t="s">
        <v>408</v>
      </c>
      <c r="X120" t="s">
        <v>193</v>
      </c>
      <c r="Y120" t="s">
        <v>112</v>
      </c>
      <c r="Z120" t="s">
        <v>102</v>
      </c>
      <c r="AA120" t="s">
        <v>193</v>
      </c>
      <c r="AB120" t="s">
        <v>102</v>
      </c>
      <c r="AC120" t="s">
        <v>358</v>
      </c>
      <c r="AD120" t="s">
        <v>163</v>
      </c>
      <c r="AE120" t="s">
        <v>72</v>
      </c>
      <c r="AF120" t="s">
        <v>358</v>
      </c>
      <c r="AG120" t="s">
        <v>72</v>
      </c>
      <c r="AH120" t="s">
        <v>655</v>
      </c>
    </row>
    <row r="121" spans="1:34" x14ac:dyDescent="0.25">
      <c r="A121" t="s">
        <v>688</v>
      </c>
      <c r="B121" t="s">
        <v>689</v>
      </c>
      <c r="C121" t="s">
        <v>137</v>
      </c>
      <c r="D121" t="s">
        <v>78</v>
      </c>
      <c r="E121">
        <v>33</v>
      </c>
      <c r="F121">
        <v>23</v>
      </c>
      <c r="G121" t="s">
        <v>690</v>
      </c>
      <c r="H121" t="s">
        <v>345</v>
      </c>
      <c r="I121" t="s">
        <v>114</v>
      </c>
      <c r="J121" t="s">
        <v>44</v>
      </c>
      <c r="K121" t="s">
        <v>83</v>
      </c>
      <c r="L121" t="s">
        <v>114</v>
      </c>
      <c r="M121" t="s">
        <v>43</v>
      </c>
      <c r="N121" t="s">
        <v>43</v>
      </c>
      <c r="O121" t="s">
        <v>63</v>
      </c>
      <c r="P121" t="s">
        <v>43</v>
      </c>
      <c r="Q121" t="s">
        <v>189</v>
      </c>
      <c r="R121" t="s">
        <v>189</v>
      </c>
      <c r="S121" t="s">
        <v>113</v>
      </c>
      <c r="T121" t="s">
        <v>328</v>
      </c>
      <c r="U121" t="s">
        <v>400</v>
      </c>
      <c r="V121" t="s">
        <v>400</v>
      </c>
      <c r="W121" t="s">
        <v>457</v>
      </c>
      <c r="X121" t="s">
        <v>218</v>
      </c>
      <c r="Y121" t="s">
        <v>168</v>
      </c>
      <c r="Z121" t="s">
        <v>194</v>
      </c>
      <c r="AA121" t="s">
        <v>218</v>
      </c>
      <c r="AB121" t="s">
        <v>194</v>
      </c>
      <c r="AC121" t="s">
        <v>134</v>
      </c>
      <c r="AD121" t="s">
        <v>53</v>
      </c>
      <c r="AE121" t="s">
        <v>72</v>
      </c>
      <c r="AF121" t="s">
        <v>134</v>
      </c>
      <c r="AG121" t="s">
        <v>72</v>
      </c>
      <c r="AH121" t="s">
        <v>655</v>
      </c>
    </row>
    <row r="122" spans="1:34" x14ac:dyDescent="0.25">
      <c r="A122" t="s">
        <v>691</v>
      </c>
      <c r="B122" t="s">
        <v>692</v>
      </c>
      <c r="C122" t="s">
        <v>77</v>
      </c>
      <c r="D122" t="s">
        <v>165</v>
      </c>
      <c r="E122">
        <v>23</v>
      </c>
      <c r="F122">
        <v>22</v>
      </c>
      <c r="G122" t="s">
        <v>693</v>
      </c>
      <c r="H122" t="s">
        <v>587</v>
      </c>
      <c r="I122" t="s">
        <v>43</v>
      </c>
      <c r="J122" t="s">
        <v>43</v>
      </c>
      <c r="K122" t="s">
        <v>43</v>
      </c>
      <c r="L122" t="s">
        <v>43</v>
      </c>
      <c r="M122" t="s">
        <v>43</v>
      </c>
      <c r="N122" t="s">
        <v>43</v>
      </c>
      <c r="O122" t="s">
        <v>44</v>
      </c>
      <c r="P122" t="s">
        <v>43</v>
      </c>
      <c r="Q122" t="s">
        <v>43</v>
      </c>
      <c r="R122" t="s">
        <v>43</v>
      </c>
      <c r="S122" t="s">
        <v>82</v>
      </c>
      <c r="T122" t="s">
        <v>82</v>
      </c>
      <c r="U122" t="s">
        <v>43</v>
      </c>
      <c r="V122" t="s">
        <v>43</v>
      </c>
      <c r="W122" t="s">
        <v>43</v>
      </c>
      <c r="X122" t="s">
        <v>43</v>
      </c>
      <c r="Y122" t="s">
        <v>43</v>
      </c>
      <c r="Z122" t="s">
        <v>43</v>
      </c>
      <c r="AA122" t="s">
        <v>43</v>
      </c>
      <c r="AB122" t="s">
        <v>43</v>
      </c>
      <c r="AC122" t="s">
        <v>43</v>
      </c>
      <c r="AD122" t="s">
        <v>43</v>
      </c>
      <c r="AE122" t="s">
        <v>43</v>
      </c>
      <c r="AF122" t="s">
        <v>43</v>
      </c>
      <c r="AG122" t="s">
        <v>43</v>
      </c>
      <c r="AH122" t="s">
        <v>655</v>
      </c>
    </row>
    <row r="123" spans="1:34" x14ac:dyDescent="0.25">
      <c r="A123" t="s">
        <v>694</v>
      </c>
      <c r="B123" t="s">
        <v>196</v>
      </c>
      <c r="C123" t="s">
        <v>108</v>
      </c>
      <c r="D123" t="s">
        <v>59</v>
      </c>
      <c r="E123">
        <v>17</v>
      </c>
      <c r="F123">
        <v>15</v>
      </c>
      <c r="G123" t="s">
        <v>695</v>
      </c>
      <c r="H123" t="s">
        <v>696</v>
      </c>
      <c r="I123" t="s">
        <v>63</v>
      </c>
      <c r="J123" t="s">
        <v>63</v>
      </c>
      <c r="K123" t="s">
        <v>83</v>
      </c>
      <c r="L123" t="s">
        <v>63</v>
      </c>
      <c r="M123" t="s">
        <v>43</v>
      </c>
      <c r="N123" t="s">
        <v>43</v>
      </c>
      <c r="O123" t="s">
        <v>63</v>
      </c>
      <c r="P123" t="s">
        <v>43</v>
      </c>
      <c r="Q123" t="s">
        <v>70</v>
      </c>
      <c r="R123" t="s">
        <v>70</v>
      </c>
      <c r="S123" t="s">
        <v>44</v>
      </c>
      <c r="T123" t="s">
        <v>223</v>
      </c>
      <c r="U123" t="s">
        <v>43</v>
      </c>
      <c r="V123" t="s">
        <v>147</v>
      </c>
      <c r="W123" t="s">
        <v>81</v>
      </c>
      <c r="X123" t="s">
        <v>118</v>
      </c>
      <c r="Y123" t="s">
        <v>118</v>
      </c>
      <c r="Z123" t="s">
        <v>73</v>
      </c>
      <c r="AA123" t="s">
        <v>118</v>
      </c>
      <c r="AB123" t="s">
        <v>73</v>
      </c>
      <c r="AC123" t="s">
        <v>193</v>
      </c>
      <c r="AD123" t="s">
        <v>181</v>
      </c>
      <c r="AE123" t="s">
        <v>204</v>
      </c>
      <c r="AF123" t="s">
        <v>193</v>
      </c>
      <c r="AG123" t="s">
        <v>204</v>
      </c>
      <c r="AH123" t="s">
        <v>655</v>
      </c>
    </row>
    <row r="124" spans="1:34" x14ac:dyDescent="0.25">
      <c r="A124" t="s">
        <v>697</v>
      </c>
      <c r="B124" t="s">
        <v>57</v>
      </c>
      <c r="C124" t="s">
        <v>77</v>
      </c>
      <c r="D124" t="s">
        <v>304</v>
      </c>
      <c r="E124">
        <v>15</v>
      </c>
      <c r="F124">
        <v>15</v>
      </c>
      <c r="G124" t="s">
        <v>698</v>
      </c>
      <c r="H124" t="s">
        <v>612</v>
      </c>
      <c r="I124" t="s">
        <v>43</v>
      </c>
      <c r="J124" t="s">
        <v>43</v>
      </c>
      <c r="K124" t="s">
        <v>43</v>
      </c>
      <c r="L124" t="s">
        <v>43</v>
      </c>
      <c r="M124" t="s">
        <v>43</v>
      </c>
      <c r="N124" t="s">
        <v>43</v>
      </c>
      <c r="O124" t="s">
        <v>44</v>
      </c>
      <c r="P124" t="s">
        <v>43</v>
      </c>
      <c r="Q124" t="s">
        <v>43</v>
      </c>
      <c r="R124" t="s">
        <v>43</v>
      </c>
      <c r="S124" t="s">
        <v>43</v>
      </c>
      <c r="T124" t="s">
        <v>43</v>
      </c>
      <c r="U124" t="s">
        <v>43</v>
      </c>
      <c r="V124" t="s">
        <v>43</v>
      </c>
      <c r="W124" t="s">
        <v>43</v>
      </c>
      <c r="X124" t="s">
        <v>43</v>
      </c>
      <c r="Y124" t="s">
        <v>43</v>
      </c>
      <c r="Z124" t="s">
        <v>43</v>
      </c>
      <c r="AA124" t="s">
        <v>43</v>
      </c>
      <c r="AB124" t="s">
        <v>43</v>
      </c>
      <c r="AC124" t="s">
        <v>43</v>
      </c>
      <c r="AD124" t="s">
        <v>43</v>
      </c>
      <c r="AE124" t="s">
        <v>43</v>
      </c>
      <c r="AF124" t="s">
        <v>43</v>
      </c>
      <c r="AG124" t="s">
        <v>43</v>
      </c>
      <c r="AH124" t="s">
        <v>655</v>
      </c>
    </row>
    <row r="125" spans="1:34" x14ac:dyDescent="0.25">
      <c r="A125" t="s">
        <v>699</v>
      </c>
      <c r="B125" t="s">
        <v>76</v>
      </c>
      <c r="C125" t="s">
        <v>86</v>
      </c>
      <c r="D125" t="s">
        <v>148</v>
      </c>
      <c r="E125">
        <v>20</v>
      </c>
      <c r="F125">
        <v>15</v>
      </c>
      <c r="G125" t="s">
        <v>700</v>
      </c>
      <c r="H125" t="s">
        <v>701</v>
      </c>
      <c r="I125" t="s">
        <v>63</v>
      </c>
      <c r="J125" t="s">
        <v>44</v>
      </c>
      <c r="K125" t="s">
        <v>114</v>
      </c>
      <c r="L125" t="s">
        <v>63</v>
      </c>
      <c r="M125" t="s">
        <v>43</v>
      </c>
      <c r="N125" t="s">
        <v>43</v>
      </c>
      <c r="O125" t="s">
        <v>126</v>
      </c>
      <c r="P125" t="s">
        <v>43</v>
      </c>
      <c r="Q125" t="s">
        <v>188</v>
      </c>
      <c r="R125" t="s">
        <v>188</v>
      </c>
      <c r="S125" t="s">
        <v>282</v>
      </c>
      <c r="T125" t="s">
        <v>702</v>
      </c>
      <c r="U125" t="s">
        <v>78</v>
      </c>
      <c r="V125" t="s">
        <v>703</v>
      </c>
      <c r="W125" t="s">
        <v>704</v>
      </c>
      <c r="X125" t="s">
        <v>218</v>
      </c>
      <c r="Y125" t="s">
        <v>181</v>
      </c>
      <c r="Z125" t="s">
        <v>134</v>
      </c>
      <c r="AA125" t="s">
        <v>218</v>
      </c>
      <c r="AB125" t="s">
        <v>134</v>
      </c>
      <c r="AC125" t="s">
        <v>103</v>
      </c>
      <c r="AD125" t="s">
        <v>241</v>
      </c>
      <c r="AE125" t="s">
        <v>251</v>
      </c>
      <c r="AF125" t="s">
        <v>103</v>
      </c>
      <c r="AG125" t="s">
        <v>251</v>
      </c>
      <c r="AH125" t="s">
        <v>655</v>
      </c>
    </row>
    <row r="126" spans="1:34" x14ac:dyDescent="0.25">
      <c r="A126" t="s">
        <v>705</v>
      </c>
      <c r="B126" t="s">
        <v>57</v>
      </c>
      <c r="C126" t="s">
        <v>36</v>
      </c>
      <c r="D126" t="s">
        <v>42</v>
      </c>
      <c r="E126">
        <v>17</v>
      </c>
      <c r="F126">
        <v>14</v>
      </c>
      <c r="G126" t="s">
        <v>706</v>
      </c>
      <c r="H126" t="s">
        <v>707</v>
      </c>
      <c r="I126" t="s">
        <v>44</v>
      </c>
      <c r="J126" t="s">
        <v>114</v>
      </c>
      <c r="K126" t="s">
        <v>83</v>
      </c>
      <c r="L126" t="s">
        <v>44</v>
      </c>
      <c r="M126" t="s">
        <v>43</v>
      </c>
      <c r="N126" t="s">
        <v>43</v>
      </c>
      <c r="O126" t="s">
        <v>44</v>
      </c>
      <c r="P126" t="s">
        <v>43</v>
      </c>
      <c r="Q126" t="s">
        <v>200</v>
      </c>
      <c r="R126" t="s">
        <v>200</v>
      </c>
      <c r="S126" t="s">
        <v>164</v>
      </c>
      <c r="T126" t="s">
        <v>224</v>
      </c>
      <c r="U126" t="s">
        <v>232</v>
      </c>
      <c r="V126" t="s">
        <v>273</v>
      </c>
      <c r="W126" t="s">
        <v>346</v>
      </c>
      <c r="X126" t="s">
        <v>181</v>
      </c>
      <c r="Y126" t="s">
        <v>103</v>
      </c>
      <c r="Z126" t="s">
        <v>163</v>
      </c>
      <c r="AA126" t="s">
        <v>181</v>
      </c>
      <c r="AB126" t="s">
        <v>163</v>
      </c>
      <c r="AC126" t="s">
        <v>120</v>
      </c>
      <c r="AD126" t="s">
        <v>118</v>
      </c>
      <c r="AE126" t="s">
        <v>103</v>
      </c>
      <c r="AF126" t="s">
        <v>120</v>
      </c>
      <c r="AG126" t="s">
        <v>103</v>
      </c>
      <c r="AH126" t="s">
        <v>655</v>
      </c>
    </row>
    <row r="127" spans="1:34" x14ac:dyDescent="0.25">
      <c r="A127" t="s">
        <v>708</v>
      </c>
      <c r="B127" t="s">
        <v>57</v>
      </c>
      <c r="C127" t="s">
        <v>709</v>
      </c>
      <c r="D127" t="s">
        <v>123</v>
      </c>
      <c r="E127">
        <v>21</v>
      </c>
      <c r="F127">
        <v>14</v>
      </c>
      <c r="G127" t="s">
        <v>710</v>
      </c>
      <c r="H127" t="s">
        <v>393</v>
      </c>
      <c r="I127" t="s">
        <v>114</v>
      </c>
      <c r="J127" t="s">
        <v>142</v>
      </c>
      <c r="K127" t="s">
        <v>231</v>
      </c>
      <c r="L127" t="s">
        <v>114</v>
      </c>
      <c r="M127" t="s">
        <v>43</v>
      </c>
      <c r="N127" t="s">
        <v>43</v>
      </c>
      <c r="O127" t="s">
        <v>44</v>
      </c>
      <c r="P127" t="s">
        <v>43</v>
      </c>
      <c r="Q127" t="s">
        <v>246</v>
      </c>
      <c r="R127" t="s">
        <v>246</v>
      </c>
      <c r="S127" t="s">
        <v>81</v>
      </c>
      <c r="T127" t="s">
        <v>211</v>
      </c>
      <c r="U127" t="s">
        <v>109</v>
      </c>
      <c r="V127" t="s">
        <v>582</v>
      </c>
      <c r="W127" t="s">
        <v>293</v>
      </c>
      <c r="X127" t="s">
        <v>402</v>
      </c>
      <c r="Y127" t="s">
        <v>711</v>
      </c>
      <c r="Z127" t="s">
        <v>566</v>
      </c>
      <c r="AA127" t="s">
        <v>402</v>
      </c>
      <c r="AB127" t="s">
        <v>566</v>
      </c>
      <c r="AC127" t="s">
        <v>205</v>
      </c>
      <c r="AD127" t="s">
        <v>97</v>
      </c>
      <c r="AE127" t="s">
        <v>482</v>
      </c>
      <c r="AF127" t="s">
        <v>205</v>
      </c>
      <c r="AG127" t="s">
        <v>482</v>
      </c>
      <c r="AH127" t="s">
        <v>655</v>
      </c>
    </row>
    <row r="128" spans="1:34" x14ac:dyDescent="0.25">
      <c r="A128" t="s">
        <v>712</v>
      </c>
      <c r="B128" t="s">
        <v>57</v>
      </c>
      <c r="C128" t="s">
        <v>108</v>
      </c>
      <c r="D128" t="s">
        <v>78</v>
      </c>
      <c r="E128">
        <v>16</v>
      </c>
      <c r="F128">
        <v>13</v>
      </c>
      <c r="G128" t="s">
        <v>713</v>
      </c>
      <c r="H128" t="s">
        <v>276</v>
      </c>
      <c r="I128" t="s">
        <v>44</v>
      </c>
      <c r="J128" t="s">
        <v>43</v>
      </c>
      <c r="K128" t="s">
        <v>44</v>
      </c>
      <c r="L128" t="s">
        <v>44</v>
      </c>
      <c r="M128" t="s">
        <v>43</v>
      </c>
      <c r="N128" t="s">
        <v>43</v>
      </c>
      <c r="O128" t="s">
        <v>83</v>
      </c>
      <c r="P128" t="s">
        <v>43</v>
      </c>
      <c r="Q128" t="s">
        <v>378</v>
      </c>
      <c r="R128" t="s">
        <v>378</v>
      </c>
      <c r="S128" t="s">
        <v>82</v>
      </c>
      <c r="T128" t="s">
        <v>259</v>
      </c>
      <c r="U128" t="s">
        <v>40</v>
      </c>
      <c r="V128" t="s">
        <v>304</v>
      </c>
      <c r="W128" t="s">
        <v>114</v>
      </c>
      <c r="X128" t="s">
        <v>242</v>
      </c>
      <c r="Y128" t="s">
        <v>43</v>
      </c>
      <c r="Z128" t="s">
        <v>242</v>
      </c>
      <c r="AA128" t="s">
        <v>242</v>
      </c>
      <c r="AB128" t="s">
        <v>242</v>
      </c>
      <c r="AC128" t="s">
        <v>169</v>
      </c>
      <c r="AD128" t="s">
        <v>119</v>
      </c>
      <c r="AE128" t="s">
        <v>181</v>
      </c>
      <c r="AF128" t="s">
        <v>169</v>
      </c>
      <c r="AG128" t="s">
        <v>181</v>
      </c>
      <c r="AH128" t="s">
        <v>655</v>
      </c>
    </row>
    <row r="129" spans="1:34" x14ac:dyDescent="0.25">
      <c r="A129" t="s">
        <v>714</v>
      </c>
      <c r="B129" t="s">
        <v>57</v>
      </c>
      <c r="C129" t="s">
        <v>108</v>
      </c>
      <c r="D129" t="s">
        <v>141</v>
      </c>
      <c r="E129">
        <v>26</v>
      </c>
      <c r="F129">
        <v>12</v>
      </c>
      <c r="G129" t="s">
        <v>715</v>
      </c>
      <c r="H129" t="s">
        <v>716</v>
      </c>
      <c r="I129" t="s">
        <v>44</v>
      </c>
      <c r="J129" t="s">
        <v>43</v>
      </c>
      <c r="K129" t="s">
        <v>44</v>
      </c>
      <c r="L129" t="s">
        <v>44</v>
      </c>
      <c r="M129" t="s">
        <v>43</v>
      </c>
      <c r="N129" t="s">
        <v>43</v>
      </c>
      <c r="O129" t="s">
        <v>44</v>
      </c>
      <c r="P129" t="s">
        <v>43</v>
      </c>
      <c r="Q129" t="s">
        <v>112</v>
      </c>
      <c r="R129" t="s">
        <v>112</v>
      </c>
      <c r="S129" t="s">
        <v>259</v>
      </c>
      <c r="T129" t="s">
        <v>200</v>
      </c>
      <c r="U129" t="s">
        <v>298</v>
      </c>
      <c r="V129" t="s">
        <v>717</v>
      </c>
      <c r="W129" t="s">
        <v>47</v>
      </c>
      <c r="X129" t="s">
        <v>181</v>
      </c>
      <c r="Y129" t="s">
        <v>43</v>
      </c>
      <c r="Z129" t="s">
        <v>181</v>
      </c>
      <c r="AA129" t="s">
        <v>181</v>
      </c>
      <c r="AB129" t="s">
        <v>181</v>
      </c>
      <c r="AC129" t="s">
        <v>358</v>
      </c>
      <c r="AD129" t="s">
        <v>168</v>
      </c>
      <c r="AE129" t="s">
        <v>242</v>
      </c>
      <c r="AF129" t="s">
        <v>358</v>
      </c>
      <c r="AG129" t="s">
        <v>242</v>
      </c>
      <c r="AH129" t="s">
        <v>655</v>
      </c>
    </row>
    <row r="130" spans="1:34" x14ac:dyDescent="0.25">
      <c r="A130" t="s">
        <v>718</v>
      </c>
      <c r="B130" t="s">
        <v>360</v>
      </c>
      <c r="C130" t="s">
        <v>86</v>
      </c>
      <c r="D130" t="s">
        <v>141</v>
      </c>
      <c r="E130">
        <v>21</v>
      </c>
      <c r="F130">
        <v>10</v>
      </c>
      <c r="G130" t="s">
        <v>719</v>
      </c>
      <c r="H130" t="s">
        <v>720</v>
      </c>
      <c r="I130" t="s">
        <v>43</v>
      </c>
      <c r="J130" t="s">
        <v>63</v>
      </c>
      <c r="K130" t="s">
        <v>63</v>
      </c>
      <c r="L130" t="s">
        <v>43</v>
      </c>
      <c r="M130" t="s">
        <v>43</v>
      </c>
      <c r="N130" t="s">
        <v>43</v>
      </c>
      <c r="O130" t="s">
        <v>114</v>
      </c>
      <c r="P130" t="s">
        <v>43</v>
      </c>
      <c r="Q130" t="s">
        <v>416</v>
      </c>
      <c r="R130" t="s">
        <v>416</v>
      </c>
      <c r="S130" t="s">
        <v>175</v>
      </c>
      <c r="T130" t="s">
        <v>406</v>
      </c>
      <c r="U130" t="s">
        <v>225</v>
      </c>
      <c r="V130" t="s">
        <v>213</v>
      </c>
      <c r="W130" t="s">
        <v>559</v>
      </c>
      <c r="X130" t="s">
        <v>43</v>
      </c>
      <c r="Y130" t="s">
        <v>151</v>
      </c>
      <c r="Z130" t="s">
        <v>151</v>
      </c>
      <c r="AA130" t="s">
        <v>43</v>
      </c>
      <c r="AB130" t="s">
        <v>151</v>
      </c>
      <c r="AC130" t="s">
        <v>118</v>
      </c>
      <c r="AD130" t="s">
        <v>215</v>
      </c>
      <c r="AE130" t="s">
        <v>163</v>
      </c>
      <c r="AF130" t="s">
        <v>118</v>
      </c>
      <c r="AG130" t="s">
        <v>163</v>
      </c>
      <c r="AH130" t="s">
        <v>655</v>
      </c>
    </row>
    <row r="131" spans="1:34" x14ac:dyDescent="0.25">
      <c r="A131" t="s">
        <v>721</v>
      </c>
      <c r="B131" t="s">
        <v>57</v>
      </c>
      <c r="C131" t="s">
        <v>137</v>
      </c>
      <c r="D131" t="s">
        <v>304</v>
      </c>
      <c r="E131">
        <v>20</v>
      </c>
      <c r="F131">
        <v>9</v>
      </c>
      <c r="G131" t="s">
        <v>722</v>
      </c>
      <c r="H131" t="s">
        <v>89</v>
      </c>
      <c r="I131" t="s">
        <v>41</v>
      </c>
      <c r="J131" t="s">
        <v>44</v>
      </c>
      <c r="K131" t="s">
        <v>231</v>
      </c>
      <c r="L131" t="s">
        <v>142</v>
      </c>
      <c r="M131" t="s">
        <v>63</v>
      </c>
      <c r="N131" t="s">
        <v>63</v>
      </c>
      <c r="O131" t="s">
        <v>114</v>
      </c>
      <c r="P131" t="s">
        <v>43</v>
      </c>
      <c r="Q131" t="s">
        <v>526</v>
      </c>
      <c r="R131" t="s">
        <v>328</v>
      </c>
      <c r="S131" t="s">
        <v>70</v>
      </c>
      <c r="T131" t="s">
        <v>723</v>
      </c>
      <c r="U131" t="s">
        <v>89</v>
      </c>
      <c r="V131" t="s">
        <v>41</v>
      </c>
      <c r="W131" t="s">
        <v>517</v>
      </c>
      <c r="X131" t="s">
        <v>316</v>
      </c>
      <c r="Y131" t="s">
        <v>120</v>
      </c>
      <c r="Z131" t="s">
        <v>535</v>
      </c>
      <c r="AA131" t="s">
        <v>313</v>
      </c>
      <c r="AB131" t="s">
        <v>274</v>
      </c>
      <c r="AC131" t="s">
        <v>259</v>
      </c>
      <c r="AD131" t="s">
        <v>168</v>
      </c>
      <c r="AE131" t="s">
        <v>71</v>
      </c>
      <c r="AF131" t="s">
        <v>99</v>
      </c>
      <c r="AG131" t="s">
        <v>153</v>
      </c>
      <c r="AH131" t="s">
        <v>655</v>
      </c>
    </row>
    <row r="132" spans="1:34" x14ac:dyDescent="0.25">
      <c r="A132" t="s">
        <v>724</v>
      </c>
      <c r="B132" t="s">
        <v>675</v>
      </c>
      <c r="C132" t="s">
        <v>108</v>
      </c>
      <c r="D132" t="s">
        <v>123</v>
      </c>
      <c r="E132">
        <v>17</v>
      </c>
      <c r="F132">
        <v>8</v>
      </c>
      <c r="G132" t="s">
        <v>725</v>
      </c>
      <c r="H132" t="s">
        <v>505</v>
      </c>
      <c r="I132" t="s">
        <v>43</v>
      </c>
      <c r="J132" t="s">
        <v>43</v>
      </c>
      <c r="K132" t="s">
        <v>43</v>
      </c>
      <c r="L132" t="s">
        <v>43</v>
      </c>
      <c r="M132" t="s">
        <v>43</v>
      </c>
      <c r="N132" t="s">
        <v>43</v>
      </c>
      <c r="O132" t="s">
        <v>63</v>
      </c>
      <c r="P132" t="s">
        <v>43</v>
      </c>
      <c r="Q132" t="s">
        <v>241</v>
      </c>
      <c r="R132" t="s">
        <v>241</v>
      </c>
      <c r="S132" t="s">
        <v>44</v>
      </c>
      <c r="T132" t="s">
        <v>200</v>
      </c>
      <c r="U132" t="s">
        <v>276</v>
      </c>
      <c r="V132" t="s">
        <v>78</v>
      </c>
      <c r="W132" t="s">
        <v>109</v>
      </c>
      <c r="X132" t="s">
        <v>43</v>
      </c>
      <c r="Y132" t="s">
        <v>43</v>
      </c>
      <c r="Z132" t="s">
        <v>43</v>
      </c>
      <c r="AA132" t="s">
        <v>43</v>
      </c>
      <c r="AB132" t="s">
        <v>43</v>
      </c>
      <c r="AC132" t="s">
        <v>182</v>
      </c>
      <c r="AD132" t="s">
        <v>82</v>
      </c>
      <c r="AE132" t="s">
        <v>53</v>
      </c>
      <c r="AF132" t="s">
        <v>182</v>
      </c>
      <c r="AG132" t="s">
        <v>53</v>
      </c>
      <c r="AH132" t="s">
        <v>655</v>
      </c>
    </row>
    <row r="133" spans="1:34" x14ac:dyDescent="0.25">
      <c r="A133" t="s">
        <v>726</v>
      </c>
      <c r="B133" t="s">
        <v>57</v>
      </c>
      <c r="C133" t="s">
        <v>108</v>
      </c>
      <c r="D133" t="s">
        <v>203</v>
      </c>
      <c r="E133">
        <v>18</v>
      </c>
      <c r="F133">
        <v>8</v>
      </c>
      <c r="G133" t="s">
        <v>419</v>
      </c>
      <c r="H133" t="s">
        <v>420</v>
      </c>
      <c r="I133" t="s">
        <v>44</v>
      </c>
      <c r="J133" t="s">
        <v>43</v>
      </c>
      <c r="K133" t="s">
        <v>44</v>
      </c>
      <c r="L133" t="s">
        <v>44</v>
      </c>
      <c r="M133" t="s">
        <v>43</v>
      </c>
      <c r="N133" t="s">
        <v>43</v>
      </c>
      <c r="O133" t="s">
        <v>63</v>
      </c>
      <c r="P133" t="s">
        <v>43</v>
      </c>
      <c r="Q133" t="s">
        <v>163</v>
      </c>
      <c r="R133" t="s">
        <v>163</v>
      </c>
      <c r="S133" t="s">
        <v>163</v>
      </c>
      <c r="T133" t="s">
        <v>70</v>
      </c>
      <c r="U133" t="s">
        <v>62</v>
      </c>
      <c r="V133" t="s">
        <v>178</v>
      </c>
      <c r="W133" t="s">
        <v>37</v>
      </c>
      <c r="X133" t="s">
        <v>53</v>
      </c>
      <c r="Y133" t="s">
        <v>43</v>
      </c>
      <c r="Z133" t="s">
        <v>53</v>
      </c>
      <c r="AA133" t="s">
        <v>53</v>
      </c>
      <c r="AB133" t="s">
        <v>53</v>
      </c>
      <c r="AC133" t="s">
        <v>193</v>
      </c>
      <c r="AD133" t="s">
        <v>358</v>
      </c>
      <c r="AE133" t="s">
        <v>181</v>
      </c>
      <c r="AF133" t="s">
        <v>193</v>
      </c>
      <c r="AG133" t="s">
        <v>181</v>
      </c>
      <c r="AH133" t="s">
        <v>655</v>
      </c>
    </row>
    <row r="134" spans="1:34" x14ac:dyDescent="0.25">
      <c r="A134" t="s">
        <v>727</v>
      </c>
      <c r="B134" t="s">
        <v>57</v>
      </c>
      <c r="C134" t="s">
        <v>58</v>
      </c>
      <c r="D134" t="s">
        <v>268</v>
      </c>
      <c r="E134">
        <v>21</v>
      </c>
      <c r="F134">
        <v>7</v>
      </c>
      <c r="G134" t="s">
        <v>728</v>
      </c>
      <c r="H134" t="s">
        <v>729</v>
      </c>
      <c r="I134" t="s">
        <v>81</v>
      </c>
      <c r="J134" t="s">
        <v>114</v>
      </c>
      <c r="K134" t="s">
        <v>40</v>
      </c>
      <c r="L134" t="s">
        <v>81</v>
      </c>
      <c r="M134" t="s">
        <v>43</v>
      </c>
      <c r="N134" t="s">
        <v>43</v>
      </c>
      <c r="O134" t="s">
        <v>63</v>
      </c>
      <c r="P134" t="s">
        <v>43</v>
      </c>
      <c r="Q134" t="s">
        <v>297</v>
      </c>
      <c r="R134" t="s">
        <v>297</v>
      </c>
      <c r="S134" t="s">
        <v>730</v>
      </c>
      <c r="T134" t="s">
        <v>486</v>
      </c>
      <c r="U134" t="s">
        <v>330</v>
      </c>
      <c r="V134" t="s">
        <v>165</v>
      </c>
      <c r="W134" t="s">
        <v>641</v>
      </c>
      <c r="X134" t="s">
        <v>532</v>
      </c>
      <c r="Y134" t="s">
        <v>616</v>
      </c>
      <c r="Z134" t="s">
        <v>398</v>
      </c>
      <c r="AA134" t="s">
        <v>532</v>
      </c>
      <c r="AB134" t="s">
        <v>398</v>
      </c>
      <c r="AC134" t="s">
        <v>112</v>
      </c>
      <c r="AD134" t="s">
        <v>250</v>
      </c>
      <c r="AE134" t="s">
        <v>566</v>
      </c>
      <c r="AF134" t="s">
        <v>112</v>
      </c>
      <c r="AG134" t="s">
        <v>566</v>
      </c>
      <c r="AH134" t="s">
        <v>655</v>
      </c>
    </row>
    <row r="135" spans="1:34" x14ac:dyDescent="0.25">
      <c r="A135" t="s">
        <v>731</v>
      </c>
      <c r="B135" t="s">
        <v>519</v>
      </c>
      <c r="C135" t="s">
        <v>36</v>
      </c>
      <c r="D135" t="s">
        <v>59</v>
      </c>
      <c r="E135">
        <v>8</v>
      </c>
      <c r="F135">
        <v>5</v>
      </c>
      <c r="G135" t="s">
        <v>732</v>
      </c>
      <c r="H135" t="s">
        <v>634</v>
      </c>
      <c r="I135" t="s">
        <v>44</v>
      </c>
      <c r="J135" t="s">
        <v>43</v>
      </c>
      <c r="K135" t="s">
        <v>44</v>
      </c>
      <c r="L135" t="s">
        <v>44</v>
      </c>
      <c r="M135" t="s">
        <v>43</v>
      </c>
      <c r="N135" t="s">
        <v>43</v>
      </c>
      <c r="O135" t="s">
        <v>63</v>
      </c>
      <c r="P135" t="s">
        <v>43</v>
      </c>
      <c r="Q135" t="s">
        <v>378</v>
      </c>
      <c r="R135" t="s">
        <v>378</v>
      </c>
      <c r="S135" t="s">
        <v>70</v>
      </c>
      <c r="T135" t="s">
        <v>222</v>
      </c>
      <c r="U135" t="s">
        <v>89</v>
      </c>
      <c r="V135" t="s">
        <v>62</v>
      </c>
      <c r="W135" t="s">
        <v>185</v>
      </c>
      <c r="X135" t="s">
        <v>134</v>
      </c>
      <c r="Y135" t="s">
        <v>43</v>
      </c>
      <c r="Z135" t="s">
        <v>134</v>
      </c>
      <c r="AA135" t="s">
        <v>134</v>
      </c>
      <c r="AB135" t="s">
        <v>134</v>
      </c>
      <c r="AC135" t="s">
        <v>118</v>
      </c>
      <c r="AD135" t="s">
        <v>118</v>
      </c>
      <c r="AE135" t="s">
        <v>73</v>
      </c>
      <c r="AF135" t="s">
        <v>118</v>
      </c>
      <c r="AG135" t="s">
        <v>73</v>
      </c>
      <c r="AH135" t="s">
        <v>655</v>
      </c>
    </row>
    <row r="136" spans="1:34" x14ac:dyDescent="0.25">
      <c r="A136" t="s">
        <v>733</v>
      </c>
      <c r="B136" t="s">
        <v>57</v>
      </c>
      <c r="C136" t="s">
        <v>36</v>
      </c>
      <c r="D136" t="s">
        <v>59</v>
      </c>
      <c r="E136">
        <v>9</v>
      </c>
      <c r="F136">
        <v>5</v>
      </c>
      <c r="G136" t="s">
        <v>628</v>
      </c>
      <c r="H136" t="s">
        <v>629</v>
      </c>
      <c r="I136" t="s">
        <v>44</v>
      </c>
      <c r="J136" t="s">
        <v>43</v>
      </c>
      <c r="K136" t="s">
        <v>44</v>
      </c>
      <c r="L136" t="s">
        <v>44</v>
      </c>
      <c r="M136" t="s">
        <v>43</v>
      </c>
      <c r="N136" t="s">
        <v>43</v>
      </c>
      <c r="O136" t="s">
        <v>43</v>
      </c>
      <c r="P136" t="s">
        <v>43</v>
      </c>
      <c r="Q136" t="s">
        <v>259</v>
      </c>
      <c r="R136" t="s">
        <v>259</v>
      </c>
      <c r="S136" t="s">
        <v>70</v>
      </c>
      <c r="T136" t="s">
        <v>162</v>
      </c>
      <c r="U136" t="s">
        <v>167</v>
      </c>
      <c r="V136" t="s">
        <v>42</v>
      </c>
      <c r="W136" t="s">
        <v>148</v>
      </c>
      <c r="X136" t="s">
        <v>134</v>
      </c>
      <c r="Y136" t="s">
        <v>43</v>
      </c>
      <c r="Z136" t="s">
        <v>134</v>
      </c>
      <c r="AA136" t="s">
        <v>134</v>
      </c>
      <c r="AB136" t="s">
        <v>134</v>
      </c>
      <c r="AC136" t="s">
        <v>215</v>
      </c>
      <c r="AD136" t="s">
        <v>53</v>
      </c>
      <c r="AE136" t="s">
        <v>163</v>
      </c>
      <c r="AF136" t="s">
        <v>215</v>
      </c>
      <c r="AG136" t="s">
        <v>163</v>
      </c>
      <c r="AH136" t="s">
        <v>655</v>
      </c>
    </row>
    <row r="137" spans="1:34" x14ac:dyDescent="0.25">
      <c r="A137" t="s">
        <v>734</v>
      </c>
      <c r="B137" t="s">
        <v>262</v>
      </c>
      <c r="C137" t="s">
        <v>77</v>
      </c>
      <c r="D137" t="s">
        <v>263</v>
      </c>
      <c r="E137">
        <v>1</v>
      </c>
      <c r="F137">
        <v>1</v>
      </c>
      <c r="G137" t="s">
        <v>735</v>
      </c>
      <c r="H137" t="s">
        <v>44</v>
      </c>
      <c r="I137" t="s">
        <v>43</v>
      </c>
      <c r="J137" t="s">
        <v>43</v>
      </c>
      <c r="K137" t="s">
        <v>43</v>
      </c>
      <c r="L137" t="s">
        <v>43</v>
      </c>
      <c r="M137" t="s">
        <v>43</v>
      </c>
      <c r="N137" t="s">
        <v>43</v>
      </c>
      <c r="O137" t="s">
        <v>43</v>
      </c>
      <c r="P137" t="s">
        <v>43</v>
      </c>
      <c r="Q137" t="s">
        <v>43</v>
      </c>
      <c r="R137" t="s">
        <v>43</v>
      </c>
      <c r="S137" t="s">
        <v>43</v>
      </c>
      <c r="T137" t="s">
        <v>43</v>
      </c>
      <c r="U137" t="s">
        <v>43</v>
      </c>
      <c r="V137" t="s">
        <v>43</v>
      </c>
      <c r="W137" t="s">
        <v>43</v>
      </c>
      <c r="X137" t="s">
        <v>43</v>
      </c>
      <c r="Y137" t="s">
        <v>43</v>
      </c>
      <c r="Z137" t="s">
        <v>43</v>
      </c>
      <c r="AA137" t="s">
        <v>43</v>
      </c>
      <c r="AB137" t="s">
        <v>43</v>
      </c>
      <c r="AC137" t="s">
        <v>43</v>
      </c>
      <c r="AD137" t="s">
        <v>43</v>
      </c>
      <c r="AE137" t="s">
        <v>43</v>
      </c>
      <c r="AF137" t="s">
        <v>43</v>
      </c>
      <c r="AG137" t="s">
        <v>43</v>
      </c>
      <c r="AH137" t="s">
        <v>655</v>
      </c>
    </row>
    <row r="138" spans="1:34" x14ac:dyDescent="0.25">
      <c r="A138" t="s">
        <v>736</v>
      </c>
      <c r="B138" t="s">
        <v>57</v>
      </c>
      <c r="C138" t="s">
        <v>108</v>
      </c>
      <c r="D138" t="s">
        <v>37</v>
      </c>
      <c r="E138">
        <v>3</v>
      </c>
      <c r="F138">
        <v>1</v>
      </c>
      <c r="G138" t="s">
        <v>400</v>
      </c>
      <c r="H138" t="s">
        <v>398</v>
      </c>
      <c r="I138" t="s">
        <v>43</v>
      </c>
      <c r="J138" t="s">
        <v>43</v>
      </c>
      <c r="K138" t="s">
        <v>43</v>
      </c>
      <c r="L138" t="s">
        <v>43</v>
      </c>
      <c r="M138" t="s">
        <v>43</v>
      </c>
      <c r="N138" t="s">
        <v>43</v>
      </c>
      <c r="O138" t="s">
        <v>44</v>
      </c>
      <c r="P138" t="s">
        <v>43</v>
      </c>
      <c r="Q138" t="s">
        <v>43</v>
      </c>
      <c r="R138" t="s">
        <v>43</v>
      </c>
      <c r="S138" t="s">
        <v>43</v>
      </c>
      <c r="T138" t="s">
        <v>43</v>
      </c>
      <c r="U138" t="s">
        <v>44</v>
      </c>
      <c r="V138" t="s">
        <v>63</v>
      </c>
      <c r="W138" t="s">
        <v>43</v>
      </c>
      <c r="X138" t="s">
        <v>43</v>
      </c>
      <c r="Y138" t="s">
        <v>43</v>
      </c>
      <c r="Z138" t="s">
        <v>43</v>
      </c>
      <c r="AA138" t="s">
        <v>43</v>
      </c>
      <c r="AB138" t="s">
        <v>43</v>
      </c>
      <c r="AC138" t="s">
        <v>43</v>
      </c>
      <c r="AD138" t="s">
        <v>358</v>
      </c>
      <c r="AE138" t="s">
        <v>358</v>
      </c>
      <c r="AF138" t="s">
        <v>43</v>
      </c>
      <c r="AG138" t="s">
        <v>358</v>
      </c>
      <c r="AH138" t="s">
        <v>655</v>
      </c>
    </row>
    <row r="139" spans="1:34" x14ac:dyDescent="0.25">
      <c r="A139" t="s">
        <v>737</v>
      </c>
      <c r="B139" t="s">
        <v>360</v>
      </c>
      <c r="C139" t="s">
        <v>58</v>
      </c>
      <c r="D139" t="s">
        <v>109</v>
      </c>
      <c r="E139">
        <v>13</v>
      </c>
      <c r="F139">
        <v>0</v>
      </c>
      <c r="G139" t="s">
        <v>408</v>
      </c>
      <c r="H139" t="s">
        <v>162</v>
      </c>
      <c r="I139" t="s">
        <v>44</v>
      </c>
      <c r="J139" t="s">
        <v>43</v>
      </c>
      <c r="K139" t="s">
        <v>44</v>
      </c>
      <c r="L139" t="s">
        <v>44</v>
      </c>
      <c r="M139" t="s">
        <v>43</v>
      </c>
      <c r="N139" t="s">
        <v>43</v>
      </c>
      <c r="O139" t="s">
        <v>44</v>
      </c>
      <c r="P139" t="s">
        <v>43</v>
      </c>
      <c r="Q139" t="s">
        <v>44</v>
      </c>
      <c r="R139" t="s">
        <v>44</v>
      </c>
      <c r="S139" t="s">
        <v>43</v>
      </c>
      <c r="T139" t="s">
        <v>44</v>
      </c>
      <c r="U139" t="s">
        <v>81</v>
      </c>
      <c r="V139" t="s">
        <v>40</v>
      </c>
      <c r="W139" t="s">
        <v>90</v>
      </c>
      <c r="X139" t="s">
        <v>378</v>
      </c>
      <c r="Y139" t="s">
        <v>43</v>
      </c>
      <c r="Z139" t="s">
        <v>378</v>
      </c>
      <c r="AA139" t="s">
        <v>378</v>
      </c>
      <c r="AB139" t="s">
        <v>378</v>
      </c>
      <c r="AC139" t="s">
        <v>352</v>
      </c>
      <c r="AD139" t="s">
        <v>43</v>
      </c>
      <c r="AE139" t="s">
        <v>352</v>
      </c>
      <c r="AF139" t="s">
        <v>352</v>
      </c>
      <c r="AG139" t="s">
        <v>352</v>
      </c>
      <c r="AH139" t="s">
        <v>655</v>
      </c>
    </row>
    <row r="140" spans="1:34" x14ac:dyDescent="0.25">
      <c r="A140" t="s">
        <v>738</v>
      </c>
      <c r="B140" t="s">
        <v>57</v>
      </c>
      <c r="C140" t="s">
        <v>137</v>
      </c>
      <c r="D140" t="s">
        <v>203</v>
      </c>
      <c r="E140">
        <v>1</v>
      </c>
      <c r="F140">
        <v>0</v>
      </c>
      <c r="G140" t="s">
        <v>268</v>
      </c>
      <c r="H140" t="s">
        <v>163</v>
      </c>
      <c r="I140" t="s">
        <v>43</v>
      </c>
      <c r="J140" t="s">
        <v>43</v>
      </c>
      <c r="K140" t="s">
        <v>43</v>
      </c>
      <c r="L140" t="s">
        <v>43</v>
      </c>
      <c r="M140" t="s">
        <v>43</v>
      </c>
      <c r="N140" t="s">
        <v>43</v>
      </c>
      <c r="O140" t="s">
        <v>43</v>
      </c>
      <c r="P140" t="s">
        <v>43</v>
      </c>
      <c r="Q140" t="s">
        <v>43</v>
      </c>
      <c r="R140" t="s">
        <v>43</v>
      </c>
      <c r="S140" t="s">
        <v>43</v>
      </c>
      <c r="T140" t="s">
        <v>43</v>
      </c>
      <c r="U140" t="s">
        <v>43</v>
      </c>
      <c r="V140" t="s">
        <v>43</v>
      </c>
      <c r="W140" t="s">
        <v>43</v>
      </c>
      <c r="X140" t="s">
        <v>43</v>
      </c>
      <c r="Y140" t="s">
        <v>43</v>
      </c>
      <c r="Z140" t="s">
        <v>43</v>
      </c>
      <c r="AA140" t="s">
        <v>43</v>
      </c>
      <c r="AB140" t="s">
        <v>43</v>
      </c>
      <c r="AC140" t="s">
        <v>43</v>
      </c>
      <c r="AD140" t="s">
        <v>43</v>
      </c>
      <c r="AE140" t="s">
        <v>43</v>
      </c>
      <c r="AF140" t="s">
        <v>43</v>
      </c>
      <c r="AG140" t="s">
        <v>43</v>
      </c>
      <c r="AH140" t="s">
        <v>655</v>
      </c>
    </row>
    <row r="141" spans="1:34" x14ac:dyDescent="0.25">
      <c r="A141" t="s">
        <v>739</v>
      </c>
      <c r="B141" t="s">
        <v>432</v>
      </c>
      <c r="C141" t="s">
        <v>108</v>
      </c>
      <c r="D141" t="s">
        <v>304</v>
      </c>
      <c r="E141">
        <v>5</v>
      </c>
      <c r="F141">
        <v>0</v>
      </c>
      <c r="G141" t="s">
        <v>141</v>
      </c>
      <c r="H141" t="s">
        <v>241</v>
      </c>
      <c r="I141" t="s">
        <v>43</v>
      </c>
      <c r="J141" t="s">
        <v>43</v>
      </c>
      <c r="K141" t="s">
        <v>43</v>
      </c>
      <c r="L141" t="s">
        <v>43</v>
      </c>
      <c r="M141" t="s">
        <v>43</v>
      </c>
      <c r="N141" t="s">
        <v>43</v>
      </c>
      <c r="O141" t="s">
        <v>43</v>
      </c>
      <c r="P141" t="s">
        <v>43</v>
      </c>
      <c r="Q141" t="s">
        <v>43</v>
      </c>
      <c r="R141" t="s">
        <v>43</v>
      </c>
      <c r="S141" t="s">
        <v>43</v>
      </c>
      <c r="T141" t="s">
        <v>43</v>
      </c>
      <c r="U141" t="s">
        <v>44</v>
      </c>
      <c r="V141" t="s">
        <v>44</v>
      </c>
      <c r="W141" t="s">
        <v>43</v>
      </c>
      <c r="X141" t="s">
        <v>43</v>
      </c>
      <c r="Y141" t="s">
        <v>43</v>
      </c>
      <c r="Z141" t="s">
        <v>43</v>
      </c>
      <c r="AA141" t="s">
        <v>43</v>
      </c>
      <c r="AB141" t="s">
        <v>43</v>
      </c>
      <c r="AC141" t="s">
        <v>204</v>
      </c>
      <c r="AD141" t="s">
        <v>43</v>
      </c>
      <c r="AE141" t="s">
        <v>204</v>
      </c>
      <c r="AF141" t="s">
        <v>204</v>
      </c>
      <c r="AG141" t="s">
        <v>204</v>
      </c>
      <c r="AH141" t="s">
        <v>655</v>
      </c>
    </row>
    <row r="142" spans="1:34" x14ac:dyDescent="0.25">
      <c r="A142" t="s">
        <v>740</v>
      </c>
      <c r="B142" t="s">
        <v>411</v>
      </c>
      <c r="C142" t="s">
        <v>644</v>
      </c>
      <c r="D142" t="s">
        <v>62</v>
      </c>
      <c r="E142">
        <v>2</v>
      </c>
      <c r="F142">
        <v>0</v>
      </c>
      <c r="G142" t="s">
        <v>90</v>
      </c>
      <c r="H142" t="s">
        <v>82</v>
      </c>
      <c r="I142" t="s">
        <v>43</v>
      </c>
      <c r="J142" t="s">
        <v>43</v>
      </c>
      <c r="K142" t="s">
        <v>43</v>
      </c>
      <c r="L142" t="s">
        <v>43</v>
      </c>
      <c r="M142" t="s">
        <v>43</v>
      </c>
      <c r="N142" t="s">
        <v>43</v>
      </c>
      <c r="O142" t="s">
        <v>43</v>
      </c>
      <c r="P142" t="s">
        <v>43</v>
      </c>
      <c r="Q142" t="s">
        <v>43</v>
      </c>
      <c r="R142" t="s">
        <v>43</v>
      </c>
      <c r="S142" t="s">
        <v>43</v>
      </c>
      <c r="T142" t="s">
        <v>43</v>
      </c>
      <c r="U142" t="s">
        <v>43</v>
      </c>
      <c r="V142" t="s">
        <v>44</v>
      </c>
      <c r="W142" t="s">
        <v>43</v>
      </c>
      <c r="X142" t="s">
        <v>43</v>
      </c>
      <c r="Y142" t="s">
        <v>43</v>
      </c>
      <c r="Z142" t="s">
        <v>43</v>
      </c>
      <c r="AA142" t="s">
        <v>43</v>
      </c>
      <c r="AB142" t="s">
        <v>43</v>
      </c>
      <c r="AC142" t="s">
        <v>43</v>
      </c>
      <c r="AD142" t="s">
        <v>43</v>
      </c>
      <c r="AE142" t="s">
        <v>43</v>
      </c>
      <c r="AF142" t="s">
        <v>43</v>
      </c>
      <c r="AG142" t="s">
        <v>43</v>
      </c>
      <c r="AH142" t="s">
        <v>655</v>
      </c>
    </row>
    <row r="143" spans="1:34" x14ac:dyDescent="0.25">
      <c r="A143" t="s">
        <v>741</v>
      </c>
      <c r="B143" t="s">
        <v>57</v>
      </c>
      <c r="C143" t="s">
        <v>36</v>
      </c>
      <c r="D143" t="s">
        <v>141</v>
      </c>
      <c r="E143">
        <v>4</v>
      </c>
      <c r="F143">
        <v>0</v>
      </c>
      <c r="G143" t="s">
        <v>90</v>
      </c>
      <c r="H143" t="s">
        <v>82</v>
      </c>
      <c r="I143" t="s">
        <v>43</v>
      </c>
      <c r="J143" t="s">
        <v>43</v>
      </c>
      <c r="K143" t="s">
        <v>43</v>
      </c>
      <c r="L143" t="s">
        <v>43</v>
      </c>
      <c r="M143" t="s">
        <v>43</v>
      </c>
      <c r="N143" t="s">
        <v>43</v>
      </c>
      <c r="O143" t="s">
        <v>44</v>
      </c>
      <c r="P143" t="s">
        <v>43</v>
      </c>
      <c r="Q143" t="s">
        <v>43</v>
      </c>
      <c r="R143" t="s">
        <v>43</v>
      </c>
      <c r="S143" t="s">
        <v>43</v>
      </c>
      <c r="T143" t="s">
        <v>43</v>
      </c>
      <c r="U143" t="s">
        <v>63</v>
      </c>
      <c r="V143" t="s">
        <v>114</v>
      </c>
      <c r="W143" t="s">
        <v>114</v>
      </c>
      <c r="X143" t="s">
        <v>43</v>
      </c>
      <c r="Y143" t="s">
        <v>43</v>
      </c>
      <c r="Z143" t="s">
        <v>43</v>
      </c>
      <c r="AA143" t="s">
        <v>43</v>
      </c>
      <c r="AB143" t="s">
        <v>43</v>
      </c>
      <c r="AC143" t="s">
        <v>43</v>
      </c>
      <c r="AD143" t="s">
        <v>43</v>
      </c>
      <c r="AE143" t="s">
        <v>43</v>
      </c>
      <c r="AF143" t="s">
        <v>43</v>
      </c>
      <c r="AG143" t="s">
        <v>43</v>
      </c>
      <c r="AH143" t="s">
        <v>655</v>
      </c>
    </row>
    <row r="144" spans="1:34" x14ac:dyDescent="0.25">
      <c r="A144" t="s">
        <v>742</v>
      </c>
      <c r="B144" t="s">
        <v>57</v>
      </c>
      <c r="C144" t="s">
        <v>36</v>
      </c>
      <c r="D144" t="s">
        <v>141</v>
      </c>
      <c r="E144">
        <v>1</v>
      </c>
      <c r="F144">
        <v>0</v>
      </c>
      <c r="G144" t="s">
        <v>44</v>
      </c>
      <c r="H144" t="s">
        <v>43</v>
      </c>
      <c r="I144" t="s">
        <v>43</v>
      </c>
      <c r="J144" t="s">
        <v>43</v>
      </c>
      <c r="K144" t="s">
        <v>43</v>
      </c>
      <c r="L144" t="s">
        <v>43</v>
      </c>
      <c r="M144" t="s">
        <v>43</v>
      </c>
      <c r="N144" t="s">
        <v>43</v>
      </c>
      <c r="O144" t="s">
        <v>43</v>
      </c>
      <c r="P144" t="s">
        <v>43</v>
      </c>
      <c r="Q144" t="s">
        <v>43</v>
      </c>
      <c r="R144" t="s">
        <v>43</v>
      </c>
      <c r="S144" t="s">
        <v>43</v>
      </c>
      <c r="T144" t="s">
        <v>43</v>
      </c>
      <c r="U144" t="s">
        <v>43</v>
      </c>
      <c r="V144" t="s">
        <v>43</v>
      </c>
      <c r="W144" t="s">
        <v>43</v>
      </c>
      <c r="X144" t="s">
        <v>43</v>
      </c>
      <c r="Y144" t="s">
        <v>43</v>
      </c>
      <c r="Z144" t="s">
        <v>43</v>
      </c>
      <c r="AA144" t="s">
        <v>43</v>
      </c>
      <c r="AB144" t="s">
        <v>43</v>
      </c>
      <c r="AC144" t="s">
        <v>43</v>
      </c>
      <c r="AD144" t="s">
        <v>43</v>
      </c>
      <c r="AE144" t="s">
        <v>43</v>
      </c>
      <c r="AF144" t="s">
        <v>43</v>
      </c>
      <c r="AG144" t="s">
        <v>43</v>
      </c>
      <c r="AH144" t="s">
        <v>655</v>
      </c>
    </row>
    <row r="145" spans="1:34" x14ac:dyDescent="0.25">
      <c r="A145" t="s">
        <v>743</v>
      </c>
      <c r="B145" t="s">
        <v>57</v>
      </c>
      <c r="C145" t="s">
        <v>137</v>
      </c>
      <c r="D145" t="s">
        <v>62</v>
      </c>
      <c r="E145">
        <v>1</v>
      </c>
      <c r="F145">
        <v>0</v>
      </c>
      <c r="G145" t="s">
        <v>44</v>
      </c>
      <c r="H145" t="s">
        <v>43</v>
      </c>
      <c r="I145" t="s">
        <v>43</v>
      </c>
      <c r="J145" t="s">
        <v>43</v>
      </c>
      <c r="K145" t="s">
        <v>43</v>
      </c>
      <c r="L145" t="s">
        <v>43</v>
      </c>
      <c r="M145" t="s">
        <v>43</v>
      </c>
      <c r="N145" t="s">
        <v>43</v>
      </c>
      <c r="O145" t="s">
        <v>43</v>
      </c>
      <c r="P145" t="s">
        <v>43</v>
      </c>
      <c r="Q145" t="s">
        <v>43</v>
      </c>
      <c r="R145" t="s">
        <v>43</v>
      </c>
      <c r="S145" t="s">
        <v>43</v>
      </c>
      <c r="T145" t="s">
        <v>43</v>
      </c>
      <c r="U145" t="s">
        <v>43</v>
      </c>
      <c r="V145" t="s">
        <v>43</v>
      </c>
      <c r="W145" t="s">
        <v>43</v>
      </c>
      <c r="X145" t="s">
        <v>43</v>
      </c>
      <c r="Y145" t="s">
        <v>43</v>
      </c>
      <c r="Z145" t="s">
        <v>43</v>
      </c>
      <c r="AA145" t="s">
        <v>43</v>
      </c>
      <c r="AB145" t="s">
        <v>43</v>
      </c>
      <c r="AC145" t="s">
        <v>43</v>
      </c>
      <c r="AD145" t="s">
        <v>43</v>
      </c>
      <c r="AE145" t="s">
        <v>43</v>
      </c>
      <c r="AF145" t="s">
        <v>43</v>
      </c>
      <c r="AG145" t="s">
        <v>43</v>
      </c>
      <c r="AH145" t="s">
        <v>655</v>
      </c>
    </row>
    <row r="146" spans="1:34" x14ac:dyDescent="0.25">
      <c r="A146" t="s">
        <v>744</v>
      </c>
      <c r="B146" t="s">
        <v>519</v>
      </c>
      <c r="C146" t="s">
        <v>77</v>
      </c>
      <c r="D146" t="s">
        <v>148</v>
      </c>
      <c r="E146">
        <v>38</v>
      </c>
      <c r="F146">
        <v>38</v>
      </c>
      <c r="G146" t="s">
        <v>437</v>
      </c>
      <c r="H146" t="s">
        <v>227</v>
      </c>
      <c r="I146" t="s">
        <v>43</v>
      </c>
      <c r="J146" t="s">
        <v>43</v>
      </c>
      <c r="K146" t="s">
        <v>43</v>
      </c>
      <c r="L146" t="s">
        <v>43</v>
      </c>
      <c r="M146" t="s">
        <v>43</v>
      </c>
      <c r="N146" t="s">
        <v>43</v>
      </c>
      <c r="O146" t="s">
        <v>63</v>
      </c>
      <c r="P146" t="s">
        <v>43</v>
      </c>
      <c r="Q146" t="s">
        <v>43</v>
      </c>
      <c r="R146" t="s">
        <v>43</v>
      </c>
      <c r="S146" t="s">
        <v>43</v>
      </c>
      <c r="T146" t="s">
        <v>43</v>
      </c>
      <c r="U146" t="s">
        <v>43</v>
      </c>
      <c r="V146" t="s">
        <v>114</v>
      </c>
      <c r="W146" t="s">
        <v>43</v>
      </c>
      <c r="X146" t="s">
        <v>43</v>
      </c>
      <c r="Y146" t="s">
        <v>43</v>
      </c>
      <c r="Z146" t="s">
        <v>43</v>
      </c>
      <c r="AA146" t="s">
        <v>43</v>
      </c>
      <c r="AB146" t="s">
        <v>43</v>
      </c>
      <c r="AC146" t="s">
        <v>43</v>
      </c>
      <c r="AD146" t="s">
        <v>43</v>
      </c>
      <c r="AE146" t="s">
        <v>43</v>
      </c>
      <c r="AF146" t="s">
        <v>43</v>
      </c>
      <c r="AG146" t="s">
        <v>43</v>
      </c>
      <c r="AH146" t="s">
        <v>745</v>
      </c>
    </row>
    <row r="147" spans="1:34" x14ac:dyDescent="0.25">
      <c r="A147" t="s">
        <v>746</v>
      </c>
      <c r="B147" t="s">
        <v>35</v>
      </c>
      <c r="C147" t="s">
        <v>108</v>
      </c>
      <c r="D147" t="s">
        <v>59</v>
      </c>
      <c r="E147">
        <v>35</v>
      </c>
      <c r="F147">
        <v>35</v>
      </c>
      <c r="G147" t="s">
        <v>747</v>
      </c>
      <c r="H147" t="s">
        <v>445</v>
      </c>
      <c r="I147" t="s">
        <v>114</v>
      </c>
      <c r="J147" t="s">
        <v>142</v>
      </c>
      <c r="K147" t="s">
        <v>231</v>
      </c>
      <c r="L147" t="s">
        <v>114</v>
      </c>
      <c r="M147" t="s">
        <v>43</v>
      </c>
      <c r="N147" t="s">
        <v>43</v>
      </c>
      <c r="O147" t="s">
        <v>114</v>
      </c>
      <c r="P147" t="s">
        <v>43</v>
      </c>
      <c r="Q147" t="s">
        <v>224</v>
      </c>
      <c r="R147" t="s">
        <v>224</v>
      </c>
      <c r="S147" t="s">
        <v>328</v>
      </c>
      <c r="T147" t="s">
        <v>505</v>
      </c>
      <c r="U147" t="s">
        <v>213</v>
      </c>
      <c r="V147" t="s">
        <v>748</v>
      </c>
      <c r="W147" t="s">
        <v>749</v>
      </c>
      <c r="X147" t="s">
        <v>120</v>
      </c>
      <c r="Y147" t="s">
        <v>241</v>
      </c>
      <c r="Z147" t="s">
        <v>236</v>
      </c>
      <c r="AA147" t="s">
        <v>120</v>
      </c>
      <c r="AB147" t="s">
        <v>236</v>
      </c>
      <c r="AC147" t="s">
        <v>120</v>
      </c>
      <c r="AD147" t="s">
        <v>134</v>
      </c>
      <c r="AE147" t="s">
        <v>163</v>
      </c>
      <c r="AF147" t="s">
        <v>120</v>
      </c>
      <c r="AG147" t="s">
        <v>163</v>
      </c>
      <c r="AH147" t="s">
        <v>745</v>
      </c>
    </row>
    <row r="148" spans="1:34" x14ac:dyDescent="0.25">
      <c r="A148" t="s">
        <v>750</v>
      </c>
      <c r="B148" t="s">
        <v>751</v>
      </c>
      <c r="C148" t="s">
        <v>137</v>
      </c>
      <c r="D148" t="s">
        <v>304</v>
      </c>
      <c r="E148">
        <v>35</v>
      </c>
      <c r="F148">
        <v>34</v>
      </c>
      <c r="G148" t="s">
        <v>752</v>
      </c>
      <c r="H148" t="s">
        <v>39</v>
      </c>
      <c r="I148" t="s">
        <v>42</v>
      </c>
      <c r="J148" t="s">
        <v>231</v>
      </c>
      <c r="K148" t="s">
        <v>37</v>
      </c>
      <c r="L148" t="s">
        <v>127</v>
      </c>
      <c r="M148" t="s">
        <v>63</v>
      </c>
      <c r="N148" t="s">
        <v>63</v>
      </c>
      <c r="O148" t="s">
        <v>44</v>
      </c>
      <c r="P148" t="s">
        <v>43</v>
      </c>
      <c r="Q148" t="s">
        <v>276</v>
      </c>
      <c r="R148" t="s">
        <v>753</v>
      </c>
      <c r="S148" t="s">
        <v>240</v>
      </c>
      <c r="T148" t="s">
        <v>563</v>
      </c>
      <c r="U148" t="s">
        <v>754</v>
      </c>
      <c r="V148" t="s">
        <v>607</v>
      </c>
      <c r="W148" t="s">
        <v>755</v>
      </c>
      <c r="X148" t="s">
        <v>52</v>
      </c>
      <c r="Y148" t="s">
        <v>100</v>
      </c>
      <c r="Z148" t="s">
        <v>568</v>
      </c>
      <c r="AA148" t="s">
        <v>315</v>
      </c>
      <c r="AB148" t="s">
        <v>465</v>
      </c>
      <c r="AC148" t="s">
        <v>97</v>
      </c>
      <c r="AD148" t="s">
        <v>250</v>
      </c>
      <c r="AE148" t="s">
        <v>274</v>
      </c>
      <c r="AF148" t="s">
        <v>466</v>
      </c>
      <c r="AG148" t="s">
        <v>352</v>
      </c>
      <c r="AH148" t="s">
        <v>745</v>
      </c>
    </row>
    <row r="149" spans="1:34" x14ac:dyDescent="0.25">
      <c r="A149" t="s">
        <v>756</v>
      </c>
      <c r="B149" t="s">
        <v>85</v>
      </c>
      <c r="C149" t="s">
        <v>108</v>
      </c>
      <c r="D149" t="s">
        <v>268</v>
      </c>
      <c r="E149">
        <v>33</v>
      </c>
      <c r="F149">
        <v>33</v>
      </c>
      <c r="G149" t="s">
        <v>757</v>
      </c>
      <c r="H149" t="s">
        <v>304</v>
      </c>
      <c r="I149" t="s">
        <v>81</v>
      </c>
      <c r="J149" t="s">
        <v>43</v>
      </c>
      <c r="K149" t="s">
        <v>81</v>
      </c>
      <c r="L149" t="s">
        <v>81</v>
      </c>
      <c r="M149" t="s">
        <v>43</v>
      </c>
      <c r="N149" t="s">
        <v>43</v>
      </c>
      <c r="O149" t="s">
        <v>142</v>
      </c>
      <c r="P149" t="s">
        <v>44</v>
      </c>
      <c r="Q149" t="s">
        <v>406</v>
      </c>
      <c r="R149" t="s">
        <v>406</v>
      </c>
      <c r="S149" t="s">
        <v>112</v>
      </c>
      <c r="T149" t="s">
        <v>46</v>
      </c>
      <c r="U149" t="s">
        <v>140</v>
      </c>
      <c r="V149" t="s">
        <v>758</v>
      </c>
      <c r="W149" t="s">
        <v>40</v>
      </c>
      <c r="X149" t="s">
        <v>205</v>
      </c>
      <c r="Y149" t="s">
        <v>43</v>
      </c>
      <c r="Z149" t="s">
        <v>205</v>
      </c>
      <c r="AA149" t="s">
        <v>205</v>
      </c>
      <c r="AB149" t="s">
        <v>205</v>
      </c>
      <c r="AC149" t="s">
        <v>204</v>
      </c>
      <c r="AD149" t="s">
        <v>119</v>
      </c>
      <c r="AE149" t="s">
        <v>118</v>
      </c>
      <c r="AF149" t="s">
        <v>204</v>
      </c>
      <c r="AG149" t="s">
        <v>118</v>
      </c>
      <c r="AH149" t="s">
        <v>745</v>
      </c>
    </row>
    <row r="150" spans="1:34" x14ac:dyDescent="0.25">
      <c r="A150" t="s">
        <v>759</v>
      </c>
      <c r="B150" t="s">
        <v>675</v>
      </c>
      <c r="C150" t="s">
        <v>58</v>
      </c>
      <c r="D150" t="s">
        <v>59</v>
      </c>
      <c r="E150">
        <v>36</v>
      </c>
      <c r="F150">
        <v>31</v>
      </c>
      <c r="G150" t="s">
        <v>760</v>
      </c>
      <c r="H150" t="s">
        <v>111</v>
      </c>
      <c r="I150" t="s">
        <v>40</v>
      </c>
      <c r="J150" t="s">
        <v>114</v>
      </c>
      <c r="K150" t="s">
        <v>89</v>
      </c>
      <c r="L150" t="s">
        <v>40</v>
      </c>
      <c r="M150" t="s">
        <v>43</v>
      </c>
      <c r="N150" t="s">
        <v>43</v>
      </c>
      <c r="O150" t="s">
        <v>142</v>
      </c>
      <c r="P150" t="s">
        <v>43</v>
      </c>
      <c r="Q150" t="s">
        <v>629</v>
      </c>
      <c r="R150" t="s">
        <v>629</v>
      </c>
      <c r="S150" t="s">
        <v>761</v>
      </c>
      <c r="T150" t="s">
        <v>762</v>
      </c>
      <c r="U150" t="s">
        <v>763</v>
      </c>
      <c r="V150" t="s">
        <v>764</v>
      </c>
      <c r="W150" t="s">
        <v>765</v>
      </c>
      <c r="X150" t="s">
        <v>73</v>
      </c>
      <c r="Y150" t="s">
        <v>82</v>
      </c>
      <c r="Z150" t="s">
        <v>250</v>
      </c>
      <c r="AA150" t="s">
        <v>73</v>
      </c>
      <c r="AB150" t="s">
        <v>250</v>
      </c>
      <c r="AC150" t="s">
        <v>156</v>
      </c>
      <c r="AD150" t="s">
        <v>50</v>
      </c>
      <c r="AE150" t="s">
        <v>112</v>
      </c>
      <c r="AF150" t="s">
        <v>156</v>
      </c>
      <c r="AG150" t="s">
        <v>112</v>
      </c>
      <c r="AH150" t="s">
        <v>745</v>
      </c>
    </row>
    <row r="151" spans="1:34" x14ac:dyDescent="0.25">
      <c r="A151" t="s">
        <v>766</v>
      </c>
      <c r="B151" t="s">
        <v>519</v>
      </c>
      <c r="C151" t="s">
        <v>108</v>
      </c>
      <c r="D151" t="s">
        <v>141</v>
      </c>
      <c r="E151">
        <v>28</v>
      </c>
      <c r="F151">
        <v>28</v>
      </c>
      <c r="G151" t="s">
        <v>767</v>
      </c>
      <c r="H151" t="s">
        <v>768</v>
      </c>
      <c r="I151" t="s">
        <v>63</v>
      </c>
      <c r="J151" t="s">
        <v>114</v>
      </c>
      <c r="K151" t="s">
        <v>81</v>
      </c>
      <c r="L151" t="s">
        <v>63</v>
      </c>
      <c r="M151" t="s">
        <v>43</v>
      </c>
      <c r="N151" t="s">
        <v>43</v>
      </c>
      <c r="O151" t="s">
        <v>142</v>
      </c>
      <c r="P151" t="s">
        <v>44</v>
      </c>
      <c r="Q151" t="s">
        <v>177</v>
      </c>
      <c r="R151" t="s">
        <v>177</v>
      </c>
      <c r="S151" t="s">
        <v>531</v>
      </c>
      <c r="T151" t="s">
        <v>210</v>
      </c>
      <c r="U151" t="s">
        <v>373</v>
      </c>
      <c r="V151" t="s">
        <v>463</v>
      </c>
      <c r="W151" t="s">
        <v>664</v>
      </c>
      <c r="X151" t="s">
        <v>242</v>
      </c>
      <c r="Y151" t="s">
        <v>204</v>
      </c>
      <c r="Z151" t="s">
        <v>194</v>
      </c>
      <c r="AA151" t="s">
        <v>242</v>
      </c>
      <c r="AB151" t="s">
        <v>194</v>
      </c>
      <c r="AC151" t="s">
        <v>120</v>
      </c>
      <c r="AD151" t="s">
        <v>242</v>
      </c>
      <c r="AE151" t="s">
        <v>215</v>
      </c>
      <c r="AF151" t="s">
        <v>120</v>
      </c>
      <c r="AG151" t="s">
        <v>215</v>
      </c>
      <c r="AH151" t="s">
        <v>745</v>
      </c>
    </row>
    <row r="152" spans="1:34" x14ac:dyDescent="0.25">
      <c r="A152" t="s">
        <v>769</v>
      </c>
      <c r="B152" t="s">
        <v>196</v>
      </c>
      <c r="C152" t="s">
        <v>108</v>
      </c>
      <c r="D152" t="s">
        <v>272</v>
      </c>
      <c r="E152">
        <v>27</v>
      </c>
      <c r="F152">
        <v>27</v>
      </c>
      <c r="G152" t="s">
        <v>770</v>
      </c>
      <c r="H152" t="s">
        <v>148</v>
      </c>
      <c r="I152" t="s">
        <v>114</v>
      </c>
      <c r="J152" t="s">
        <v>43</v>
      </c>
      <c r="K152" t="s">
        <v>114</v>
      </c>
      <c r="L152" t="s">
        <v>114</v>
      </c>
      <c r="M152" t="s">
        <v>43</v>
      </c>
      <c r="N152" t="s">
        <v>43</v>
      </c>
      <c r="O152" t="s">
        <v>81</v>
      </c>
      <c r="P152" t="s">
        <v>43</v>
      </c>
      <c r="Q152" t="s">
        <v>70</v>
      </c>
      <c r="R152" t="s">
        <v>70</v>
      </c>
      <c r="S152" t="s">
        <v>43</v>
      </c>
      <c r="T152" t="s">
        <v>70</v>
      </c>
      <c r="U152" t="s">
        <v>62</v>
      </c>
      <c r="V152" t="s">
        <v>771</v>
      </c>
      <c r="W152" t="s">
        <v>41</v>
      </c>
      <c r="X152" t="s">
        <v>53</v>
      </c>
      <c r="Y152" t="s">
        <v>43</v>
      </c>
      <c r="Z152" t="s">
        <v>53</v>
      </c>
      <c r="AA152" t="s">
        <v>53</v>
      </c>
      <c r="AB152" t="s">
        <v>53</v>
      </c>
      <c r="AC152" t="s">
        <v>182</v>
      </c>
      <c r="AD152" t="s">
        <v>43</v>
      </c>
      <c r="AE152" t="s">
        <v>182</v>
      </c>
      <c r="AF152" t="s">
        <v>182</v>
      </c>
      <c r="AG152" t="s">
        <v>182</v>
      </c>
      <c r="AH152" t="s">
        <v>745</v>
      </c>
    </row>
    <row r="153" spans="1:34" x14ac:dyDescent="0.25">
      <c r="A153" t="s">
        <v>772</v>
      </c>
      <c r="B153" t="s">
        <v>555</v>
      </c>
      <c r="C153" t="s">
        <v>36</v>
      </c>
      <c r="D153" t="s">
        <v>141</v>
      </c>
      <c r="E153">
        <v>34</v>
      </c>
      <c r="F153">
        <v>27</v>
      </c>
      <c r="G153" t="s">
        <v>773</v>
      </c>
      <c r="H153" t="s">
        <v>59</v>
      </c>
      <c r="I153" t="s">
        <v>114</v>
      </c>
      <c r="J153" t="s">
        <v>114</v>
      </c>
      <c r="K153" t="s">
        <v>126</v>
      </c>
      <c r="L153" t="s">
        <v>114</v>
      </c>
      <c r="M153" t="s">
        <v>43</v>
      </c>
      <c r="N153" t="s">
        <v>43</v>
      </c>
      <c r="O153" t="s">
        <v>41</v>
      </c>
      <c r="P153" t="s">
        <v>43</v>
      </c>
      <c r="Q153" t="s">
        <v>267</v>
      </c>
      <c r="R153" t="s">
        <v>267</v>
      </c>
      <c r="S153" t="s">
        <v>531</v>
      </c>
      <c r="T153" t="s">
        <v>290</v>
      </c>
      <c r="U153" t="s">
        <v>372</v>
      </c>
      <c r="V153" t="s">
        <v>774</v>
      </c>
      <c r="W153" t="s">
        <v>735</v>
      </c>
      <c r="X153" t="s">
        <v>118</v>
      </c>
      <c r="Y153" t="s">
        <v>118</v>
      </c>
      <c r="Z153" t="s">
        <v>73</v>
      </c>
      <c r="AA153" t="s">
        <v>118</v>
      </c>
      <c r="AB153" t="s">
        <v>73</v>
      </c>
      <c r="AC153" t="s">
        <v>156</v>
      </c>
      <c r="AD153" t="s">
        <v>82</v>
      </c>
      <c r="AE153" t="s">
        <v>50</v>
      </c>
      <c r="AF153" t="s">
        <v>156</v>
      </c>
      <c r="AG153" t="s">
        <v>50</v>
      </c>
      <c r="AH153" t="s">
        <v>745</v>
      </c>
    </row>
    <row r="154" spans="1:34" x14ac:dyDescent="0.25">
      <c r="A154" t="s">
        <v>775</v>
      </c>
      <c r="B154" t="s">
        <v>57</v>
      </c>
      <c r="C154" t="s">
        <v>36</v>
      </c>
      <c r="D154" t="s">
        <v>148</v>
      </c>
      <c r="E154">
        <v>28</v>
      </c>
      <c r="F154">
        <v>26</v>
      </c>
      <c r="G154" t="s">
        <v>776</v>
      </c>
      <c r="H154" t="s">
        <v>777</v>
      </c>
      <c r="I154" t="s">
        <v>83</v>
      </c>
      <c r="J154" t="s">
        <v>41</v>
      </c>
      <c r="K154" t="s">
        <v>90</v>
      </c>
      <c r="L154" t="s">
        <v>83</v>
      </c>
      <c r="M154" t="s">
        <v>43</v>
      </c>
      <c r="N154" t="s">
        <v>43</v>
      </c>
      <c r="O154" t="s">
        <v>81</v>
      </c>
      <c r="P154" t="s">
        <v>43</v>
      </c>
      <c r="Q154" t="s">
        <v>92</v>
      </c>
      <c r="R154" t="s">
        <v>92</v>
      </c>
      <c r="S154" t="s">
        <v>702</v>
      </c>
      <c r="T154" t="s">
        <v>762</v>
      </c>
      <c r="U154" t="s">
        <v>260</v>
      </c>
      <c r="V154" t="s">
        <v>778</v>
      </c>
      <c r="W154" t="s">
        <v>779</v>
      </c>
      <c r="X154" t="s">
        <v>215</v>
      </c>
      <c r="Y154" t="s">
        <v>510</v>
      </c>
      <c r="Z154" t="s">
        <v>320</v>
      </c>
      <c r="AA154" t="s">
        <v>215</v>
      </c>
      <c r="AB154" t="s">
        <v>320</v>
      </c>
      <c r="AC154" t="s">
        <v>98</v>
      </c>
      <c r="AD154" t="s">
        <v>50</v>
      </c>
      <c r="AE154" t="s">
        <v>52</v>
      </c>
      <c r="AF154" t="s">
        <v>98</v>
      </c>
      <c r="AG154" t="s">
        <v>52</v>
      </c>
      <c r="AH154" t="s">
        <v>745</v>
      </c>
    </row>
    <row r="155" spans="1:34" x14ac:dyDescent="0.25">
      <c r="A155" t="s">
        <v>780</v>
      </c>
      <c r="B155" t="s">
        <v>781</v>
      </c>
      <c r="C155" t="s">
        <v>36</v>
      </c>
      <c r="D155" t="s">
        <v>148</v>
      </c>
      <c r="E155">
        <v>28</v>
      </c>
      <c r="F155">
        <v>26</v>
      </c>
      <c r="G155" t="s">
        <v>782</v>
      </c>
      <c r="H155" t="s">
        <v>59</v>
      </c>
      <c r="I155" t="s">
        <v>43</v>
      </c>
      <c r="J155" t="s">
        <v>43</v>
      </c>
      <c r="K155" t="s">
        <v>43</v>
      </c>
      <c r="L155" t="s">
        <v>43</v>
      </c>
      <c r="M155" t="s">
        <v>43</v>
      </c>
      <c r="N155" t="s">
        <v>43</v>
      </c>
      <c r="O155" t="s">
        <v>231</v>
      </c>
      <c r="P155" t="s">
        <v>63</v>
      </c>
      <c r="Q155" t="s">
        <v>162</v>
      </c>
      <c r="R155" t="s">
        <v>162</v>
      </c>
      <c r="S155" t="s">
        <v>112</v>
      </c>
      <c r="T155" t="s">
        <v>255</v>
      </c>
      <c r="U155" t="s">
        <v>372</v>
      </c>
      <c r="V155" t="s">
        <v>783</v>
      </c>
      <c r="W155" t="s">
        <v>90</v>
      </c>
      <c r="X155" t="s">
        <v>43</v>
      </c>
      <c r="Y155" t="s">
        <v>43</v>
      </c>
      <c r="Z155" t="s">
        <v>43</v>
      </c>
      <c r="AA155" t="s">
        <v>43</v>
      </c>
      <c r="AB155" t="s">
        <v>43</v>
      </c>
      <c r="AC155" t="s">
        <v>169</v>
      </c>
      <c r="AD155" t="s">
        <v>182</v>
      </c>
      <c r="AE155" t="s">
        <v>242</v>
      </c>
      <c r="AF155" t="s">
        <v>169</v>
      </c>
      <c r="AG155" t="s">
        <v>242</v>
      </c>
      <c r="AH155" t="s">
        <v>745</v>
      </c>
    </row>
    <row r="156" spans="1:34" x14ac:dyDescent="0.25">
      <c r="A156" t="s">
        <v>784</v>
      </c>
      <c r="B156" t="s">
        <v>432</v>
      </c>
      <c r="C156" t="s">
        <v>137</v>
      </c>
      <c r="D156" t="s">
        <v>272</v>
      </c>
      <c r="E156">
        <v>32</v>
      </c>
      <c r="F156">
        <v>23</v>
      </c>
      <c r="G156" t="s">
        <v>785</v>
      </c>
      <c r="H156" t="s">
        <v>786</v>
      </c>
      <c r="I156" t="s">
        <v>81</v>
      </c>
      <c r="J156" t="s">
        <v>231</v>
      </c>
      <c r="K156" t="s">
        <v>127</v>
      </c>
      <c r="L156" t="s">
        <v>81</v>
      </c>
      <c r="M156" t="s">
        <v>43</v>
      </c>
      <c r="N156" t="s">
        <v>43</v>
      </c>
      <c r="O156" t="s">
        <v>114</v>
      </c>
      <c r="P156" t="s">
        <v>43</v>
      </c>
      <c r="Q156" t="s">
        <v>64</v>
      </c>
      <c r="R156" t="s">
        <v>64</v>
      </c>
      <c r="S156" t="s">
        <v>787</v>
      </c>
      <c r="T156" t="s">
        <v>371</v>
      </c>
      <c r="U156" t="s">
        <v>332</v>
      </c>
      <c r="V156" t="s">
        <v>514</v>
      </c>
      <c r="W156" t="s">
        <v>788</v>
      </c>
      <c r="X156" t="s">
        <v>103</v>
      </c>
      <c r="Y156" t="s">
        <v>500</v>
      </c>
      <c r="Z156" t="s">
        <v>99</v>
      </c>
      <c r="AA156" t="s">
        <v>103</v>
      </c>
      <c r="AB156" t="s">
        <v>99</v>
      </c>
      <c r="AC156" t="s">
        <v>102</v>
      </c>
      <c r="AD156" t="s">
        <v>301</v>
      </c>
      <c r="AE156" t="s">
        <v>389</v>
      </c>
      <c r="AF156" t="s">
        <v>102</v>
      </c>
      <c r="AG156" t="s">
        <v>389</v>
      </c>
      <c r="AH156" t="s">
        <v>745</v>
      </c>
    </row>
    <row r="157" spans="1:34" x14ac:dyDescent="0.25">
      <c r="A157" t="s">
        <v>789</v>
      </c>
      <c r="B157" t="s">
        <v>76</v>
      </c>
      <c r="C157" t="s">
        <v>137</v>
      </c>
      <c r="D157" t="s">
        <v>148</v>
      </c>
      <c r="E157">
        <v>28</v>
      </c>
      <c r="F157">
        <v>18</v>
      </c>
      <c r="G157" t="s">
        <v>790</v>
      </c>
      <c r="H157" t="s">
        <v>791</v>
      </c>
      <c r="I157" t="s">
        <v>89</v>
      </c>
      <c r="J157" t="s">
        <v>83</v>
      </c>
      <c r="K157" t="s">
        <v>127</v>
      </c>
      <c r="L157" t="s">
        <v>89</v>
      </c>
      <c r="M157" t="s">
        <v>43</v>
      </c>
      <c r="N157" t="s">
        <v>43</v>
      </c>
      <c r="O157" t="s">
        <v>114</v>
      </c>
      <c r="P157" t="s">
        <v>43</v>
      </c>
      <c r="Q157" t="s">
        <v>447</v>
      </c>
      <c r="R157" t="s">
        <v>447</v>
      </c>
      <c r="S157" t="s">
        <v>246</v>
      </c>
      <c r="T157" t="s">
        <v>615</v>
      </c>
      <c r="U157" t="s">
        <v>148</v>
      </c>
      <c r="V157" t="s">
        <v>227</v>
      </c>
      <c r="W157" t="s">
        <v>792</v>
      </c>
      <c r="X157" t="s">
        <v>104</v>
      </c>
      <c r="Y157" t="s">
        <v>54</v>
      </c>
      <c r="Z157" t="s">
        <v>535</v>
      </c>
      <c r="AA157" t="s">
        <v>104</v>
      </c>
      <c r="AB157" t="s">
        <v>535</v>
      </c>
      <c r="AC157" t="s">
        <v>101</v>
      </c>
      <c r="AD157" t="s">
        <v>118</v>
      </c>
      <c r="AE157" t="s">
        <v>378</v>
      </c>
      <c r="AF157" t="s">
        <v>101</v>
      </c>
      <c r="AG157" t="s">
        <v>378</v>
      </c>
      <c r="AH157" t="s">
        <v>745</v>
      </c>
    </row>
    <row r="158" spans="1:34" x14ac:dyDescent="0.25">
      <c r="A158" t="s">
        <v>793</v>
      </c>
      <c r="B158" t="s">
        <v>342</v>
      </c>
      <c r="C158" t="s">
        <v>36</v>
      </c>
      <c r="D158" t="s">
        <v>148</v>
      </c>
      <c r="E158">
        <v>23</v>
      </c>
      <c r="F158">
        <v>13</v>
      </c>
      <c r="G158" t="s">
        <v>794</v>
      </c>
      <c r="H158" t="s">
        <v>245</v>
      </c>
      <c r="I158" t="s">
        <v>44</v>
      </c>
      <c r="J158" t="s">
        <v>44</v>
      </c>
      <c r="K158" t="s">
        <v>63</v>
      </c>
      <c r="L158" t="s">
        <v>44</v>
      </c>
      <c r="M158" t="s">
        <v>43</v>
      </c>
      <c r="N158" t="s">
        <v>43</v>
      </c>
      <c r="O158" t="s">
        <v>142</v>
      </c>
      <c r="P158" t="s">
        <v>43</v>
      </c>
      <c r="Q158" t="s">
        <v>175</v>
      </c>
      <c r="R158" t="s">
        <v>175</v>
      </c>
      <c r="S158" t="s">
        <v>176</v>
      </c>
      <c r="T158" t="s">
        <v>177</v>
      </c>
      <c r="U158" t="s">
        <v>167</v>
      </c>
      <c r="V158" t="s">
        <v>514</v>
      </c>
      <c r="W158" t="s">
        <v>304</v>
      </c>
      <c r="X158" t="s">
        <v>120</v>
      </c>
      <c r="Y158" t="s">
        <v>120</v>
      </c>
      <c r="Z158" t="s">
        <v>151</v>
      </c>
      <c r="AA158" t="s">
        <v>120</v>
      </c>
      <c r="AB158" t="s">
        <v>151</v>
      </c>
      <c r="AC158" t="s">
        <v>215</v>
      </c>
      <c r="AD158" t="s">
        <v>193</v>
      </c>
      <c r="AE158" t="s">
        <v>103</v>
      </c>
      <c r="AF158" t="s">
        <v>215</v>
      </c>
      <c r="AG158" t="s">
        <v>103</v>
      </c>
      <c r="AH158" t="s">
        <v>745</v>
      </c>
    </row>
    <row r="159" spans="1:34" x14ac:dyDescent="0.25">
      <c r="A159" t="s">
        <v>795</v>
      </c>
      <c r="B159" t="s">
        <v>432</v>
      </c>
      <c r="C159" t="s">
        <v>108</v>
      </c>
      <c r="D159" t="s">
        <v>263</v>
      </c>
      <c r="E159">
        <v>17</v>
      </c>
      <c r="F159">
        <v>12</v>
      </c>
      <c r="G159" t="s">
        <v>796</v>
      </c>
      <c r="H159" t="s">
        <v>797</v>
      </c>
      <c r="I159" t="s">
        <v>44</v>
      </c>
      <c r="J159" t="s">
        <v>43</v>
      </c>
      <c r="K159" t="s">
        <v>44</v>
      </c>
      <c r="L159" t="s">
        <v>44</v>
      </c>
      <c r="M159" t="s">
        <v>43</v>
      </c>
      <c r="N159" t="s">
        <v>43</v>
      </c>
      <c r="O159" t="s">
        <v>63</v>
      </c>
      <c r="P159" t="s">
        <v>43</v>
      </c>
      <c r="Q159" t="s">
        <v>327</v>
      </c>
      <c r="R159" t="s">
        <v>327</v>
      </c>
      <c r="S159" t="s">
        <v>112</v>
      </c>
      <c r="T159" t="s">
        <v>405</v>
      </c>
      <c r="U159" t="s">
        <v>90</v>
      </c>
      <c r="V159" t="s">
        <v>401</v>
      </c>
      <c r="W159" t="s">
        <v>141</v>
      </c>
      <c r="X159" t="s">
        <v>242</v>
      </c>
      <c r="Y159" t="s">
        <v>43</v>
      </c>
      <c r="Z159" t="s">
        <v>242</v>
      </c>
      <c r="AA159" t="s">
        <v>242</v>
      </c>
      <c r="AB159" t="s">
        <v>242</v>
      </c>
      <c r="AC159" t="s">
        <v>194</v>
      </c>
      <c r="AD159" t="s">
        <v>358</v>
      </c>
      <c r="AE159" t="s">
        <v>402</v>
      </c>
      <c r="AF159" t="s">
        <v>194</v>
      </c>
      <c r="AG159" t="s">
        <v>402</v>
      </c>
      <c r="AH159" t="s">
        <v>745</v>
      </c>
    </row>
    <row r="160" spans="1:34" x14ac:dyDescent="0.25">
      <c r="A160" t="s">
        <v>798</v>
      </c>
      <c r="B160" t="s">
        <v>76</v>
      </c>
      <c r="C160" t="s">
        <v>108</v>
      </c>
      <c r="D160" t="s">
        <v>201</v>
      </c>
      <c r="E160">
        <v>22</v>
      </c>
      <c r="F160">
        <v>11</v>
      </c>
      <c r="G160" t="s">
        <v>799</v>
      </c>
      <c r="H160" t="s">
        <v>488</v>
      </c>
      <c r="I160" t="s">
        <v>44</v>
      </c>
      <c r="J160" t="s">
        <v>43</v>
      </c>
      <c r="K160" t="s">
        <v>44</v>
      </c>
      <c r="L160" t="s">
        <v>44</v>
      </c>
      <c r="M160" t="s">
        <v>43</v>
      </c>
      <c r="N160" t="s">
        <v>43</v>
      </c>
      <c r="O160" t="s">
        <v>83</v>
      </c>
      <c r="P160" t="s">
        <v>43</v>
      </c>
      <c r="Q160" t="s">
        <v>241</v>
      </c>
      <c r="R160" t="s">
        <v>241</v>
      </c>
      <c r="S160" t="s">
        <v>112</v>
      </c>
      <c r="T160" t="s">
        <v>70</v>
      </c>
      <c r="U160" t="s">
        <v>185</v>
      </c>
      <c r="V160" t="s">
        <v>213</v>
      </c>
      <c r="W160" t="s">
        <v>147</v>
      </c>
      <c r="X160" t="s">
        <v>242</v>
      </c>
      <c r="Y160" t="s">
        <v>43</v>
      </c>
      <c r="Z160" t="s">
        <v>242</v>
      </c>
      <c r="AA160" t="s">
        <v>242</v>
      </c>
      <c r="AB160" t="s">
        <v>242</v>
      </c>
      <c r="AC160" t="s">
        <v>182</v>
      </c>
      <c r="AD160" t="s">
        <v>358</v>
      </c>
      <c r="AE160" t="s">
        <v>168</v>
      </c>
      <c r="AF160" t="s">
        <v>182</v>
      </c>
      <c r="AG160" t="s">
        <v>168</v>
      </c>
      <c r="AH160" t="s">
        <v>745</v>
      </c>
    </row>
    <row r="161" spans="1:34" x14ac:dyDescent="0.25">
      <c r="A161" t="s">
        <v>800</v>
      </c>
      <c r="B161" t="s">
        <v>262</v>
      </c>
      <c r="C161" t="s">
        <v>137</v>
      </c>
      <c r="D161" t="s">
        <v>37</v>
      </c>
      <c r="E161">
        <v>13</v>
      </c>
      <c r="F161">
        <v>10</v>
      </c>
      <c r="G161" t="s">
        <v>253</v>
      </c>
      <c r="H161" t="s">
        <v>41</v>
      </c>
      <c r="I161" t="s">
        <v>63</v>
      </c>
      <c r="J161" t="s">
        <v>114</v>
      </c>
      <c r="K161" t="s">
        <v>81</v>
      </c>
      <c r="L161" t="s">
        <v>63</v>
      </c>
      <c r="M161" t="s">
        <v>43</v>
      </c>
      <c r="N161" t="s">
        <v>43</v>
      </c>
      <c r="O161" t="s">
        <v>44</v>
      </c>
      <c r="P161" t="s">
        <v>43</v>
      </c>
      <c r="Q161" t="s">
        <v>128</v>
      </c>
      <c r="R161" t="s">
        <v>128</v>
      </c>
      <c r="S161" t="s">
        <v>405</v>
      </c>
      <c r="T161" t="s">
        <v>92</v>
      </c>
      <c r="U161" t="s">
        <v>641</v>
      </c>
      <c r="V161" t="s">
        <v>801</v>
      </c>
      <c r="W161" t="s">
        <v>802</v>
      </c>
      <c r="X161" t="s">
        <v>103</v>
      </c>
      <c r="Y161" t="s">
        <v>72</v>
      </c>
      <c r="Z161" t="s">
        <v>532</v>
      </c>
      <c r="AA161" t="s">
        <v>103</v>
      </c>
      <c r="AB161" t="s">
        <v>532</v>
      </c>
      <c r="AC161" t="s">
        <v>251</v>
      </c>
      <c r="AD161" t="s">
        <v>163</v>
      </c>
      <c r="AE161" t="s">
        <v>350</v>
      </c>
      <c r="AF161" t="s">
        <v>251</v>
      </c>
      <c r="AG161" t="s">
        <v>350</v>
      </c>
      <c r="AH161" t="s">
        <v>745</v>
      </c>
    </row>
    <row r="162" spans="1:34" x14ac:dyDescent="0.25">
      <c r="A162" t="s">
        <v>803</v>
      </c>
      <c r="B162" t="s">
        <v>804</v>
      </c>
      <c r="C162" t="s">
        <v>36</v>
      </c>
      <c r="D162" t="s">
        <v>37</v>
      </c>
      <c r="E162">
        <v>36</v>
      </c>
      <c r="F162">
        <v>8</v>
      </c>
      <c r="G162" t="s">
        <v>805</v>
      </c>
      <c r="H162" t="s">
        <v>716</v>
      </c>
      <c r="I162" t="s">
        <v>43</v>
      </c>
      <c r="J162" t="s">
        <v>43</v>
      </c>
      <c r="K162" t="s">
        <v>43</v>
      </c>
      <c r="L162" t="s">
        <v>43</v>
      </c>
      <c r="M162" t="s">
        <v>43</v>
      </c>
      <c r="N162" t="s">
        <v>43</v>
      </c>
      <c r="O162" t="s">
        <v>83</v>
      </c>
      <c r="P162" t="s">
        <v>43</v>
      </c>
      <c r="Q162" t="s">
        <v>378</v>
      </c>
      <c r="R162" t="s">
        <v>378</v>
      </c>
      <c r="S162" t="s">
        <v>200</v>
      </c>
      <c r="T162" t="s">
        <v>175</v>
      </c>
      <c r="U162" t="s">
        <v>42</v>
      </c>
      <c r="V162" t="s">
        <v>806</v>
      </c>
      <c r="W162" t="s">
        <v>78</v>
      </c>
      <c r="X162" t="s">
        <v>43</v>
      </c>
      <c r="Y162" t="s">
        <v>43</v>
      </c>
      <c r="Z162" t="s">
        <v>43</v>
      </c>
      <c r="AA162" t="s">
        <v>43</v>
      </c>
      <c r="AB162" t="s">
        <v>43</v>
      </c>
      <c r="AC162" t="s">
        <v>168</v>
      </c>
      <c r="AD162" t="s">
        <v>242</v>
      </c>
      <c r="AE162" t="s">
        <v>118</v>
      </c>
      <c r="AF162" t="s">
        <v>168</v>
      </c>
      <c r="AG162" t="s">
        <v>118</v>
      </c>
      <c r="AH162" t="s">
        <v>745</v>
      </c>
    </row>
    <row r="163" spans="1:34" x14ac:dyDescent="0.25">
      <c r="A163" t="s">
        <v>807</v>
      </c>
      <c r="B163" t="s">
        <v>57</v>
      </c>
      <c r="C163" t="s">
        <v>524</v>
      </c>
      <c r="D163" t="s">
        <v>272</v>
      </c>
      <c r="E163">
        <v>21</v>
      </c>
      <c r="F163">
        <v>5</v>
      </c>
      <c r="G163" t="s">
        <v>808</v>
      </c>
      <c r="H163" t="s">
        <v>497</v>
      </c>
      <c r="I163" t="s">
        <v>43</v>
      </c>
      <c r="J163" t="s">
        <v>43</v>
      </c>
      <c r="K163" t="s">
        <v>43</v>
      </c>
      <c r="L163" t="s">
        <v>43</v>
      </c>
      <c r="M163" t="s">
        <v>43</v>
      </c>
      <c r="N163" t="s">
        <v>43</v>
      </c>
      <c r="O163" t="s">
        <v>114</v>
      </c>
      <c r="P163" t="s">
        <v>43</v>
      </c>
      <c r="Q163" t="s">
        <v>378</v>
      </c>
      <c r="R163" t="s">
        <v>378</v>
      </c>
      <c r="S163" t="s">
        <v>70</v>
      </c>
      <c r="T163" t="s">
        <v>222</v>
      </c>
      <c r="U163" t="s">
        <v>40</v>
      </c>
      <c r="V163" t="s">
        <v>225</v>
      </c>
      <c r="W163" t="s">
        <v>268</v>
      </c>
      <c r="X163" t="s">
        <v>43</v>
      </c>
      <c r="Y163" t="s">
        <v>43</v>
      </c>
      <c r="Z163" t="s">
        <v>43</v>
      </c>
      <c r="AA163" t="s">
        <v>43</v>
      </c>
      <c r="AB163" t="s">
        <v>43</v>
      </c>
      <c r="AC163" t="s">
        <v>120</v>
      </c>
      <c r="AD163" t="s">
        <v>181</v>
      </c>
      <c r="AE163" t="s">
        <v>205</v>
      </c>
      <c r="AF163" t="s">
        <v>120</v>
      </c>
      <c r="AG163" t="s">
        <v>205</v>
      </c>
      <c r="AH163" t="s">
        <v>745</v>
      </c>
    </row>
    <row r="164" spans="1:34" x14ac:dyDescent="0.25">
      <c r="A164" t="s">
        <v>809</v>
      </c>
      <c r="B164" t="s">
        <v>85</v>
      </c>
      <c r="C164" t="s">
        <v>36</v>
      </c>
      <c r="D164" t="s">
        <v>37</v>
      </c>
      <c r="E164">
        <v>22</v>
      </c>
      <c r="F164">
        <v>4</v>
      </c>
      <c r="G164" t="s">
        <v>810</v>
      </c>
      <c r="H164" t="s">
        <v>811</v>
      </c>
      <c r="I164" t="s">
        <v>63</v>
      </c>
      <c r="J164" t="s">
        <v>63</v>
      </c>
      <c r="K164" t="s">
        <v>83</v>
      </c>
      <c r="L164" t="s">
        <v>63</v>
      </c>
      <c r="M164" t="s">
        <v>43</v>
      </c>
      <c r="N164" t="s">
        <v>43</v>
      </c>
      <c r="O164" t="s">
        <v>63</v>
      </c>
      <c r="P164" t="s">
        <v>43</v>
      </c>
      <c r="Q164" t="s">
        <v>70</v>
      </c>
      <c r="R164" t="s">
        <v>70</v>
      </c>
      <c r="S164" t="s">
        <v>175</v>
      </c>
      <c r="T164" t="s">
        <v>199</v>
      </c>
      <c r="U164" t="s">
        <v>268</v>
      </c>
      <c r="V164" t="s">
        <v>681</v>
      </c>
      <c r="W164" t="s">
        <v>78</v>
      </c>
      <c r="X164" t="s">
        <v>250</v>
      </c>
      <c r="Y164" t="s">
        <v>250</v>
      </c>
      <c r="Z164" t="s">
        <v>153</v>
      </c>
      <c r="AA164" t="s">
        <v>250</v>
      </c>
      <c r="AB164" t="s">
        <v>153</v>
      </c>
      <c r="AC164" t="s">
        <v>82</v>
      </c>
      <c r="AD164" t="s">
        <v>616</v>
      </c>
      <c r="AE164" t="s">
        <v>216</v>
      </c>
      <c r="AF164" t="s">
        <v>82</v>
      </c>
      <c r="AG164" t="s">
        <v>216</v>
      </c>
      <c r="AH164" t="s">
        <v>745</v>
      </c>
    </row>
    <row r="165" spans="1:34" x14ac:dyDescent="0.25">
      <c r="A165" t="s">
        <v>812</v>
      </c>
      <c r="B165" t="s">
        <v>813</v>
      </c>
      <c r="C165" t="s">
        <v>108</v>
      </c>
      <c r="D165" t="s">
        <v>185</v>
      </c>
      <c r="E165">
        <v>9</v>
      </c>
      <c r="F165">
        <v>4</v>
      </c>
      <c r="G165" t="s">
        <v>814</v>
      </c>
      <c r="H165" t="s">
        <v>653</v>
      </c>
      <c r="I165" t="s">
        <v>43</v>
      </c>
      <c r="J165" t="s">
        <v>43</v>
      </c>
      <c r="K165" t="s">
        <v>43</v>
      </c>
      <c r="L165" t="s">
        <v>43</v>
      </c>
      <c r="M165" t="s">
        <v>43</v>
      </c>
      <c r="N165" t="s">
        <v>43</v>
      </c>
      <c r="O165" t="s">
        <v>44</v>
      </c>
      <c r="P165" t="s">
        <v>43</v>
      </c>
      <c r="Q165" t="s">
        <v>82</v>
      </c>
      <c r="R165" t="s">
        <v>82</v>
      </c>
      <c r="S165" t="s">
        <v>43</v>
      </c>
      <c r="T165" t="s">
        <v>82</v>
      </c>
      <c r="U165" t="s">
        <v>81</v>
      </c>
      <c r="V165" t="s">
        <v>40</v>
      </c>
      <c r="W165" t="s">
        <v>44</v>
      </c>
      <c r="X165" t="s">
        <v>43</v>
      </c>
      <c r="Y165" t="s">
        <v>43</v>
      </c>
      <c r="Z165" t="s">
        <v>43</v>
      </c>
      <c r="AA165" t="s">
        <v>43</v>
      </c>
      <c r="AB165" t="s">
        <v>43</v>
      </c>
      <c r="AC165" t="s">
        <v>358</v>
      </c>
      <c r="AD165" t="s">
        <v>43</v>
      </c>
      <c r="AE165" t="s">
        <v>358</v>
      </c>
      <c r="AF165" t="s">
        <v>358</v>
      </c>
      <c r="AG165" t="s">
        <v>358</v>
      </c>
      <c r="AH165" t="s">
        <v>745</v>
      </c>
    </row>
    <row r="166" spans="1:34" x14ac:dyDescent="0.25">
      <c r="A166" t="s">
        <v>815</v>
      </c>
      <c r="B166" t="s">
        <v>35</v>
      </c>
      <c r="C166" t="s">
        <v>58</v>
      </c>
      <c r="D166" t="s">
        <v>272</v>
      </c>
      <c r="E166">
        <v>11</v>
      </c>
      <c r="F166">
        <v>2</v>
      </c>
      <c r="G166" t="s">
        <v>299</v>
      </c>
      <c r="H166" t="s">
        <v>327</v>
      </c>
      <c r="I166" t="s">
        <v>43</v>
      </c>
      <c r="J166" t="s">
        <v>43</v>
      </c>
      <c r="K166" t="s">
        <v>43</v>
      </c>
      <c r="L166" t="s">
        <v>43</v>
      </c>
      <c r="M166" t="s">
        <v>43</v>
      </c>
      <c r="N166" t="s">
        <v>43</v>
      </c>
      <c r="O166" t="s">
        <v>43</v>
      </c>
      <c r="P166" t="s">
        <v>43</v>
      </c>
      <c r="Q166" t="s">
        <v>259</v>
      </c>
      <c r="R166" t="s">
        <v>259</v>
      </c>
      <c r="S166" t="s">
        <v>241</v>
      </c>
      <c r="T166" t="s">
        <v>44</v>
      </c>
      <c r="U166" t="s">
        <v>89</v>
      </c>
      <c r="V166" t="s">
        <v>167</v>
      </c>
      <c r="W166" t="s">
        <v>816</v>
      </c>
      <c r="X166" t="s">
        <v>43</v>
      </c>
      <c r="Y166" t="s">
        <v>43</v>
      </c>
      <c r="Z166" t="s">
        <v>43</v>
      </c>
      <c r="AA166" t="s">
        <v>43</v>
      </c>
      <c r="AB166" t="s">
        <v>43</v>
      </c>
      <c r="AC166" t="s">
        <v>466</v>
      </c>
      <c r="AD166" t="s">
        <v>120</v>
      </c>
      <c r="AE166" t="s">
        <v>251</v>
      </c>
      <c r="AF166" t="s">
        <v>466</v>
      </c>
      <c r="AG166" t="s">
        <v>251</v>
      </c>
      <c r="AH166" t="s">
        <v>745</v>
      </c>
    </row>
    <row r="167" spans="1:34" x14ac:dyDescent="0.25">
      <c r="A167" t="s">
        <v>817</v>
      </c>
      <c r="B167" t="s">
        <v>818</v>
      </c>
      <c r="C167" t="s">
        <v>137</v>
      </c>
      <c r="D167" t="s">
        <v>201</v>
      </c>
      <c r="E167">
        <v>5</v>
      </c>
      <c r="F167">
        <v>2</v>
      </c>
      <c r="G167" t="s">
        <v>819</v>
      </c>
      <c r="H167" t="s">
        <v>531</v>
      </c>
      <c r="I167" t="s">
        <v>43</v>
      </c>
      <c r="J167" t="s">
        <v>63</v>
      </c>
      <c r="K167" t="s">
        <v>63</v>
      </c>
      <c r="L167" t="s">
        <v>43</v>
      </c>
      <c r="M167" t="s">
        <v>43</v>
      </c>
      <c r="N167" t="s">
        <v>43</v>
      </c>
      <c r="O167" t="s">
        <v>44</v>
      </c>
      <c r="P167" t="s">
        <v>43</v>
      </c>
      <c r="Q167" t="s">
        <v>112</v>
      </c>
      <c r="R167" t="s">
        <v>112</v>
      </c>
      <c r="S167" t="s">
        <v>259</v>
      </c>
      <c r="T167" t="s">
        <v>200</v>
      </c>
      <c r="U167" t="s">
        <v>42</v>
      </c>
      <c r="V167" t="s">
        <v>89</v>
      </c>
      <c r="W167" t="s">
        <v>298</v>
      </c>
      <c r="X167" t="s">
        <v>43</v>
      </c>
      <c r="Y167" t="s">
        <v>398</v>
      </c>
      <c r="Z167" t="s">
        <v>398</v>
      </c>
      <c r="AA167" t="s">
        <v>43</v>
      </c>
      <c r="AB167" t="s">
        <v>398</v>
      </c>
      <c r="AC167" t="s">
        <v>194</v>
      </c>
      <c r="AD167" t="s">
        <v>510</v>
      </c>
      <c r="AE167" t="s">
        <v>532</v>
      </c>
      <c r="AF167" t="s">
        <v>194</v>
      </c>
      <c r="AG167" t="s">
        <v>532</v>
      </c>
      <c r="AH167" t="s">
        <v>745</v>
      </c>
    </row>
    <row r="168" spans="1:34" x14ac:dyDescent="0.25">
      <c r="A168" t="s">
        <v>820</v>
      </c>
      <c r="B168" t="s">
        <v>57</v>
      </c>
      <c r="C168" t="s">
        <v>108</v>
      </c>
      <c r="D168" t="s">
        <v>78</v>
      </c>
      <c r="E168">
        <v>4</v>
      </c>
      <c r="F168">
        <v>1</v>
      </c>
      <c r="G168" t="s">
        <v>821</v>
      </c>
      <c r="H168" t="s">
        <v>531</v>
      </c>
      <c r="I168" t="s">
        <v>43</v>
      </c>
      <c r="J168" t="s">
        <v>43</v>
      </c>
      <c r="K168" t="s">
        <v>43</v>
      </c>
      <c r="L168" t="s">
        <v>43</v>
      </c>
      <c r="M168" t="s">
        <v>43</v>
      </c>
      <c r="N168" t="s">
        <v>43</v>
      </c>
      <c r="O168" t="s">
        <v>43</v>
      </c>
      <c r="P168" t="s">
        <v>43</v>
      </c>
      <c r="Q168" t="s">
        <v>43</v>
      </c>
      <c r="R168" t="s">
        <v>43</v>
      </c>
      <c r="S168" t="s">
        <v>43</v>
      </c>
      <c r="T168" t="s">
        <v>43</v>
      </c>
      <c r="U168" t="s">
        <v>43</v>
      </c>
      <c r="V168" t="s">
        <v>114</v>
      </c>
      <c r="W168" t="s">
        <v>43</v>
      </c>
      <c r="X168" t="s">
        <v>43</v>
      </c>
      <c r="Y168" t="s">
        <v>43</v>
      </c>
      <c r="Z168" t="s">
        <v>43</v>
      </c>
      <c r="AA168" t="s">
        <v>43</v>
      </c>
      <c r="AB168" t="s">
        <v>43</v>
      </c>
      <c r="AC168" t="s">
        <v>43</v>
      </c>
      <c r="AD168" t="s">
        <v>43</v>
      </c>
      <c r="AE168" t="s">
        <v>43</v>
      </c>
      <c r="AF168" t="s">
        <v>43</v>
      </c>
      <c r="AG168" t="s">
        <v>43</v>
      </c>
      <c r="AH168" t="s">
        <v>745</v>
      </c>
    </row>
    <row r="169" spans="1:34" x14ac:dyDescent="0.25">
      <c r="A169" t="s">
        <v>822</v>
      </c>
      <c r="B169" t="s">
        <v>184</v>
      </c>
      <c r="C169" t="s">
        <v>137</v>
      </c>
      <c r="D169" t="s">
        <v>165</v>
      </c>
      <c r="E169">
        <v>5</v>
      </c>
      <c r="F169">
        <v>0</v>
      </c>
      <c r="G169" t="s">
        <v>95</v>
      </c>
      <c r="H169" t="s">
        <v>254</v>
      </c>
      <c r="I169" t="s">
        <v>43</v>
      </c>
      <c r="J169" t="s">
        <v>44</v>
      </c>
      <c r="K169" t="s">
        <v>44</v>
      </c>
      <c r="L169" t="s">
        <v>43</v>
      </c>
      <c r="M169" t="s">
        <v>43</v>
      </c>
      <c r="N169" t="s">
        <v>43</v>
      </c>
      <c r="O169" t="s">
        <v>63</v>
      </c>
      <c r="P169" t="s">
        <v>43</v>
      </c>
      <c r="Q169" t="s">
        <v>82</v>
      </c>
      <c r="R169" t="s">
        <v>82</v>
      </c>
      <c r="S169" t="s">
        <v>398</v>
      </c>
      <c r="T169" t="s">
        <v>44</v>
      </c>
      <c r="U169" t="s">
        <v>127</v>
      </c>
      <c r="V169" t="s">
        <v>41</v>
      </c>
      <c r="W169" t="s">
        <v>42</v>
      </c>
      <c r="X169" t="s">
        <v>43</v>
      </c>
      <c r="Y169" t="s">
        <v>536</v>
      </c>
      <c r="Z169" t="s">
        <v>536</v>
      </c>
      <c r="AA169" t="s">
        <v>43</v>
      </c>
      <c r="AB169" t="s">
        <v>536</v>
      </c>
      <c r="AC169" t="s">
        <v>82</v>
      </c>
      <c r="AD169" t="s">
        <v>317</v>
      </c>
      <c r="AE169" t="s">
        <v>71</v>
      </c>
      <c r="AF169" t="s">
        <v>82</v>
      </c>
      <c r="AG169" t="s">
        <v>71</v>
      </c>
      <c r="AH169" t="s">
        <v>745</v>
      </c>
    </row>
    <row r="170" spans="1:34" x14ac:dyDescent="0.25">
      <c r="A170" t="s">
        <v>823</v>
      </c>
      <c r="B170" t="s">
        <v>287</v>
      </c>
      <c r="C170" t="s">
        <v>108</v>
      </c>
      <c r="D170" t="s">
        <v>37</v>
      </c>
      <c r="E170">
        <v>1</v>
      </c>
      <c r="F170">
        <v>0</v>
      </c>
      <c r="G170" t="s">
        <v>517</v>
      </c>
      <c r="H170" t="s">
        <v>398</v>
      </c>
      <c r="I170" t="s">
        <v>43</v>
      </c>
      <c r="J170" t="s">
        <v>43</v>
      </c>
      <c r="K170" t="s">
        <v>43</v>
      </c>
      <c r="L170" t="s">
        <v>43</v>
      </c>
      <c r="M170" t="s">
        <v>43</v>
      </c>
      <c r="N170" t="s">
        <v>43</v>
      </c>
      <c r="O170" t="s">
        <v>44</v>
      </c>
      <c r="P170" t="s">
        <v>43</v>
      </c>
      <c r="Q170" t="s">
        <v>82</v>
      </c>
      <c r="R170" t="s">
        <v>82</v>
      </c>
      <c r="S170" t="s">
        <v>43</v>
      </c>
      <c r="T170" t="s">
        <v>82</v>
      </c>
      <c r="U170" t="s">
        <v>43</v>
      </c>
      <c r="V170" t="s">
        <v>63</v>
      </c>
      <c r="W170" t="s">
        <v>43</v>
      </c>
      <c r="X170" t="s">
        <v>43</v>
      </c>
      <c r="Y170" t="s">
        <v>43</v>
      </c>
      <c r="Z170" t="s">
        <v>43</v>
      </c>
      <c r="AA170" t="s">
        <v>43</v>
      </c>
      <c r="AB170" t="s">
        <v>43</v>
      </c>
      <c r="AC170" t="s">
        <v>218</v>
      </c>
      <c r="AD170" t="s">
        <v>43</v>
      </c>
      <c r="AE170" t="s">
        <v>218</v>
      </c>
      <c r="AF170" t="s">
        <v>218</v>
      </c>
      <c r="AG170" t="s">
        <v>218</v>
      </c>
      <c r="AH170" t="s">
        <v>745</v>
      </c>
    </row>
    <row r="171" spans="1:34" x14ac:dyDescent="0.25">
      <c r="A171" t="s">
        <v>824</v>
      </c>
      <c r="B171" t="s">
        <v>85</v>
      </c>
      <c r="C171" t="s">
        <v>137</v>
      </c>
      <c r="D171" t="s">
        <v>62</v>
      </c>
      <c r="E171">
        <v>8</v>
      </c>
      <c r="F171">
        <v>0</v>
      </c>
      <c r="G171" t="s">
        <v>248</v>
      </c>
      <c r="H171" t="s">
        <v>70</v>
      </c>
      <c r="I171" t="s">
        <v>44</v>
      </c>
      <c r="J171" t="s">
        <v>43</v>
      </c>
      <c r="K171" t="s">
        <v>44</v>
      </c>
      <c r="L171" t="s">
        <v>44</v>
      </c>
      <c r="M171" t="s">
        <v>43</v>
      </c>
      <c r="N171" t="s">
        <v>43</v>
      </c>
      <c r="O171" t="s">
        <v>44</v>
      </c>
      <c r="P171" t="s">
        <v>43</v>
      </c>
      <c r="Q171" t="s">
        <v>241</v>
      </c>
      <c r="R171" t="s">
        <v>241</v>
      </c>
      <c r="S171" t="s">
        <v>43</v>
      </c>
      <c r="T171" t="s">
        <v>241</v>
      </c>
      <c r="U171" t="s">
        <v>43</v>
      </c>
      <c r="V171" t="s">
        <v>44</v>
      </c>
      <c r="W171" t="s">
        <v>114</v>
      </c>
      <c r="X171" t="s">
        <v>255</v>
      </c>
      <c r="Y171" t="s">
        <v>43</v>
      </c>
      <c r="Z171" t="s">
        <v>255</v>
      </c>
      <c r="AA171" t="s">
        <v>255</v>
      </c>
      <c r="AB171" t="s">
        <v>255</v>
      </c>
      <c r="AC171" t="s">
        <v>216</v>
      </c>
      <c r="AD171" t="s">
        <v>43</v>
      </c>
      <c r="AE171" t="s">
        <v>216</v>
      </c>
      <c r="AF171" t="s">
        <v>216</v>
      </c>
      <c r="AG171" t="s">
        <v>216</v>
      </c>
      <c r="AH171" t="s">
        <v>745</v>
      </c>
    </row>
    <row r="172" spans="1:34" x14ac:dyDescent="0.25">
      <c r="A172" t="s">
        <v>825</v>
      </c>
      <c r="B172" t="s">
        <v>57</v>
      </c>
      <c r="C172" t="s">
        <v>137</v>
      </c>
      <c r="D172" t="s">
        <v>62</v>
      </c>
      <c r="E172">
        <v>4</v>
      </c>
      <c r="F172">
        <v>0</v>
      </c>
      <c r="G172" t="s">
        <v>272</v>
      </c>
      <c r="H172" t="s">
        <v>241</v>
      </c>
      <c r="I172" t="s">
        <v>43</v>
      </c>
      <c r="J172" t="s">
        <v>43</v>
      </c>
      <c r="K172" t="s">
        <v>43</v>
      </c>
      <c r="L172" t="s">
        <v>43</v>
      </c>
      <c r="M172" t="s">
        <v>43</v>
      </c>
      <c r="N172" t="s">
        <v>43</v>
      </c>
      <c r="O172" t="s">
        <v>43</v>
      </c>
      <c r="P172" t="s">
        <v>43</v>
      </c>
      <c r="Q172" t="s">
        <v>43</v>
      </c>
      <c r="R172" t="s">
        <v>43</v>
      </c>
      <c r="S172" t="s">
        <v>43</v>
      </c>
      <c r="T172" t="s">
        <v>43</v>
      </c>
      <c r="U172" t="s">
        <v>43</v>
      </c>
      <c r="V172" t="s">
        <v>44</v>
      </c>
      <c r="W172" t="s">
        <v>83</v>
      </c>
      <c r="X172" t="s">
        <v>43</v>
      </c>
      <c r="Y172" t="s">
        <v>43</v>
      </c>
      <c r="Z172" t="s">
        <v>43</v>
      </c>
      <c r="AA172" t="s">
        <v>43</v>
      </c>
      <c r="AB172" t="s">
        <v>43</v>
      </c>
      <c r="AC172" t="s">
        <v>43</v>
      </c>
      <c r="AD172" t="s">
        <v>43</v>
      </c>
      <c r="AE172" t="s">
        <v>43</v>
      </c>
      <c r="AF172" t="s">
        <v>43</v>
      </c>
      <c r="AG172" t="s">
        <v>43</v>
      </c>
      <c r="AH172" t="s">
        <v>745</v>
      </c>
    </row>
    <row r="173" spans="1:34" x14ac:dyDescent="0.25">
      <c r="A173" t="s">
        <v>826</v>
      </c>
      <c r="B173" t="s">
        <v>57</v>
      </c>
      <c r="C173" t="s">
        <v>36</v>
      </c>
      <c r="D173" t="s">
        <v>127</v>
      </c>
      <c r="E173">
        <v>2</v>
      </c>
      <c r="F173">
        <v>0</v>
      </c>
      <c r="G173" t="s">
        <v>83</v>
      </c>
      <c r="H173" t="s">
        <v>43</v>
      </c>
      <c r="I173" t="s">
        <v>43</v>
      </c>
      <c r="J173" t="s">
        <v>43</v>
      </c>
      <c r="K173" t="s">
        <v>43</v>
      </c>
      <c r="L173" t="s">
        <v>43</v>
      </c>
      <c r="M173" t="s">
        <v>43</v>
      </c>
      <c r="N173" t="s">
        <v>43</v>
      </c>
      <c r="O173" t="s">
        <v>43</v>
      </c>
      <c r="P173" t="s">
        <v>43</v>
      </c>
      <c r="Q173" t="s">
        <v>43</v>
      </c>
      <c r="R173" t="s">
        <v>43</v>
      </c>
      <c r="S173" t="s">
        <v>43</v>
      </c>
      <c r="T173" t="s">
        <v>43</v>
      </c>
      <c r="U173" t="s">
        <v>63</v>
      </c>
      <c r="V173" t="s">
        <v>44</v>
      </c>
      <c r="W173" t="s">
        <v>63</v>
      </c>
      <c r="X173" t="s">
        <v>43</v>
      </c>
      <c r="Y173" t="s">
        <v>43</v>
      </c>
      <c r="Z173" t="s">
        <v>43</v>
      </c>
      <c r="AA173" t="s">
        <v>43</v>
      </c>
      <c r="AB173" t="s">
        <v>43</v>
      </c>
      <c r="AC173" t="s">
        <v>43</v>
      </c>
      <c r="AD173" t="s">
        <v>43</v>
      </c>
      <c r="AE173" t="s">
        <v>43</v>
      </c>
      <c r="AF173" t="s">
        <v>43</v>
      </c>
      <c r="AG173" t="s">
        <v>43</v>
      </c>
      <c r="AH173" t="s">
        <v>745</v>
      </c>
    </row>
    <row r="174" spans="1:34" x14ac:dyDescent="0.25">
      <c r="A174" t="s">
        <v>827</v>
      </c>
      <c r="B174" t="s">
        <v>57</v>
      </c>
      <c r="C174" t="s">
        <v>137</v>
      </c>
      <c r="D174" t="s">
        <v>203</v>
      </c>
      <c r="E174">
        <v>3</v>
      </c>
      <c r="F174">
        <v>0</v>
      </c>
      <c r="G174" t="s">
        <v>114</v>
      </c>
      <c r="H174" t="s">
        <v>43</v>
      </c>
      <c r="I174" t="s">
        <v>43</v>
      </c>
      <c r="J174" t="s">
        <v>43</v>
      </c>
      <c r="K174" t="s">
        <v>43</v>
      </c>
      <c r="L174" t="s">
        <v>43</v>
      </c>
      <c r="M174" t="s">
        <v>43</v>
      </c>
      <c r="N174" t="s">
        <v>43</v>
      </c>
      <c r="O174" t="s">
        <v>44</v>
      </c>
      <c r="P174" t="s">
        <v>43</v>
      </c>
      <c r="Q174" t="s">
        <v>43</v>
      </c>
      <c r="R174" t="s">
        <v>43</v>
      </c>
      <c r="S174" t="s">
        <v>43</v>
      </c>
      <c r="T174" t="s">
        <v>43</v>
      </c>
      <c r="U174" t="s">
        <v>43</v>
      </c>
      <c r="V174" t="s">
        <v>43</v>
      </c>
      <c r="W174" t="s">
        <v>43</v>
      </c>
      <c r="X174" t="s">
        <v>43</v>
      </c>
      <c r="Y174" t="s">
        <v>43</v>
      </c>
      <c r="Z174" t="s">
        <v>43</v>
      </c>
      <c r="AA174" t="s">
        <v>43</v>
      </c>
      <c r="AB174" t="s">
        <v>43</v>
      </c>
      <c r="AC174" t="s">
        <v>43</v>
      </c>
      <c r="AD174" t="s">
        <v>43</v>
      </c>
      <c r="AE174" t="s">
        <v>43</v>
      </c>
      <c r="AF174" t="s">
        <v>43</v>
      </c>
      <c r="AG174" t="s">
        <v>43</v>
      </c>
      <c r="AH174" t="s">
        <v>745</v>
      </c>
    </row>
    <row r="175" spans="1:34" x14ac:dyDescent="0.25">
      <c r="A175" t="s">
        <v>828</v>
      </c>
      <c r="B175" t="s">
        <v>418</v>
      </c>
      <c r="C175" t="s">
        <v>77</v>
      </c>
      <c r="D175" t="s">
        <v>37</v>
      </c>
      <c r="E175">
        <v>38</v>
      </c>
      <c r="F175">
        <v>38</v>
      </c>
      <c r="G175" t="s">
        <v>437</v>
      </c>
      <c r="H175" t="s">
        <v>227</v>
      </c>
      <c r="I175" t="s">
        <v>43</v>
      </c>
      <c r="J175" t="s">
        <v>43</v>
      </c>
      <c r="K175" t="s">
        <v>43</v>
      </c>
      <c r="L175" t="s">
        <v>43</v>
      </c>
      <c r="M175" t="s">
        <v>43</v>
      </c>
      <c r="N175" t="s">
        <v>43</v>
      </c>
      <c r="O175" t="s">
        <v>81</v>
      </c>
      <c r="P175" t="s">
        <v>43</v>
      </c>
      <c r="Q175" t="s">
        <v>43</v>
      </c>
      <c r="R175" t="s">
        <v>43</v>
      </c>
      <c r="S175" t="s">
        <v>82</v>
      </c>
      <c r="T175" t="s">
        <v>82</v>
      </c>
      <c r="U175" t="s">
        <v>44</v>
      </c>
      <c r="V175" t="s">
        <v>81</v>
      </c>
      <c r="W175" t="s">
        <v>43</v>
      </c>
      <c r="X175" t="s">
        <v>43</v>
      </c>
      <c r="Y175" t="s">
        <v>43</v>
      </c>
      <c r="Z175" t="s">
        <v>43</v>
      </c>
      <c r="AA175" t="s">
        <v>43</v>
      </c>
      <c r="AB175" t="s">
        <v>43</v>
      </c>
      <c r="AC175" t="s">
        <v>43</v>
      </c>
      <c r="AD175" t="s">
        <v>43</v>
      </c>
      <c r="AE175" t="s">
        <v>43</v>
      </c>
      <c r="AF175" t="s">
        <v>43</v>
      </c>
      <c r="AG175" t="s">
        <v>43</v>
      </c>
      <c r="AH175" t="s">
        <v>829</v>
      </c>
    </row>
    <row r="176" spans="1:34" x14ac:dyDescent="0.25">
      <c r="A176" t="s">
        <v>830</v>
      </c>
      <c r="B176" t="s">
        <v>122</v>
      </c>
      <c r="C176" t="s">
        <v>108</v>
      </c>
      <c r="D176" t="s">
        <v>201</v>
      </c>
      <c r="E176">
        <v>36</v>
      </c>
      <c r="F176">
        <v>35</v>
      </c>
      <c r="G176" t="s">
        <v>831</v>
      </c>
      <c r="H176" t="s">
        <v>281</v>
      </c>
      <c r="I176" t="s">
        <v>63</v>
      </c>
      <c r="J176" t="s">
        <v>114</v>
      </c>
      <c r="K176" t="s">
        <v>81</v>
      </c>
      <c r="L176" t="s">
        <v>63</v>
      </c>
      <c r="M176" t="s">
        <v>43</v>
      </c>
      <c r="N176" t="s">
        <v>43</v>
      </c>
      <c r="O176" t="s">
        <v>126</v>
      </c>
      <c r="P176" t="s">
        <v>44</v>
      </c>
      <c r="Q176" t="s">
        <v>164</v>
      </c>
      <c r="R176" t="s">
        <v>164</v>
      </c>
      <c r="S176" t="s">
        <v>224</v>
      </c>
      <c r="T176" t="s">
        <v>210</v>
      </c>
      <c r="U176" t="s">
        <v>582</v>
      </c>
      <c r="V176" t="s">
        <v>802</v>
      </c>
      <c r="W176" t="s">
        <v>234</v>
      </c>
      <c r="X176" t="s">
        <v>169</v>
      </c>
      <c r="Y176" t="s">
        <v>120</v>
      </c>
      <c r="Z176" t="s">
        <v>218</v>
      </c>
      <c r="AA176" t="s">
        <v>169</v>
      </c>
      <c r="AB176" t="s">
        <v>218</v>
      </c>
      <c r="AC176" t="s">
        <v>168</v>
      </c>
      <c r="AD176" t="s">
        <v>242</v>
      </c>
      <c r="AE176" t="s">
        <v>118</v>
      </c>
      <c r="AF176" t="s">
        <v>168</v>
      </c>
      <c r="AG176" t="s">
        <v>118</v>
      </c>
      <c r="AH176" t="s">
        <v>829</v>
      </c>
    </row>
    <row r="177" spans="1:34" x14ac:dyDescent="0.25">
      <c r="A177" t="s">
        <v>832</v>
      </c>
      <c r="B177" t="s">
        <v>122</v>
      </c>
      <c r="C177" t="s">
        <v>86</v>
      </c>
      <c r="D177" t="s">
        <v>123</v>
      </c>
      <c r="E177">
        <v>35</v>
      </c>
      <c r="F177">
        <v>35</v>
      </c>
      <c r="G177" t="s">
        <v>833</v>
      </c>
      <c r="H177" t="s">
        <v>834</v>
      </c>
      <c r="I177" t="s">
        <v>231</v>
      </c>
      <c r="J177" t="s">
        <v>40</v>
      </c>
      <c r="K177" t="s">
        <v>203</v>
      </c>
      <c r="L177" t="s">
        <v>126</v>
      </c>
      <c r="M177" t="s">
        <v>83</v>
      </c>
      <c r="N177" t="s">
        <v>81</v>
      </c>
      <c r="O177" t="s">
        <v>41</v>
      </c>
      <c r="P177" t="s">
        <v>43</v>
      </c>
      <c r="Q177" t="s">
        <v>231</v>
      </c>
      <c r="R177" t="s">
        <v>487</v>
      </c>
      <c r="S177" t="s">
        <v>240</v>
      </c>
      <c r="T177" t="s">
        <v>835</v>
      </c>
      <c r="U177" t="s">
        <v>601</v>
      </c>
      <c r="V177" t="s">
        <v>534</v>
      </c>
      <c r="W177" t="s">
        <v>836</v>
      </c>
      <c r="X177" t="s">
        <v>236</v>
      </c>
      <c r="Y177" t="s">
        <v>402</v>
      </c>
      <c r="Z177" t="s">
        <v>52</v>
      </c>
      <c r="AA177" t="s">
        <v>215</v>
      </c>
      <c r="AB177" t="s">
        <v>112</v>
      </c>
      <c r="AC177" t="s">
        <v>236</v>
      </c>
      <c r="AD177" t="s">
        <v>616</v>
      </c>
      <c r="AE177" t="s">
        <v>569</v>
      </c>
      <c r="AF177" t="s">
        <v>151</v>
      </c>
      <c r="AG177" t="s">
        <v>617</v>
      </c>
      <c r="AH177" t="s">
        <v>829</v>
      </c>
    </row>
    <row r="178" spans="1:34" x14ac:dyDescent="0.25">
      <c r="A178" t="s">
        <v>837</v>
      </c>
      <c r="B178" t="s">
        <v>85</v>
      </c>
      <c r="C178" t="s">
        <v>137</v>
      </c>
      <c r="D178" t="s">
        <v>62</v>
      </c>
      <c r="E178">
        <v>36</v>
      </c>
      <c r="F178">
        <v>30</v>
      </c>
      <c r="G178" t="s">
        <v>838</v>
      </c>
      <c r="H178" t="s">
        <v>839</v>
      </c>
      <c r="I178" t="s">
        <v>142</v>
      </c>
      <c r="J178" t="s">
        <v>83</v>
      </c>
      <c r="K178" t="s">
        <v>89</v>
      </c>
      <c r="L178" t="s">
        <v>142</v>
      </c>
      <c r="M178" t="s">
        <v>43</v>
      </c>
      <c r="N178" t="s">
        <v>43</v>
      </c>
      <c r="O178" t="s">
        <v>83</v>
      </c>
      <c r="P178" t="s">
        <v>43</v>
      </c>
      <c r="Q178" t="s">
        <v>65</v>
      </c>
      <c r="R178" t="s">
        <v>840</v>
      </c>
      <c r="S178" t="s">
        <v>841</v>
      </c>
      <c r="T178" t="s">
        <v>707</v>
      </c>
      <c r="U178" t="s">
        <v>842</v>
      </c>
      <c r="V178" t="s">
        <v>541</v>
      </c>
      <c r="W178" t="s">
        <v>843</v>
      </c>
      <c r="X178" t="s">
        <v>50</v>
      </c>
      <c r="Y178" t="s">
        <v>218</v>
      </c>
      <c r="Z178" t="s">
        <v>105</v>
      </c>
      <c r="AA178" t="s">
        <v>50</v>
      </c>
      <c r="AB178" t="s">
        <v>105</v>
      </c>
      <c r="AC178" t="s">
        <v>236</v>
      </c>
      <c r="AD178" t="s">
        <v>151</v>
      </c>
      <c r="AE178" t="s">
        <v>451</v>
      </c>
      <c r="AF178" t="s">
        <v>236</v>
      </c>
      <c r="AG178" t="s">
        <v>451</v>
      </c>
      <c r="AH178" t="s">
        <v>829</v>
      </c>
    </row>
    <row r="179" spans="1:34" x14ac:dyDescent="0.25">
      <c r="A179" t="s">
        <v>844</v>
      </c>
      <c r="B179" t="s">
        <v>57</v>
      </c>
      <c r="C179" t="s">
        <v>137</v>
      </c>
      <c r="D179" t="s">
        <v>268</v>
      </c>
      <c r="E179">
        <v>33</v>
      </c>
      <c r="F179">
        <v>26</v>
      </c>
      <c r="G179" t="s">
        <v>845</v>
      </c>
      <c r="H179" t="s">
        <v>846</v>
      </c>
      <c r="I179" t="s">
        <v>142</v>
      </c>
      <c r="J179" t="s">
        <v>63</v>
      </c>
      <c r="K179" t="s">
        <v>41</v>
      </c>
      <c r="L179" t="s">
        <v>81</v>
      </c>
      <c r="M179" t="s">
        <v>63</v>
      </c>
      <c r="N179" t="s">
        <v>63</v>
      </c>
      <c r="O179" t="s">
        <v>63</v>
      </c>
      <c r="P179" t="s">
        <v>43</v>
      </c>
      <c r="Q179" t="s">
        <v>446</v>
      </c>
      <c r="R179" t="s">
        <v>337</v>
      </c>
      <c r="S179" t="s">
        <v>327</v>
      </c>
      <c r="T179" t="s">
        <v>787</v>
      </c>
      <c r="U179" t="s">
        <v>847</v>
      </c>
      <c r="V179" t="s">
        <v>490</v>
      </c>
      <c r="W179" t="s">
        <v>848</v>
      </c>
      <c r="X179" t="s">
        <v>51</v>
      </c>
      <c r="Y179" t="s">
        <v>242</v>
      </c>
      <c r="Z179" t="s">
        <v>250</v>
      </c>
      <c r="AA179" t="s">
        <v>241</v>
      </c>
      <c r="AB179" t="s">
        <v>51</v>
      </c>
      <c r="AC179" t="s">
        <v>236</v>
      </c>
      <c r="AD179" t="s">
        <v>120</v>
      </c>
      <c r="AE179" t="s">
        <v>510</v>
      </c>
      <c r="AF179" t="s">
        <v>402</v>
      </c>
      <c r="AG179" t="s">
        <v>466</v>
      </c>
      <c r="AH179" t="s">
        <v>829</v>
      </c>
    </row>
    <row r="180" spans="1:34" x14ac:dyDescent="0.25">
      <c r="A180" t="s">
        <v>849</v>
      </c>
      <c r="B180" t="s">
        <v>804</v>
      </c>
      <c r="C180" t="s">
        <v>137</v>
      </c>
      <c r="D180" t="s">
        <v>141</v>
      </c>
      <c r="E180">
        <v>30</v>
      </c>
      <c r="F180">
        <v>25</v>
      </c>
      <c r="G180" t="s">
        <v>850</v>
      </c>
      <c r="H180" t="s">
        <v>201</v>
      </c>
      <c r="I180" t="s">
        <v>231</v>
      </c>
      <c r="J180" t="s">
        <v>63</v>
      </c>
      <c r="K180" t="s">
        <v>276</v>
      </c>
      <c r="L180" t="s">
        <v>231</v>
      </c>
      <c r="M180" t="s">
        <v>43</v>
      </c>
      <c r="N180" t="s">
        <v>43</v>
      </c>
      <c r="O180" t="s">
        <v>63</v>
      </c>
      <c r="P180" t="s">
        <v>43</v>
      </c>
      <c r="Q180" t="s">
        <v>129</v>
      </c>
      <c r="R180" t="s">
        <v>129</v>
      </c>
      <c r="S180" t="s">
        <v>223</v>
      </c>
      <c r="T180" t="s">
        <v>548</v>
      </c>
      <c r="U180" t="s">
        <v>180</v>
      </c>
      <c r="V180" t="s">
        <v>109</v>
      </c>
      <c r="W180" t="s">
        <v>234</v>
      </c>
      <c r="X180" t="s">
        <v>318</v>
      </c>
      <c r="Y180" t="s">
        <v>242</v>
      </c>
      <c r="Z180" t="s">
        <v>176</v>
      </c>
      <c r="AA180" t="s">
        <v>318</v>
      </c>
      <c r="AB180" t="s">
        <v>176</v>
      </c>
      <c r="AC180" t="s">
        <v>466</v>
      </c>
      <c r="AD180" t="s">
        <v>181</v>
      </c>
      <c r="AE180" t="s">
        <v>510</v>
      </c>
      <c r="AF180" t="s">
        <v>466</v>
      </c>
      <c r="AG180" t="s">
        <v>510</v>
      </c>
      <c r="AH180" t="s">
        <v>829</v>
      </c>
    </row>
    <row r="181" spans="1:34" x14ac:dyDescent="0.25">
      <c r="A181" t="s">
        <v>851</v>
      </c>
      <c r="B181" t="s">
        <v>76</v>
      </c>
      <c r="C181" t="s">
        <v>524</v>
      </c>
      <c r="D181" t="s">
        <v>304</v>
      </c>
      <c r="E181">
        <v>25</v>
      </c>
      <c r="F181">
        <v>24</v>
      </c>
      <c r="G181" t="s">
        <v>852</v>
      </c>
      <c r="H181" t="s">
        <v>272</v>
      </c>
      <c r="I181" t="s">
        <v>44</v>
      </c>
      <c r="J181" t="s">
        <v>63</v>
      </c>
      <c r="K181" t="s">
        <v>114</v>
      </c>
      <c r="L181" t="s">
        <v>44</v>
      </c>
      <c r="M181" t="s">
        <v>43</v>
      </c>
      <c r="N181" t="s">
        <v>43</v>
      </c>
      <c r="O181" t="s">
        <v>142</v>
      </c>
      <c r="P181" t="s">
        <v>43</v>
      </c>
      <c r="Q181" t="s">
        <v>406</v>
      </c>
      <c r="R181" t="s">
        <v>406</v>
      </c>
      <c r="S181" t="s">
        <v>44</v>
      </c>
      <c r="T181" t="s">
        <v>189</v>
      </c>
      <c r="U181" t="s">
        <v>276</v>
      </c>
      <c r="V181" t="s">
        <v>574</v>
      </c>
      <c r="W181" t="s">
        <v>180</v>
      </c>
      <c r="X181" t="s">
        <v>168</v>
      </c>
      <c r="Y181" t="s">
        <v>120</v>
      </c>
      <c r="Z181" t="s">
        <v>218</v>
      </c>
      <c r="AA181" t="s">
        <v>168</v>
      </c>
      <c r="AB181" t="s">
        <v>218</v>
      </c>
      <c r="AC181" t="s">
        <v>205</v>
      </c>
      <c r="AD181" t="s">
        <v>168</v>
      </c>
      <c r="AE181" t="s">
        <v>241</v>
      </c>
      <c r="AF181" t="s">
        <v>205</v>
      </c>
      <c r="AG181" t="s">
        <v>241</v>
      </c>
      <c r="AH181" t="s">
        <v>829</v>
      </c>
    </row>
    <row r="182" spans="1:34" x14ac:dyDescent="0.25">
      <c r="A182" t="s">
        <v>853</v>
      </c>
      <c r="B182" t="s">
        <v>57</v>
      </c>
      <c r="C182" t="s">
        <v>36</v>
      </c>
      <c r="D182" t="s">
        <v>203</v>
      </c>
      <c r="E182">
        <v>24</v>
      </c>
      <c r="F182">
        <v>24</v>
      </c>
      <c r="G182" t="s">
        <v>854</v>
      </c>
      <c r="H182" t="s">
        <v>855</v>
      </c>
      <c r="I182" t="s">
        <v>114</v>
      </c>
      <c r="J182" t="s">
        <v>44</v>
      </c>
      <c r="K182" t="s">
        <v>83</v>
      </c>
      <c r="L182" t="s">
        <v>114</v>
      </c>
      <c r="M182" t="s">
        <v>43</v>
      </c>
      <c r="N182" t="s">
        <v>43</v>
      </c>
      <c r="O182" t="s">
        <v>114</v>
      </c>
      <c r="P182" t="s">
        <v>43</v>
      </c>
      <c r="Q182" t="s">
        <v>398</v>
      </c>
      <c r="R182" t="s">
        <v>398</v>
      </c>
      <c r="S182" t="s">
        <v>378</v>
      </c>
      <c r="T182" t="s">
        <v>223</v>
      </c>
      <c r="U182" t="s">
        <v>268</v>
      </c>
      <c r="V182" t="s">
        <v>94</v>
      </c>
      <c r="W182" t="s">
        <v>180</v>
      </c>
      <c r="X182" t="s">
        <v>218</v>
      </c>
      <c r="Y182" t="s">
        <v>168</v>
      </c>
      <c r="Z182" t="s">
        <v>194</v>
      </c>
      <c r="AA182" t="s">
        <v>218</v>
      </c>
      <c r="AB182" t="s">
        <v>194</v>
      </c>
      <c r="AC182" t="s">
        <v>193</v>
      </c>
      <c r="AD182" t="s">
        <v>358</v>
      </c>
      <c r="AE182" t="s">
        <v>181</v>
      </c>
      <c r="AF182" t="s">
        <v>193</v>
      </c>
      <c r="AG182" t="s">
        <v>181</v>
      </c>
      <c r="AH182" t="s">
        <v>829</v>
      </c>
    </row>
    <row r="183" spans="1:34" x14ac:dyDescent="0.25">
      <c r="A183" t="s">
        <v>856</v>
      </c>
      <c r="B183" t="s">
        <v>57</v>
      </c>
      <c r="C183" t="s">
        <v>108</v>
      </c>
      <c r="D183" t="s">
        <v>268</v>
      </c>
      <c r="E183">
        <v>22</v>
      </c>
      <c r="F183">
        <v>20</v>
      </c>
      <c r="G183" t="s">
        <v>857</v>
      </c>
      <c r="H183" t="s">
        <v>367</v>
      </c>
      <c r="I183" t="s">
        <v>43</v>
      </c>
      <c r="J183" t="s">
        <v>63</v>
      </c>
      <c r="K183" t="s">
        <v>63</v>
      </c>
      <c r="L183" t="s">
        <v>43</v>
      </c>
      <c r="M183" t="s">
        <v>43</v>
      </c>
      <c r="N183" t="s">
        <v>43</v>
      </c>
      <c r="O183" t="s">
        <v>83</v>
      </c>
      <c r="P183" t="s">
        <v>43</v>
      </c>
      <c r="Q183" t="s">
        <v>82</v>
      </c>
      <c r="R183" t="s">
        <v>82</v>
      </c>
      <c r="S183" t="s">
        <v>416</v>
      </c>
      <c r="T183" t="s">
        <v>223</v>
      </c>
      <c r="U183" t="s">
        <v>263</v>
      </c>
      <c r="V183" t="s">
        <v>517</v>
      </c>
      <c r="W183" t="s">
        <v>346</v>
      </c>
      <c r="X183" t="s">
        <v>43</v>
      </c>
      <c r="Y183" t="s">
        <v>82</v>
      </c>
      <c r="Z183" t="s">
        <v>82</v>
      </c>
      <c r="AA183" t="s">
        <v>43</v>
      </c>
      <c r="AB183" t="s">
        <v>82</v>
      </c>
      <c r="AC183" t="s">
        <v>119</v>
      </c>
      <c r="AD183" t="s">
        <v>242</v>
      </c>
      <c r="AE183" t="s">
        <v>242</v>
      </c>
      <c r="AF183" t="s">
        <v>119</v>
      </c>
      <c r="AG183" t="s">
        <v>242</v>
      </c>
      <c r="AH183" t="s">
        <v>829</v>
      </c>
    </row>
    <row r="184" spans="1:34" x14ac:dyDescent="0.25">
      <c r="A184" t="s">
        <v>858</v>
      </c>
      <c r="B184" t="s">
        <v>360</v>
      </c>
      <c r="C184" t="s">
        <v>86</v>
      </c>
      <c r="D184" t="s">
        <v>148</v>
      </c>
      <c r="E184">
        <v>32</v>
      </c>
      <c r="F184">
        <v>18</v>
      </c>
      <c r="G184" t="s">
        <v>859</v>
      </c>
      <c r="H184" t="s">
        <v>860</v>
      </c>
      <c r="I184" t="s">
        <v>142</v>
      </c>
      <c r="J184" t="s">
        <v>44</v>
      </c>
      <c r="K184" t="s">
        <v>40</v>
      </c>
      <c r="L184" t="s">
        <v>142</v>
      </c>
      <c r="M184" t="s">
        <v>43</v>
      </c>
      <c r="N184" t="s">
        <v>43</v>
      </c>
      <c r="O184" t="s">
        <v>63</v>
      </c>
      <c r="P184" t="s">
        <v>43</v>
      </c>
      <c r="Q184" t="s">
        <v>290</v>
      </c>
      <c r="R184" t="s">
        <v>290</v>
      </c>
      <c r="S184" t="s">
        <v>259</v>
      </c>
      <c r="T184" t="s">
        <v>672</v>
      </c>
      <c r="U184" t="s">
        <v>78</v>
      </c>
      <c r="V184" t="s">
        <v>94</v>
      </c>
      <c r="W184" t="s">
        <v>233</v>
      </c>
      <c r="X184" t="s">
        <v>72</v>
      </c>
      <c r="Y184" t="s">
        <v>168</v>
      </c>
      <c r="Z184" t="s">
        <v>510</v>
      </c>
      <c r="AA184" t="s">
        <v>72</v>
      </c>
      <c r="AB184" t="s">
        <v>510</v>
      </c>
      <c r="AC184" t="s">
        <v>98</v>
      </c>
      <c r="AD184" t="s">
        <v>193</v>
      </c>
      <c r="AE184" t="s">
        <v>100</v>
      </c>
      <c r="AF184" t="s">
        <v>98</v>
      </c>
      <c r="AG184" t="s">
        <v>100</v>
      </c>
      <c r="AH184" t="s">
        <v>829</v>
      </c>
    </row>
    <row r="185" spans="1:34" x14ac:dyDescent="0.25">
      <c r="A185" t="s">
        <v>861</v>
      </c>
      <c r="B185" t="s">
        <v>57</v>
      </c>
      <c r="C185" t="s">
        <v>108</v>
      </c>
      <c r="D185" t="s">
        <v>263</v>
      </c>
      <c r="E185">
        <v>22</v>
      </c>
      <c r="F185">
        <v>18</v>
      </c>
      <c r="G185" t="s">
        <v>862</v>
      </c>
      <c r="H185" t="s">
        <v>863</v>
      </c>
      <c r="I185" t="s">
        <v>63</v>
      </c>
      <c r="J185" t="s">
        <v>63</v>
      </c>
      <c r="K185" t="s">
        <v>83</v>
      </c>
      <c r="L185" t="s">
        <v>63</v>
      </c>
      <c r="M185" t="s">
        <v>43</v>
      </c>
      <c r="N185" t="s">
        <v>43</v>
      </c>
      <c r="O185" t="s">
        <v>83</v>
      </c>
      <c r="P185" t="s">
        <v>43</v>
      </c>
      <c r="Q185" t="s">
        <v>63</v>
      </c>
      <c r="R185" t="s">
        <v>63</v>
      </c>
      <c r="S185" t="s">
        <v>200</v>
      </c>
      <c r="T185" t="s">
        <v>382</v>
      </c>
      <c r="U185" t="s">
        <v>141</v>
      </c>
      <c r="V185" t="s">
        <v>425</v>
      </c>
      <c r="W185" t="s">
        <v>63</v>
      </c>
      <c r="X185" t="s">
        <v>204</v>
      </c>
      <c r="Y185" t="s">
        <v>204</v>
      </c>
      <c r="Z185" t="s">
        <v>103</v>
      </c>
      <c r="AA185" t="s">
        <v>204</v>
      </c>
      <c r="AB185" t="s">
        <v>103</v>
      </c>
      <c r="AC185" t="s">
        <v>204</v>
      </c>
      <c r="AD185" t="s">
        <v>181</v>
      </c>
      <c r="AE185" t="s">
        <v>151</v>
      </c>
      <c r="AF185" t="s">
        <v>204</v>
      </c>
      <c r="AG185" t="s">
        <v>151</v>
      </c>
      <c r="AH185" t="s">
        <v>829</v>
      </c>
    </row>
    <row r="186" spans="1:34" x14ac:dyDescent="0.25">
      <c r="A186" t="s">
        <v>864</v>
      </c>
      <c r="B186" t="s">
        <v>376</v>
      </c>
      <c r="C186" t="s">
        <v>108</v>
      </c>
      <c r="D186" t="s">
        <v>263</v>
      </c>
      <c r="E186">
        <v>22</v>
      </c>
      <c r="F186">
        <v>16</v>
      </c>
      <c r="G186" t="s">
        <v>865</v>
      </c>
      <c r="H186" t="s">
        <v>696</v>
      </c>
      <c r="I186" t="s">
        <v>44</v>
      </c>
      <c r="J186" t="s">
        <v>43</v>
      </c>
      <c r="K186" t="s">
        <v>44</v>
      </c>
      <c r="L186" t="s">
        <v>44</v>
      </c>
      <c r="M186" t="s">
        <v>43</v>
      </c>
      <c r="N186" t="s">
        <v>43</v>
      </c>
      <c r="O186" t="s">
        <v>63</v>
      </c>
      <c r="P186" t="s">
        <v>43</v>
      </c>
      <c r="Q186" t="s">
        <v>222</v>
      </c>
      <c r="R186" t="s">
        <v>222</v>
      </c>
      <c r="S186" t="s">
        <v>82</v>
      </c>
      <c r="T186" t="s">
        <v>222</v>
      </c>
      <c r="U186" t="s">
        <v>167</v>
      </c>
      <c r="V186" t="s">
        <v>623</v>
      </c>
      <c r="W186" t="s">
        <v>63</v>
      </c>
      <c r="X186" t="s">
        <v>181</v>
      </c>
      <c r="Y186" t="s">
        <v>43</v>
      </c>
      <c r="Z186" t="s">
        <v>181</v>
      </c>
      <c r="AA186" t="s">
        <v>181</v>
      </c>
      <c r="AB186" t="s">
        <v>181</v>
      </c>
      <c r="AC186" t="s">
        <v>242</v>
      </c>
      <c r="AD186" t="s">
        <v>43</v>
      </c>
      <c r="AE186" t="s">
        <v>120</v>
      </c>
      <c r="AF186" t="s">
        <v>242</v>
      </c>
      <c r="AG186" t="s">
        <v>120</v>
      </c>
      <c r="AH186" t="s">
        <v>829</v>
      </c>
    </row>
    <row r="187" spans="1:34" x14ac:dyDescent="0.25">
      <c r="A187" t="s">
        <v>866</v>
      </c>
      <c r="B187" t="s">
        <v>414</v>
      </c>
      <c r="C187" t="s">
        <v>108</v>
      </c>
      <c r="D187" t="s">
        <v>147</v>
      </c>
      <c r="E187">
        <v>23</v>
      </c>
      <c r="F187">
        <v>15</v>
      </c>
      <c r="G187" t="s">
        <v>867</v>
      </c>
      <c r="H187" t="s">
        <v>308</v>
      </c>
      <c r="I187" t="s">
        <v>43</v>
      </c>
      <c r="J187" t="s">
        <v>44</v>
      </c>
      <c r="K187" t="s">
        <v>44</v>
      </c>
      <c r="L187" t="s">
        <v>43</v>
      </c>
      <c r="M187" t="s">
        <v>43</v>
      </c>
      <c r="N187" t="s">
        <v>43</v>
      </c>
      <c r="O187" t="s">
        <v>63</v>
      </c>
      <c r="P187" t="s">
        <v>43</v>
      </c>
      <c r="Q187" t="s">
        <v>82</v>
      </c>
      <c r="R187" t="s">
        <v>82</v>
      </c>
      <c r="S187" t="s">
        <v>200</v>
      </c>
      <c r="T187" t="s">
        <v>200</v>
      </c>
      <c r="U187" t="s">
        <v>142</v>
      </c>
      <c r="V187" t="s">
        <v>225</v>
      </c>
      <c r="W187" t="s">
        <v>44</v>
      </c>
      <c r="X187" t="s">
        <v>43</v>
      </c>
      <c r="Y187" t="s">
        <v>169</v>
      </c>
      <c r="Z187" t="s">
        <v>169</v>
      </c>
      <c r="AA187" t="s">
        <v>43</v>
      </c>
      <c r="AB187" t="s">
        <v>169</v>
      </c>
      <c r="AC187" t="s">
        <v>43</v>
      </c>
      <c r="AD187" t="s">
        <v>242</v>
      </c>
      <c r="AE187" t="s">
        <v>242</v>
      </c>
      <c r="AF187" t="s">
        <v>43</v>
      </c>
      <c r="AG187" t="s">
        <v>242</v>
      </c>
      <c r="AH187" t="s">
        <v>829</v>
      </c>
    </row>
    <row r="188" spans="1:34" x14ac:dyDescent="0.25">
      <c r="A188" t="s">
        <v>868</v>
      </c>
      <c r="B188" t="s">
        <v>76</v>
      </c>
      <c r="C188" t="s">
        <v>137</v>
      </c>
      <c r="D188" t="s">
        <v>59</v>
      </c>
      <c r="E188">
        <v>29</v>
      </c>
      <c r="F188">
        <v>15</v>
      </c>
      <c r="G188" t="s">
        <v>869</v>
      </c>
      <c r="H188" t="s">
        <v>870</v>
      </c>
      <c r="I188" t="s">
        <v>44</v>
      </c>
      <c r="J188" t="s">
        <v>44</v>
      </c>
      <c r="K188" t="s">
        <v>63</v>
      </c>
      <c r="L188" t="s">
        <v>44</v>
      </c>
      <c r="M188" t="s">
        <v>43</v>
      </c>
      <c r="N188" t="s">
        <v>43</v>
      </c>
      <c r="O188" t="s">
        <v>81</v>
      </c>
      <c r="P188" t="s">
        <v>43</v>
      </c>
      <c r="Q188" t="s">
        <v>267</v>
      </c>
      <c r="R188" t="s">
        <v>267</v>
      </c>
      <c r="S188" t="s">
        <v>282</v>
      </c>
      <c r="T188" t="s">
        <v>487</v>
      </c>
      <c r="U188" t="s">
        <v>273</v>
      </c>
      <c r="V188" t="s">
        <v>94</v>
      </c>
      <c r="W188" t="s">
        <v>871</v>
      </c>
      <c r="X188" t="s">
        <v>181</v>
      </c>
      <c r="Y188" t="s">
        <v>181</v>
      </c>
      <c r="Z188" t="s">
        <v>218</v>
      </c>
      <c r="AA188" t="s">
        <v>181</v>
      </c>
      <c r="AB188" t="s">
        <v>218</v>
      </c>
      <c r="AC188" t="s">
        <v>402</v>
      </c>
      <c r="AD188" t="s">
        <v>194</v>
      </c>
      <c r="AE188" t="s">
        <v>318</v>
      </c>
      <c r="AF188" t="s">
        <v>402</v>
      </c>
      <c r="AG188" t="s">
        <v>318</v>
      </c>
      <c r="AH188" t="s">
        <v>829</v>
      </c>
    </row>
    <row r="189" spans="1:34" x14ac:dyDescent="0.25">
      <c r="A189" t="s">
        <v>872</v>
      </c>
      <c r="B189" t="s">
        <v>675</v>
      </c>
      <c r="C189" t="s">
        <v>108</v>
      </c>
      <c r="D189" t="s">
        <v>78</v>
      </c>
      <c r="E189">
        <v>19</v>
      </c>
      <c r="F189">
        <v>14</v>
      </c>
      <c r="G189" t="s">
        <v>873</v>
      </c>
      <c r="H189" t="s">
        <v>874</v>
      </c>
      <c r="I189" t="s">
        <v>44</v>
      </c>
      <c r="J189" t="s">
        <v>44</v>
      </c>
      <c r="K189" t="s">
        <v>63</v>
      </c>
      <c r="L189" t="s">
        <v>44</v>
      </c>
      <c r="M189" t="s">
        <v>43</v>
      </c>
      <c r="N189" t="s">
        <v>43</v>
      </c>
      <c r="O189" t="s">
        <v>63</v>
      </c>
      <c r="P189" t="s">
        <v>43</v>
      </c>
      <c r="Q189" t="s">
        <v>259</v>
      </c>
      <c r="R189" t="s">
        <v>259</v>
      </c>
      <c r="S189" t="s">
        <v>163</v>
      </c>
      <c r="T189" t="s">
        <v>254</v>
      </c>
      <c r="U189" t="s">
        <v>42</v>
      </c>
      <c r="V189" t="s">
        <v>494</v>
      </c>
      <c r="W189" t="s">
        <v>42</v>
      </c>
      <c r="X189" t="s">
        <v>181</v>
      </c>
      <c r="Y189" t="s">
        <v>181</v>
      </c>
      <c r="Z189" t="s">
        <v>218</v>
      </c>
      <c r="AA189" t="s">
        <v>181</v>
      </c>
      <c r="AB189" t="s">
        <v>218</v>
      </c>
      <c r="AC189" t="s">
        <v>168</v>
      </c>
      <c r="AD189" t="s">
        <v>182</v>
      </c>
      <c r="AE189" t="s">
        <v>181</v>
      </c>
      <c r="AF189" t="s">
        <v>168</v>
      </c>
      <c r="AG189" t="s">
        <v>181</v>
      </c>
      <c r="AH189" t="s">
        <v>829</v>
      </c>
    </row>
    <row r="190" spans="1:34" x14ac:dyDescent="0.25">
      <c r="A190" t="s">
        <v>875</v>
      </c>
      <c r="B190" t="s">
        <v>804</v>
      </c>
      <c r="C190" t="s">
        <v>36</v>
      </c>
      <c r="D190" t="s">
        <v>304</v>
      </c>
      <c r="E190">
        <v>22</v>
      </c>
      <c r="F190">
        <v>12</v>
      </c>
      <c r="G190" t="s">
        <v>876</v>
      </c>
      <c r="H190" t="s">
        <v>386</v>
      </c>
      <c r="I190" t="s">
        <v>44</v>
      </c>
      <c r="J190" t="s">
        <v>63</v>
      </c>
      <c r="K190" t="s">
        <v>114</v>
      </c>
      <c r="L190" t="s">
        <v>44</v>
      </c>
      <c r="M190" t="s">
        <v>43</v>
      </c>
      <c r="N190" t="s">
        <v>43</v>
      </c>
      <c r="O190" t="s">
        <v>44</v>
      </c>
      <c r="P190" t="s">
        <v>43</v>
      </c>
      <c r="Q190" t="s">
        <v>44</v>
      </c>
      <c r="R190" t="s">
        <v>44</v>
      </c>
      <c r="S190" t="s">
        <v>327</v>
      </c>
      <c r="T190" t="s">
        <v>382</v>
      </c>
      <c r="U190" t="s">
        <v>141</v>
      </c>
      <c r="V190" t="s">
        <v>681</v>
      </c>
      <c r="W190" t="s">
        <v>59</v>
      </c>
      <c r="X190" t="s">
        <v>242</v>
      </c>
      <c r="Y190" t="s">
        <v>205</v>
      </c>
      <c r="Z190" t="s">
        <v>54</v>
      </c>
      <c r="AA190" t="s">
        <v>242</v>
      </c>
      <c r="AB190" t="s">
        <v>54</v>
      </c>
      <c r="AC190" t="s">
        <v>242</v>
      </c>
      <c r="AD190" t="s">
        <v>151</v>
      </c>
      <c r="AE190" t="s">
        <v>73</v>
      </c>
      <c r="AF190" t="s">
        <v>242</v>
      </c>
      <c r="AG190" t="s">
        <v>73</v>
      </c>
      <c r="AH190" t="s">
        <v>829</v>
      </c>
    </row>
    <row r="191" spans="1:34" x14ac:dyDescent="0.25">
      <c r="A191" t="s">
        <v>877</v>
      </c>
      <c r="B191" t="s">
        <v>57</v>
      </c>
      <c r="C191" t="s">
        <v>108</v>
      </c>
      <c r="D191" t="s">
        <v>123</v>
      </c>
      <c r="E191">
        <v>12</v>
      </c>
      <c r="F191">
        <v>12</v>
      </c>
      <c r="G191" t="s">
        <v>878</v>
      </c>
      <c r="H191" t="s">
        <v>498</v>
      </c>
      <c r="I191" t="s">
        <v>43</v>
      </c>
      <c r="J191" t="s">
        <v>43</v>
      </c>
      <c r="K191" t="s">
        <v>43</v>
      </c>
      <c r="L191" t="s">
        <v>43</v>
      </c>
      <c r="M191" t="s">
        <v>43</v>
      </c>
      <c r="N191" t="s">
        <v>43</v>
      </c>
      <c r="O191" t="s">
        <v>126</v>
      </c>
      <c r="P191" t="s">
        <v>43</v>
      </c>
      <c r="Q191" t="s">
        <v>43</v>
      </c>
      <c r="R191" t="s">
        <v>43</v>
      </c>
      <c r="S191" t="s">
        <v>44</v>
      </c>
      <c r="T191" t="s">
        <v>44</v>
      </c>
      <c r="U191" t="s">
        <v>231</v>
      </c>
      <c r="V191" t="s">
        <v>330</v>
      </c>
      <c r="W191" t="s">
        <v>263</v>
      </c>
      <c r="X191" t="s">
        <v>43</v>
      </c>
      <c r="Y191" t="s">
        <v>43</v>
      </c>
      <c r="Z191" t="s">
        <v>43</v>
      </c>
      <c r="AA191" t="s">
        <v>43</v>
      </c>
      <c r="AB191" t="s">
        <v>43</v>
      </c>
      <c r="AC191" t="s">
        <v>43</v>
      </c>
      <c r="AD191" t="s">
        <v>120</v>
      </c>
      <c r="AE191" t="s">
        <v>82</v>
      </c>
      <c r="AF191" t="s">
        <v>43</v>
      </c>
      <c r="AG191" t="s">
        <v>82</v>
      </c>
      <c r="AH191" t="s">
        <v>829</v>
      </c>
    </row>
    <row r="192" spans="1:34" x14ac:dyDescent="0.25">
      <c r="A192" t="s">
        <v>879</v>
      </c>
      <c r="B192" t="s">
        <v>880</v>
      </c>
      <c r="C192" t="s">
        <v>524</v>
      </c>
      <c r="D192" t="s">
        <v>148</v>
      </c>
      <c r="E192">
        <v>21</v>
      </c>
      <c r="F192">
        <v>10</v>
      </c>
      <c r="G192" t="s">
        <v>881</v>
      </c>
      <c r="H192" t="s">
        <v>753</v>
      </c>
      <c r="I192" t="s">
        <v>43</v>
      </c>
      <c r="J192" t="s">
        <v>43</v>
      </c>
      <c r="K192" t="s">
        <v>43</v>
      </c>
      <c r="L192" t="s">
        <v>43</v>
      </c>
      <c r="M192" t="s">
        <v>43</v>
      </c>
      <c r="N192" t="s">
        <v>43</v>
      </c>
      <c r="O192" t="s">
        <v>126</v>
      </c>
      <c r="P192" t="s">
        <v>43</v>
      </c>
      <c r="Q192" t="s">
        <v>82</v>
      </c>
      <c r="R192" t="s">
        <v>82</v>
      </c>
      <c r="S192" t="s">
        <v>163</v>
      </c>
      <c r="T192" t="s">
        <v>112</v>
      </c>
      <c r="U192" t="s">
        <v>126</v>
      </c>
      <c r="V192" t="s">
        <v>499</v>
      </c>
      <c r="W192" t="s">
        <v>231</v>
      </c>
      <c r="X192" t="s">
        <v>43</v>
      </c>
      <c r="Y192" t="s">
        <v>43</v>
      </c>
      <c r="Z192" t="s">
        <v>43</v>
      </c>
      <c r="AA192" t="s">
        <v>43</v>
      </c>
      <c r="AB192" t="s">
        <v>43</v>
      </c>
      <c r="AC192" t="s">
        <v>119</v>
      </c>
      <c r="AD192" t="s">
        <v>358</v>
      </c>
      <c r="AE192" t="s">
        <v>193</v>
      </c>
      <c r="AF192" t="s">
        <v>119</v>
      </c>
      <c r="AG192" t="s">
        <v>193</v>
      </c>
      <c r="AH192" t="s">
        <v>829</v>
      </c>
    </row>
    <row r="193" spans="1:34" x14ac:dyDescent="0.25">
      <c r="A193" t="s">
        <v>882</v>
      </c>
      <c r="B193" t="s">
        <v>85</v>
      </c>
      <c r="C193" t="s">
        <v>108</v>
      </c>
      <c r="D193" t="s">
        <v>268</v>
      </c>
      <c r="E193">
        <v>11</v>
      </c>
      <c r="F193">
        <v>8</v>
      </c>
      <c r="G193" t="s">
        <v>883</v>
      </c>
      <c r="H193" t="s">
        <v>328</v>
      </c>
      <c r="I193" t="s">
        <v>43</v>
      </c>
      <c r="J193" t="s">
        <v>44</v>
      </c>
      <c r="K193" t="s">
        <v>44</v>
      </c>
      <c r="L193" t="s">
        <v>43</v>
      </c>
      <c r="M193" t="s">
        <v>43</v>
      </c>
      <c r="N193" t="s">
        <v>43</v>
      </c>
      <c r="O193" t="s">
        <v>114</v>
      </c>
      <c r="P193" t="s">
        <v>43</v>
      </c>
      <c r="Q193" t="s">
        <v>43</v>
      </c>
      <c r="R193" t="s">
        <v>43</v>
      </c>
      <c r="S193" t="s">
        <v>82</v>
      </c>
      <c r="T193" t="s">
        <v>82</v>
      </c>
      <c r="U193" t="s">
        <v>40</v>
      </c>
      <c r="V193" t="s">
        <v>123</v>
      </c>
      <c r="W193" t="s">
        <v>44</v>
      </c>
      <c r="X193" t="s">
        <v>43</v>
      </c>
      <c r="Y193" t="s">
        <v>218</v>
      </c>
      <c r="Z193" t="s">
        <v>218</v>
      </c>
      <c r="AA193" t="s">
        <v>43</v>
      </c>
      <c r="AB193" t="s">
        <v>218</v>
      </c>
      <c r="AC193" t="s">
        <v>43</v>
      </c>
      <c r="AD193" t="s">
        <v>119</v>
      </c>
      <c r="AE193" t="s">
        <v>119</v>
      </c>
      <c r="AF193" t="s">
        <v>43</v>
      </c>
      <c r="AG193" t="s">
        <v>119</v>
      </c>
      <c r="AH193" t="s">
        <v>829</v>
      </c>
    </row>
    <row r="194" spans="1:34" x14ac:dyDescent="0.25">
      <c r="A194" t="s">
        <v>884</v>
      </c>
      <c r="B194" t="s">
        <v>57</v>
      </c>
      <c r="C194" t="s">
        <v>86</v>
      </c>
      <c r="D194" t="s">
        <v>201</v>
      </c>
      <c r="E194">
        <v>14</v>
      </c>
      <c r="F194">
        <v>5</v>
      </c>
      <c r="G194" t="s">
        <v>885</v>
      </c>
      <c r="H194" t="s">
        <v>290</v>
      </c>
      <c r="I194" t="s">
        <v>44</v>
      </c>
      <c r="J194" t="s">
        <v>43</v>
      </c>
      <c r="K194" t="s">
        <v>44</v>
      </c>
      <c r="L194" t="s">
        <v>44</v>
      </c>
      <c r="M194" t="s">
        <v>43</v>
      </c>
      <c r="N194" t="s">
        <v>43</v>
      </c>
      <c r="O194" t="s">
        <v>63</v>
      </c>
      <c r="P194" t="s">
        <v>43</v>
      </c>
      <c r="Q194" t="s">
        <v>112</v>
      </c>
      <c r="R194" t="s">
        <v>112</v>
      </c>
      <c r="S194" t="s">
        <v>163</v>
      </c>
      <c r="T194" t="s">
        <v>378</v>
      </c>
      <c r="U194" t="s">
        <v>41</v>
      </c>
      <c r="V194" t="s">
        <v>185</v>
      </c>
      <c r="W194" t="s">
        <v>165</v>
      </c>
      <c r="X194" t="s">
        <v>215</v>
      </c>
      <c r="Y194" t="s">
        <v>43</v>
      </c>
      <c r="Z194" t="s">
        <v>215</v>
      </c>
      <c r="AA194" t="s">
        <v>215</v>
      </c>
      <c r="AB194" t="s">
        <v>215</v>
      </c>
      <c r="AC194" t="s">
        <v>181</v>
      </c>
      <c r="AD194" t="s">
        <v>169</v>
      </c>
      <c r="AE194" t="s">
        <v>118</v>
      </c>
      <c r="AF194" t="s">
        <v>181</v>
      </c>
      <c r="AG194" t="s">
        <v>118</v>
      </c>
      <c r="AH194" t="s">
        <v>829</v>
      </c>
    </row>
    <row r="195" spans="1:34" x14ac:dyDescent="0.25">
      <c r="A195" t="s">
        <v>886</v>
      </c>
      <c r="B195" t="s">
        <v>376</v>
      </c>
      <c r="C195" t="s">
        <v>137</v>
      </c>
      <c r="D195" t="s">
        <v>37</v>
      </c>
      <c r="E195">
        <v>13</v>
      </c>
      <c r="F195">
        <v>5</v>
      </c>
      <c r="G195" t="s">
        <v>887</v>
      </c>
      <c r="H195" t="s">
        <v>81</v>
      </c>
      <c r="I195" t="s">
        <v>44</v>
      </c>
      <c r="J195" t="s">
        <v>43</v>
      </c>
      <c r="K195" t="s">
        <v>44</v>
      </c>
      <c r="L195" t="s">
        <v>44</v>
      </c>
      <c r="M195" t="s">
        <v>43</v>
      </c>
      <c r="N195" t="s">
        <v>43</v>
      </c>
      <c r="O195" t="s">
        <v>43</v>
      </c>
      <c r="P195" t="s">
        <v>43</v>
      </c>
      <c r="Q195" t="s">
        <v>200</v>
      </c>
      <c r="R195" t="s">
        <v>200</v>
      </c>
      <c r="S195" t="s">
        <v>241</v>
      </c>
      <c r="T195" t="s">
        <v>416</v>
      </c>
      <c r="U195" t="s">
        <v>126</v>
      </c>
      <c r="V195" t="s">
        <v>276</v>
      </c>
      <c r="W195" t="s">
        <v>180</v>
      </c>
      <c r="X195" t="s">
        <v>241</v>
      </c>
      <c r="Y195" t="s">
        <v>43</v>
      </c>
      <c r="Z195" t="s">
        <v>241</v>
      </c>
      <c r="AA195" t="s">
        <v>241</v>
      </c>
      <c r="AB195" t="s">
        <v>241</v>
      </c>
      <c r="AC195" t="s">
        <v>50</v>
      </c>
      <c r="AD195" t="s">
        <v>168</v>
      </c>
      <c r="AE195" t="s">
        <v>236</v>
      </c>
      <c r="AF195" t="s">
        <v>50</v>
      </c>
      <c r="AG195" t="s">
        <v>236</v>
      </c>
      <c r="AH195" t="s">
        <v>829</v>
      </c>
    </row>
    <row r="196" spans="1:34" x14ac:dyDescent="0.25">
      <c r="A196" t="s">
        <v>888</v>
      </c>
      <c r="B196" t="s">
        <v>35</v>
      </c>
      <c r="C196" t="s">
        <v>108</v>
      </c>
      <c r="D196" t="s">
        <v>148</v>
      </c>
      <c r="E196">
        <v>9</v>
      </c>
      <c r="F196">
        <v>4</v>
      </c>
      <c r="G196" t="s">
        <v>889</v>
      </c>
      <c r="H196" t="s">
        <v>210</v>
      </c>
      <c r="I196" t="s">
        <v>43</v>
      </c>
      <c r="J196" t="s">
        <v>43</v>
      </c>
      <c r="K196" t="s">
        <v>43</v>
      </c>
      <c r="L196" t="s">
        <v>43</v>
      </c>
      <c r="M196" t="s">
        <v>43</v>
      </c>
      <c r="N196" t="s">
        <v>43</v>
      </c>
      <c r="O196" t="s">
        <v>114</v>
      </c>
      <c r="P196" t="s">
        <v>43</v>
      </c>
      <c r="Q196" t="s">
        <v>241</v>
      </c>
      <c r="R196" t="s">
        <v>241</v>
      </c>
      <c r="S196" t="s">
        <v>378</v>
      </c>
      <c r="T196" t="s">
        <v>398</v>
      </c>
      <c r="U196" t="s">
        <v>89</v>
      </c>
      <c r="V196" t="s">
        <v>37</v>
      </c>
      <c r="W196" t="s">
        <v>227</v>
      </c>
      <c r="X196" t="s">
        <v>43</v>
      </c>
      <c r="Y196" t="s">
        <v>43</v>
      </c>
      <c r="Z196" t="s">
        <v>43</v>
      </c>
      <c r="AA196" t="s">
        <v>43</v>
      </c>
      <c r="AB196" t="s">
        <v>43</v>
      </c>
      <c r="AC196" t="s">
        <v>193</v>
      </c>
      <c r="AD196" t="s">
        <v>205</v>
      </c>
      <c r="AE196" t="s">
        <v>241</v>
      </c>
      <c r="AF196" t="s">
        <v>193</v>
      </c>
      <c r="AG196" t="s">
        <v>241</v>
      </c>
      <c r="AH196" t="s">
        <v>829</v>
      </c>
    </row>
    <row r="197" spans="1:34" x14ac:dyDescent="0.25">
      <c r="A197" t="s">
        <v>890</v>
      </c>
      <c r="B197" t="s">
        <v>891</v>
      </c>
      <c r="C197" t="s">
        <v>58</v>
      </c>
      <c r="D197" t="s">
        <v>185</v>
      </c>
      <c r="E197">
        <v>9</v>
      </c>
      <c r="F197">
        <v>3</v>
      </c>
      <c r="G197" t="s">
        <v>892</v>
      </c>
      <c r="H197" t="s">
        <v>145</v>
      </c>
      <c r="I197" t="s">
        <v>44</v>
      </c>
      <c r="J197" t="s">
        <v>44</v>
      </c>
      <c r="K197" t="s">
        <v>63</v>
      </c>
      <c r="L197" t="s">
        <v>44</v>
      </c>
      <c r="M197" t="s">
        <v>43</v>
      </c>
      <c r="N197" t="s">
        <v>43</v>
      </c>
      <c r="O197" t="s">
        <v>44</v>
      </c>
      <c r="P197" t="s">
        <v>43</v>
      </c>
      <c r="Q197" t="s">
        <v>176</v>
      </c>
      <c r="R197" t="s">
        <v>176</v>
      </c>
      <c r="S197" t="s">
        <v>254</v>
      </c>
      <c r="T197" t="s">
        <v>223</v>
      </c>
      <c r="U197" t="s">
        <v>89</v>
      </c>
      <c r="V197" t="s">
        <v>231</v>
      </c>
      <c r="W197" t="s">
        <v>304</v>
      </c>
      <c r="X197" t="s">
        <v>402</v>
      </c>
      <c r="Y197" t="s">
        <v>402</v>
      </c>
      <c r="Z197" t="s">
        <v>315</v>
      </c>
      <c r="AA197" t="s">
        <v>402</v>
      </c>
      <c r="AB197" t="s">
        <v>315</v>
      </c>
      <c r="AC197" t="s">
        <v>53</v>
      </c>
      <c r="AD197" t="s">
        <v>54</v>
      </c>
      <c r="AE197" t="s">
        <v>250</v>
      </c>
      <c r="AF197" t="s">
        <v>53</v>
      </c>
      <c r="AG197" t="s">
        <v>250</v>
      </c>
      <c r="AH197" t="s">
        <v>829</v>
      </c>
    </row>
    <row r="198" spans="1:34" x14ac:dyDescent="0.25">
      <c r="A198" t="s">
        <v>893</v>
      </c>
      <c r="B198" t="s">
        <v>376</v>
      </c>
      <c r="C198" t="s">
        <v>108</v>
      </c>
      <c r="D198" t="s">
        <v>203</v>
      </c>
      <c r="E198">
        <v>8</v>
      </c>
      <c r="F198">
        <v>3</v>
      </c>
      <c r="G198" t="s">
        <v>894</v>
      </c>
      <c r="H198" t="s">
        <v>128</v>
      </c>
      <c r="I198" t="s">
        <v>43</v>
      </c>
      <c r="J198" t="s">
        <v>43</v>
      </c>
      <c r="K198" t="s">
        <v>43</v>
      </c>
      <c r="L198" t="s">
        <v>43</v>
      </c>
      <c r="M198" t="s">
        <v>43</v>
      </c>
      <c r="N198" t="s">
        <v>43</v>
      </c>
      <c r="O198" t="s">
        <v>44</v>
      </c>
      <c r="P198" t="s">
        <v>43</v>
      </c>
      <c r="Q198" t="s">
        <v>43</v>
      </c>
      <c r="R198" t="s">
        <v>43</v>
      </c>
      <c r="S198" t="s">
        <v>43</v>
      </c>
      <c r="T198" t="s">
        <v>43</v>
      </c>
      <c r="U198" t="s">
        <v>63</v>
      </c>
      <c r="V198" t="s">
        <v>40</v>
      </c>
      <c r="W198" t="s">
        <v>44</v>
      </c>
      <c r="X198" t="s">
        <v>43</v>
      </c>
      <c r="Y198" t="s">
        <v>43</v>
      </c>
      <c r="Z198" t="s">
        <v>43</v>
      </c>
      <c r="AA198" t="s">
        <v>43</v>
      </c>
      <c r="AB198" t="s">
        <v>43</v>
      </c>
      <c r="AC198" t="s">
        <v>43</v>
      </c>
      <c r="AD198" t="s">
        <v>43</v>
      </c>
      <c r="AE198" t="s">
        <v>43</v>
      </c>
      <c r="AF198" t="s">
        <v>43</v>
      </c>
      <c r="AG198" t="s">
        <v>43</v>
      </c>
      <c r="AH198" t="s">
        <v>829</v>
      </c>
    </row>
    <row r="199" spans="1:34" x14ac:dyDescent="0.25">
      <c r="A199" t="s">
        <v>895</v>
      </c>
      <c r="B199" t="s">
        <v>342</v>
      </c>
      <c r="C199" t="s">
        <v>58</v>
      </c>
      <c r="D199" t="s">
        <v>185</v>
      </c>
      <c r="E199">
        <v>9</v>
      </c>
      <c r="F199">
        <v>1</v>
      </c>
      <c r="G199" t="s">
        <v>117</v>
      </c>
      <c r="H199" t="s">
        <v>175</v>
      </c>
      <c r="I199" t="s">
        <v>43</v>
      </c>
      <c r="J199" t="s">
        <v>44</v>
      </c>
      <c r="K199" t="s">
        <v>44</v>
      </c>
      <c r="L199" t="s">
        <v>43</v>
      </c>
      <c r="M199" t="s">
        <v>43</v>
      </c>
      <c r="N199" t="s">
        <v>43</v>
      </c>
      <c r="O199" t="s">
        <v>43</v>
      </c>
      <c r="P199" t="s">
        <v>43</v>
      </c>
      <c r="Q199" t="s">
        <v>378</v>
      </c>
      <c r="R199" t="s">
        <v>378</v>
      </c>
      <c r="S199" t="s">
        <v>82</v>
      </c>
      <c r="T199" t="s">
        <v>259</v>
      </c>
      <c r="U199" t="s">
        <v>126</v>
      </c>
      <c r="V199" t="s">
        <v>126</v>
      </c>
      <c r="W199" t="s">
        <v>304</v>
      </c>
      <c r="X199" t="s">
        <v>43</v>
      </c>
      <c r="Y199" t="s">
        <v>52</v>
      </c>
      <c r="Z199" t="s">
        <v>52</v>
      </c>
      <c r="AA199" t="s">
        <v>43</v>
      </c>
      <c r="AB199" t="s">
        <v>52</v>
      </c>
      <c r="AC199" t="s">
        <v>510</v>
      </c>
      <c r="AD199" t="s">
        <v>168</v>
      </c>
      <c r="AE199" t="s">
        <v>500</v>
      </c>
      <c r="AF199" t="s">
        <v>510</v>
      </c>
      <c r="AG199" t="s">
        <v>500</v>
      </c>
      <c r="AH199" t="s">
        <v>829</v>
      </c>
    </row>
    <row r="200" spans="1:34" x14ac:dyDescent="0.25">
      <c r="A200" t="s">
        <v>896</v>
      </c>
      <c r="B200" t="s">
        <v>897</v>
      </c>
      <c r="C200" t="s">
        <v>86</v>
      </c>
      <c r="D200" t="s">
        <v>141</v>
      </c>
      <c r="E200">
        <v>5</v>
      </c>
      <c r="F200">
        <v>1</v>
      </c>
      <c r="G200" t="s">
        <v>235</v>
      </c>
      <c r="H200" t="s">
        <v>416</v>
      </c>
      <c r="I200" t="s">
        <v>44</v>
      </c>
      <c r="J200" t="s">
        <v>43</v>
      </c>
      <c r="K200" t="s">
        <v>44</v>
      </c>
      <c r="L200" t="s">
        <v>44</v>
      </c>
      <c r="M200" t="s">
        <v>43</v>
      </c>
      <c r="N200" t="s">
        <v>43</v>
      </c>
      <c r="O200" t="s">
        <v>44</v>
      </c>
      <c r="P200" t="s">
        <v>43</v>
      </c>
      <c r="Q200" t="s">
        <v>43</v>
      </c>
      <c r="R200" t="s">
        <v>43</v>
      </c>
      <c r="S200" t="s">
        <v>112</v>
      </c>
      <c r="T200" t="s">
        <v>112</v>
      </c>
      <c r="U200" t="s">
        <v>63</v>
      </c>
      <c r="V200" t="s">
        <v>126</v>
      </c>
      <c r="W200" t="s">
        <v>231</v>
      </c>
      <c r="X200" t="s">
        <v>352</v>
      </c>
      <c r="Y200" t="s">
        <v>43</v>
      </c>
      <c r="Z200" t="s">
        <v>352</v>
      </c>
      <c r="AA200" t="s">
        <v>352</v>
      </c>
      <c r="AB200" t="s">
        <v>352</v>
      </c>
      <c r="AC200" t="s">
        <v>182</v>
      </c>
      <c r="AD200" t="s">
        <v>50</v>
      </c>
      <c r="AE200" t="s">
        <v>98</v>
      </c>
      <c r="AF200" t="s">
        <v>182</v>
      </c>
      <c r="AG200" t="s">
        <v>98</v>
      </c>
      <c r="AH200" t="s">
        <v>829</v>
      </c>
    </row>
    <row r="201" spans="1:34" x14ac:dyDescent="0.25">
      <c r="A201" t="s">
        <v>898</v>
      </c>
      <c r="B201" t="s">
        <v>57</v>
      </c>
      <c r="C201" t="s">
        <v>137</v>
      </c>
      <c r="D201" t="s">
        <v>62</v>
      </c>
      <c r="E201">
        <v>4</v>
      </c>
      <c r="F201">
        <v>1</v>
      </c>
      <c r="G201" t="s">
        <v>559</v>
      </c>
      <c r="H201" t="s">
        <v>259</v>
      </c>
      <c r="I201" t="s">
        <v>43</v>
      </c>
      <c r="J201" t="s">
        <v>44</v>
      </c>
      <c r="K201" t="s">
        <v>44</v>
      </c>
      <c r="L201" t="s">
        <v>43</v>
      </c>
      <c r="M201" t="s">
        <v>43</v>
      </c>
      <c r="N201" t="s">
        <v>43</v>
      </c>
      <c r="O201" t="s">
        <v>43</v>
      </c>
      <c r="P201" t="s">
        <v>43</v>
      </c>
      <c r="Q201" t="s">
        <v>43</v>
      </c>
      <c r="R201" t="s">
        <v>43</v>
      </c>
      <c r="S201" t="s">
        <v>241</v>
      </c>
      <c r="T201" t="s">
        <v>241</v>
      </c>
      <c r="U201" t="s">
        <v>44</v>
      </c>
      <c r="V201" t="s">
        <v>63</v>
      </c>
      <c r="W201" t="s">
        <v>63</v>
      </c>
      <c r="X201" t="s">
        <v>43</v>
      </c>
      <c r="Y201" t="s">
        <v>899</v>
      </c>
      <c r="Z201" t="s">
        <v>899</v>
      </c>
      <c r="AA201" t="s">
        <v>43</v>
      </c>
      <c r="AB201" t="s">
        <v>899</v>
      </c>
      <c r="AC201" t="s">
        <v>193</v>
      </c>
      <c r="AD201" t="s">
        <v>402</v>
      </c>
      <c r="AE201" t="s">
        <v>98</v>
      </c>
      <c r="AF201" t="s">
        <v>193</v>
      </c>
      <c r="AG201" t="s">
        <v>98</v>
      </c>
      <c r="AH201" t="s">
        <v>829</v>
      </c>
    </row>
    <row r="202" spans="1:34" x14ac:dyDescent="0.25">
      <c r="A202" t="s">
        <v>900</v>
      </c>
      <c r="B202" t="s">
        <v>57</v>
      </c>
      <c r="C202" t="s">
        <v>58</v>
      </c>
      <c r="D202" t="s">
        <v>59</v>
      </c>
      <c r="E202">
        <v>3</v>
      </c>
      <c r="F202">
        <v>0</v>
      </c>
      <c r="G202" t="s">
        <v>641</v>
      </c>
      <c r="H202" t="s">
        <v>398</v>
      </c>
      <c r="I202" t="s">
        <v>43</v>
      </c>
      <c r="J202" t="s">
        <v>43</v>
      </c>
      <c r="K202" t="s">
        <v>43</v>
      </c>
      <c r="L202" t="s">
        <v>43</v>
      </c>
      <c r="M202" t="s">
        <v>43</v>
      </c>
      <c r="N202" t="s">
        <v>43</v>
      </c>
      <c r="O202" t="s">
        <v>43</v>
      </c>
      <c r="P202" t="s">
        <v>43</v>
      </c>
      <c r="Q202" t="s">
        <v>43</v>
      </c>
      <c r="R202" t="s">
        <v>43</v>
      </c>
      <c r="S202" t="s">
        <v>82</v>
      </c>
      <c r="T202" t="s">
        <v>82</v>
      </c>
      <c r="U202" t="s">
        <v>231</v>
      </c>
      <c r="V202" t="s">
        <v>83</v>
      </c>
      <c r="W202" t="s">
        <v>81</v>
      </c>
      <c r="X202" t="s">
        <v>43</v>
      </c>
      <c r="Y202" t="s">
        <v>43</v>
      </c>
      <c r="Z202" t="s">
        <v>43</v>
      </c>
      <c r="AA202" t="s">
        <v>43</v>
      </c>
      <c r="AB202" t="s">
        <v>43</v>
      </c>
      <c r="AC202" t="s">
        <v>43</v>
      </c>
      <c r="AD202" t="s">
        <v>169</v>
      </c>
      <c r="AE202" t="s">
        <v>169</v>
      </c>
      <c r="AF202" t="s">
        <v>43</v>
      </c>
      <c r="AG202" t="s">
        <v>169</v>
      </c>
      <c r="AH202" t="s">
        <v>829</v>
      </c>
    </row>
    <row r="203" spans="1:34" x14ac:dyDescent="0.25">
      <c r="A203" t="s">
        <v>901</v>
      </c>
      <c r="B203" t="s">
        <v>57</v>
      </c>
      <c r="C203" t="s">
        <v>137</v>
      </c>
      <c r="D203" t="s">
        <v>42</v>
      </c>
      <c r="E203">
        <v>3</v>
      </c>
      <c r="F203">
        <v>0</v>
      </c>
      <c r="G203" t="s">
        <v>167</v>
      </c>
      <c r="H203" t="s">
        <v>241</v>
      </c>
      <c r="I203" t="s">
        <v>43</v>
      </c>
      <c r="J203" t="s">
        <v>43</v>
      </c>
      <c r="K203" t="s">
        <v>43</v>
      </c>
      <c r="L203" t="s">
        <v>43</v>
      </c>
      <c r="M203" t="s">
        <v>43</v>
      </c>
      <c r="N203" t="s">
        <v>43</v>
      </c>
      <c r="O203" t="s">
        <v>43</v>
      </c>
      <c r="P203" t="s">
        <v>43</v>
      </c>
      <c r="Q203" t="s">
        <v>43</v>
      </c>
      <c r="R203" t="s">
        <v>43</v>
      </c>
      <c r="S203" t="s">
        <v>43</v>
      </c>
      <c r="T203" t="s">
        <v>43</v>
      </c>
      <c r="U203" t="s">
        <v>43</v>
      </c>
      <c r="V203" t="s">
        <v>43</v>
      </c>
      <c r="W203" t="s">
        <v>44</v>
      </c>
      <c r="X203" t="s">
        <v>43</v>
      </c>
      <c r="Y203" t="s">
        <v>43</v>
      </c>
      <c r="Z203" t="s">
        <v>43</v>
      </c>
      <c r="AA203" t="s">
        <v>43</v>
      </c>
      <c r="AB203" t="s">
        <v>43</v>
      </c>
      <c r="AC203" t="s">
        <v>43</v>
      </c>
      <c r="AD203" t="s">
        <v>43</v>
      </c>
      <c r="AE203" t="s">
        <v>43</v>
      </c>
      <c r="AF203" t="s">
        <v>43</v>
      </c>
      <c r="AG203" t="s">
        <v>43</v>
      </c>
      <c r="AH203" t="s">
        <v>829</v>
      </c>
    </row>
    <row r="204" spans="1:34" x14ac:dyDescent="0.25">
      <c r="A204" t="s">
        <v>902</v>
      </c>
      <c r="B204" t="s">
        <v>196</v>
      </c>
      <c r="C204" t="s">
        <v>108</v>
      </c>
      <c r="D204" t="s">
        <v>148</v>
      </c>
      <c r="E204">
        <v>1</v>
      </c>
      <c r="F204">
        <v>0</v>
      </c>
      <c r="G204" t="s">
        <v>114</v>
      </c>
      <c r="H204" t="s">
        <v>43</v>
      </c>
      <c r="I204" t="s">
        <v>43</v>
      </c>
      <c r="J204" t="s">
        <v>43</v>
      </c>
      <c r="K204" t="s">
        <v>43</v>
      </c>
      <c r="L204" t="s">
        <v>43</v>
      </c>
      <c r="M204" t="s">
        <v>43</v>
      </c>
      <c r="N204" t="s">
        <v>43</v>
      </c>
      <c r="O204" t="s">
        <v>43</v>
      </c>
      <c r="P204" t="s">
        <v>43</v>
      </c>
      <c r="Q204" t="s">
        <v>43</v>
      </c>
      <c r="R204" t="s">
        <v>43</v>
      </c>
      <c r="S204" t="s">
        <v>82</v>
      </c>
      <c r="T204" t="s">
        <v>241</v>
      </c>
      <c r="U204" t="s">
        <v>43</v>
      </c>
      <c r="V204" t="s">
        <v>43</v>
      </c>
      <c r="W204" t="s">
        <v>44</v>
      </c>
      <c r="X204" t="s">
        <v>43</v>
      </c>
      <c r="Y204" t="s">
        <v>43</v>
      </c>
      <c r="Z204" t="s">
        <v>43</v>
      </c>
      <c r="AA204" t="s">
        <v>43</v>
      </c>
      <c r="AB204" t="s">
        <v>43</v>
      </c>
      <c r="AC204" t="s">
        <v>903</v>
      </c>
      <c r="AD204" t="s">
        <v>904</v>
      </c>
      <c r="AE204" t="s">
        <v>905</v>
      </c>
      <c r="AF204" t="s">
        <v>903</v>
      </c>
      <c r="AG204" t="s">
        <v>905</v>
      </c>
      <c r="AH204" t="s">
        <v>829</v>
      </c>
    </row>
    <row r="205" spans="1:34" x14ac:dyDescent="0.25">
      <c r="A205" t="s">
        <v>906</v>
      </c>
      <c r="B205" t="s">
        <v>57</v>
      </c>
      <c r="C205" t="s">
        <v>36</v>
      </c>
      <c r="D205" t="s">
        <v>203</v>
      </c>
      <c r="E205">
        <v>1</v>
      </c>
      <c r="F205">
        <v>0</v>
      </c>
      <c r="G205" t="s">
        <v>44</v>
      </c>
      <c r="H205" t="s">
        <v>43</v>
      </c>
      <c r="I205" t="s">
        <v>43</v>
      </c>
      <c r="J205" t="s">
        <v>43</v>
      </c>
      <c r="K205" t="s">
        <v>43</v>
      </c>
      <c r="L205" t="s">
        <v>43</v>
      </c>
      <c r="M205" t="s">
        <v>43</v>
      </c>
      <c r="N205" t="s">
        <v>43</v>
      </c>
      <c r="O205" t="s">
        <v>43</v>
      </c>
      <c r="P205" t="s">
        <v>43</v>
      </c>
      <c r="Q205" t="s">
        <v>43</v>
      </c>
      <c r="R205" t="s">
        <v>43</v>
      </c>
      <c r="S205" t="s">
        <v>43</v>
      </c>
      <c r="T205" t="s">
        <v>43</v>
      </c>
      <c r="U205" t="s">
        <v>43</v>
      </c>
      <c r="V205" t="s">
        <v>43</v>
      </c>
      <c r="W205" t="s">
        <v>43</v>
      </c>
      <c r="X205" t="s">
        <v>43</v>
      </c>
      <c r="Y205" t="s">
        <v>43</v>
      </c>
      <c r="Z205" t="s">
        <v>43</v>
      </c>
      <c r="AA205" t="s">
        <v>43</v>
      </c>
      <c r="AB205" t="s">
        <v>43</v>
      </c>
      <c r="AC205" t="s">
        <v>43</v>
      </c>
      <c r="AD205" t="s">
        <v>43</v>
      </c>
      <c r="AE205" t="s">
        <v>43</v>
      </c>
      <c r="AF205" t="s">
        <v>43</v>
      </c>
      <c r="AG205" t="s">
        <v>43</v>
      </c>
      <c r="AH205" t="s">
        <v>829</v>
      </c>
    </row>
    <row r="206" spans="1:34" x14ac:dyDescent="0.25">
      <c r="A206" t="s">
        <v>907</v>
      </c>
      <c r="B206" t="s">
        <v>57</v>
      </c>
      <c r="C206" t="s">
        <v>137</v>
      </c>
      <c r="D206" t="s">
        <v>37</v>
      </c>
      <c r="E206">
        <v>37</v>
      </c>
      <c r="F206">
        <v>37</v>
      </c>
      <c r="G206" t="s">
        <v>908</v>
      </c>
      <c r="H206" t="s">
        <v>909</v>
      </c>
      <c r="I206" t="s">
        <v>62</v>
      </c>
      <c r="J206" t="s">
        <v>90</v>
      </c>
      <c r="K206" t="s">
        <v>140</v>
      </c>
      <c r="L206" t="s">
        <v>62</v>
      </c>
      <c r="M206" t="s">
        <v>43</v>
      </c>
      <c r="N206" t="s">
        <v>43</v>
      </c>
      <c r="O206" t="s">
        <v>83</v>
      </c>
      <c r="P206" t="s">
        <v>43</v>
      </c>
      <c r="Q206" t="s">
        <v>910</v>
      </c>
      <c r="R206" t="s">
        <v>910</v>
      </c>
      <c r="S206" t="s">
        <v>258</v>
      </c>
      <c r="T206" t="s">
        <v>911</v>
      </c>
      <c r="U206" t="s">
        <v>541</v>
      </c>
      <c r="V206" t="s">
        <v>49</v>
      </c>
      <c r="W206" t="s">
        <v>912</v>
      </c>
      <c r="X206" t="s">
        <v>711</v>
      </c>
      <c r="Y206" t="s">
        <v>250</v>
      </c>
      <c r="Z206" t="s">
        <v>398</v>
      </c>
      <c r="AA206" t="s">
        <v>711</v>
      </c>
      <c r="AB206" t="s">
        <v>398</v>
      </c>
      <c r="AC206" t="s">
        <v>451</v>
      </c>
      <c r="AD206" t="s">
        <v>134</v>
      </c>
      <c r="AE206" t="s">
        <v>352</v>
      </c>
      <c r="AF206" t="s">
        <v>451</v>
      </c>
      <c r="AG206" t="s">
        <v>352</v>
      </c>
      <c r="AH206" t="s">
        <v>913</v>
      </c>
    </row>
    <row r="207" spans="1:34" x14ac:dyDescent="0.25">
      <c r="A207" t="s">
        <v>914</v>
      </c>
      <c r="B207" t="s">
        <v>57</v>
      </c>
      <c r="C207" t="s">
        <v>108</v>
      </c>
      <c r="D207" t="s">
        <v>268</v>
      </c>
      <c r="E207">
        <v>35</v>
      </c>
      <c r="F207">
        <v>35</v>
      </c>
      <c r="G207" t="s">
        <v>915</v>
      </c>
      <c r="H207" t="s">
        <v>916</v>
      </c>
      <c r="I207" t="s">
        <v>44</v>
      </c>
      <c r="J207" t="s">
        <v>43</v>
      </c>
      <c r="K207" t="s">
        <v>44</v>
      </c>
      <c r="L207" t="s">
        <v>44</v>
      </c>
      <c r="M207" t="s">
        <v>43</v>
      </c>
      <c r="N207" t="s">
        <v>43</v>
      </c>
      <c r="O207" t="s">
        <v>81</v>
      </c>
      <c r="P207" t="s">
        <v>43</v>
      </c>
      <c r="Q207" t="s">
        <v>199</v>
      </c>
      <c r="R207" t="s">
        <v>199</v>
      </c>
      <c r="S207" t="s">
        <v>176</v>
      </c>
      <c r="T207" t="s">
        <v>114</v>
      </c>
      <c r="U207" t="s">
        <v>225</v>
      </c>
      <c r="V207" t="s">
        <v>191</v>
      </c>
      <c r="W207" t="s">
        <v>109</v>
      </c>
      <c r="X207" t="s">
        <v>358</v>
      </c>
      <c r="Y207" t="s">
        <v>43</v>
      </c>
      <c r="Z207" t="s">
        <v>358</v>
      </c>
      <c r="AA207" t="s">
        <v>358</v>
      </c>
      <c r="AB207" t="s">
        <v>358</v>
      </c>
      <c r="AC207" t="s">
        <v>181</v>
      </c>
      <c r="AD207" t="s">
        <v>182</v>
      </c>
      <c r="AE207" t="s">
        <v>120</v>
      </c>
      <c r="AF207" t="s">
        <v>181</v>
      </c>
      <c r="AG207" t="s">
        <v>120</v>
      </c>
      <c r="AH207" t="s">
        <v>913</v>
      </c>
    </row>
    <row r="208" spans="1:34" x14ac:dyDescent="0.25">
      <c r="A208" t="s">
        <v>917</v>
      </c>
      <c r="B208" t="s">
        <v>360</v>
      </c>
      <c r="C208" t="s">
        <v>86</v>
      </c>
      <c r="D208" t="s">
        <v>123</v>
      </c>
      <c r="E208">
        <v>35</v>
      </c>
      <c r="F208">
        <v>35</v>
      </c>
      <c r="G208" t="s">
        <v>918</v>
      </c>
      <c r="H208" t="s">
        <v>919</v>
      </c>
      <c r="I208" t="s">
        <v>126</v>
      </c>
      <c r="J208" t="s">
        <v>83</v>
      </c>
      <c r="K208" t="s">
        <v>231</v>
      </c>
      <c r="L208" t="s">
        <v>126</v>
      </c>
      <c r="M208" t="s">
        <v>43</v>
      </c>
      <c r="N208" t="s">
        <v>43</v>
      </c>
      <c r="O208" t="s">
        <v>41</v>
      </c>
      <c r="P208" t="s">
        <v>44</v>
      </c>
      <c r="Q208" t="s">
        <v>81</v>
      </c>
      <c r="R208" t="s">
        <v>81</v>
      </c>
      <c r="S208" t="s">
        <v>210</v>
      </c>
      <c r="T208" t="s">
        <v>447</v>
      </c>
      <c r="U208" t="s">
        <v>623</v>
      </c>
      <c r="V208" t="s">
        <v>920</v>
      </c>
      <c r="W208" t="s">
        <v>921</v>
      </c>
      <c r="X208" t="s">
        <v>151</v>
      </c>
      <c r="Y208" t="s">
        <v>53</v>
      </c>
      <c r="Z208" t="s">
        <v>163</v>
      </c>
      <c r="AA208" t="s">
        <v>151</v>
      </c>
      <c r="AB208" t="s">
        <v>163</v>
      </c>
      <c r="AC208" t="s">
        <v>156</v>
      </c>
      <c r="AD208" t="s">
        <v>218</v>
      </c>
      <c r="AE208" t="s">
        <v>236</v>
      </c>
      <c r="AF208" t="s">
        <v>156</v>
      </c>
      <c r="AG208" t="s">
        <v>236</v>
      </c>
      <c r="AH208" t="s">
        <v>913</v>
      </c>
    </row>
    <row r="209" spans="1:34" x14ac:dyDescent="0.25">
      <c r="A209" t="s">
        <v>922</v>
      </c>
      <c r="B209" t="s">
        <v>76</v>
      </c>
      <c r="C209" t="s">
        <v>36</v>
      </c>
      <c r="D209" t="s">
        <v>268</v>
      </c>
      <c r="E209">
        <v>35</v>
      </c>
      <c r="F209">
        <v>35</v>
      </c>
      <c r="G209" t="s">
        <v>923</v>
      </c>
      <c r="H209" t="s">
        <v>919</v>
      </c>
      <c r="I209" t="s">
        <v>41</v>
      </c>
      <c r="J209" t="s">
        <v>81</v>
      </c>
      <c r="K209" t="s">
        <v>232</v>
      </c>
      <c r="L209" t="s">
        <v>81</v>
      </c>
      <c r="M209" t="s">
        <v>83</v>
      </c>
      <c r="N209" t="s">
        <v>83</v>
      </c>
      <c r="O209" t="s">
        <v>276</v>
      </c>
      <c r="P209" t="s">
        <v>43</v>
      </c>
      <c r="Q209" t="s">
        <v>924</v>
      </c>
      <c r="R209" t="s">
        <v>455</v>
      </c>
      <c r="S209" t="s">
        <v>363</v>
      </c>
      <c r="T209" t="s">
        <v>548</v>
      </c>
      <c r="U209" t="s">
        <v>704</v>
      </c>
      <c r="V209" t="s">
        <v>68</v>
      </c>
      <c r="W209" t="s">
        <v>248</v>
      </c>
      <c r="X209" t="s">
        <v>98</v>
      </c>
      <c r="Y209" t="s">
        <v>156</v>
      </c>
      <c r="Z209" t="s">
        <v>318</v>
      </c>
      <c r="AA209" t="s">
        <v>156</v>
      </c>
      <c r="AB209" t="s">
        <v>163</v>
      </c>
      <c r="AC209" t="s">
        <v>134</v>
      </c>
      <c r="AD209" t="s">
        <v>205</v>
      </c>
      <c r="AE209" t="s">
        <v>97</v>
      </c>
      <c r="AF209" t="s">
        <v>204</v>
      </c>
      <c r="AG209" t="s">
        <v>51</v>
      </c>
      <c r="AH209" t="s">
        <v>913</v>
      </c>
    </row>
    <row r="210" spans="1:34" x14ac:dyDescent="0.25">
      <c r="A210" t="s">
        <v>925</v>
      </c>
      <c r="B210" t="s">
        <v>85</v>
      </c>
      <c r="C210" t="s">
        <v>77</v>
      </c>
      <c r="D210" t="s">
        <v>263</v>
      </c>
      <c r="E210">
        <v>34</v>
      </c>
      <c r="F210">
        <v>34</v>
      </c>
      <c r="G210" t="s">
        <v>926</v>
      </c>
      <c r="H210" t="s">
        <v>927</v>
      </c>
      <c r="I210" t="s">
        <v>43</v>
      </c>
      <c r="J210" t="s">
        <v>43</v>
      </c>
      <c r="K210" t="s">
        <v>43</v>
      </c>
      <c r="L210" t="s">
        <v>43</v>
      </c>
      <c r="M210" t="s">
        <v>43</v>
      </c>
      <c r="N210" t="s">
        <v>43</v>
      </c>
      <c r="O210" t="s">
        <v>83</v>
      </c>
      <c r="P210" t="s">
        <v>43</v>
      </c>
      <c r="Q210" t="s">
        <v>43</v>
      </c>
      <c r="R210" t="s">
        <v>43</v>
      </c>
      <c r="S210" t="s">
        <v>43</v>
      </c>
      <c r="T210" t="s">
        <v>43</v>
      </c>
      <c r="U210" t="s">
        <v>43</v>
      </c>
      <c r="V210" t="s">
        <v>63</v>
      </c>
      <c r="W210" t="s">
        <v>43</v>
      </c>
      <c r="X210" t="s">
        <v>43</v>
      </c>
      <c r="Y210" t="s">
        <v>43</v>
      </c>
      <c r="Z210" t="s">
        <v>43</v>
      </c>
      <c r="AA210" t="s">
        <v>43</v>
      </c>
      <c r="AB210" t="s">
        <v>43</v>
      </c>
      <c r="AC210" t="s">
        <v>43</v>
      </c>
      <c r="AD210" t="s">
        <v>43</v>
      </c>
      <c r="AE210" t="s">
        <v>43</v>
      </c>
      <c r="AF210" t="s">
        <v>43</v>
      </c>
      <c r="AG210" t="s">
        <v>43</v>
      </c>
      <c r="AH210" t="s">
        <v>913</v>
      </c>
    </row>
    <row r="211" spans="1:34" x14ac:dyDescent="0.25">
      <c r="A211" t="s">
        <v>928</v>
      </c>
      <c r="B211" t="s">
        <v>35</v>
      </c>
      <c r="C211" t="s">
        <v>108</v>
      </c>
      <c r="D211" t="s">
        <v>148</v>
      </c>
      <c r="E211">
        <v>29</v>
      </c>
      <c r="F211">
        <v>27</v>
      </c>
      <c r="G211" t="s">
        <v>929</v>
      </c>
      <c r="H211" t="s">
        <v>930</v>
      </c>
      <c r="I211" t="s">
        <v>63</v>
      </c>
      <c r="J211" t="s">
        <v>43</v>
      </c>
      <c r="K211" t="s">
        <v>63</v>
      </c>
      <c r="L211" t="s">
        <v>63</v>
      </c>
      <c r="M211" t="s">
        <v>43</v>
      </c>
      <c r="N211" t="s">
        <v>43</v>
      </c>
      <c r="O211" t="s">
        <v>44</v>
      </c>
      <c r="P211" t="s">
        <v>43</v>
      </c>
      <c r="Q211" t="s">
        <v>44</v>
      </c>
      <c r="R211" t="s">
        <v>44</v>
      </c>
      <c r="S211" t="s">
        <v>112</v>
      </c>
      <c r="T211" t="s">
        <v>162</v>
      </c>
      <c r="U211" t="s">
        <v>506</v>
      </c>
      <c r="V211" t="s">
        <v>408</v>
      </c>
      <c r="W211" t="s">
        <v>167</v>
      </c>
      <c r="X211" t="s">
        <v>181</v>
      </c>
      <c r="Y211" t="s">
        <v>43</v>
      </c>
      <c r="Z211" t="s">
        <v>181</v>
      </c>
      <c r="AA211" t="s">
        <v>181</v>
      </c>
      <c r="AB211" t="s">
        <v>181</v>
      </c>
      <c r="AC211" t="s">
        <v>193</v>
      </c>
      <c r="AD211" t="s">
        <v>182</v>
      </c>
      <c r="AE211" t="s">
        <v>168</v>
      </c>
      <c r="AF211" t="s">
        <v>193</v>
      </c>
      <c r="AG211" t="s">
        <v>168</v>
      </c>
      <c r="AH211" t="s">
        <v>913</v>
      </c>
    </row>
    <row r="212" spans="1:34" x14ac:dyDescent="0.25">
      <c r="A212" t="s">
        <v>931</v>
      </c>
      <c r="B212" t="s">
        <v>376</v>
      </c>
      <c r="C212" t="s">
        <v>108</v>
      </c>
      <c r="D212" t="s">
        <v>263</v>
      </c>
      <c r="E212">
        <v>33</v>
      </c>
      <c r="F212">
        <v>27</v>
      </c>
      <c r="G212" t="s">
        <v>932</v>
      </c>
      <c r="H212" t="s">
        <v>933</v>
      </c>
      <c r="I212" t="s">
        <v>44</v>
      </c>
      <c r="J212" t="s">
        <v>114</v>
      </c>
      <c r="K212" t="s">
        <v>83</v>
      </c>
      <c r="L212" t="s">
        <v>44</v>
      </c>
      <c r="M212" t="s">
        <v>43</v>
      </c>
      <c r="N212" t="s">
        <v>43</v>
      </c>
      <c r="O212" t="s">
        <v>142</v>
      </c>
      <c r="P212" t="s">
        <v>43</v>
      </c>
      <c r="Q212" t="s">
        <v>254</v>
      </c>
      <c r="R212" t="s">
        <v>254</v>
      </c>
      <c r="S212" t="s">
        <v>45</v>
      </c>
      <c r="T212" t="s">
        <v>600</v>
      </c>
      <c r="U212" t="s">
        <v>506</v>
      </c>
      <c r="V212" t="s">
        <v>517</v>
      </c>
      <c r="W212" t="s">
        <v>284</v>
      </c>
      <c r="X212" t="s">
        <v>193</v>
      </c>
      <c r="Y212" t="s">
        <v>204</v>
      </c>
      <c r="Z212" t="s">
        <v>156</v>
      </c>
      <c r="AA212" t="s">
        <v>193</v>
      </c>
      <c r="AB212" t="s">
        <v>156</v>
      </c>
      <c r="AC212" t="s">
        <v>193</v>
      </c>
      <c r="AD212" t="s">
        <v>156</v>
      </c>
      <c r="AE212" t="s">
        <v>194</v>
      </c>
      <c r="AF212" t="s">
        <v>193</v>
      </c>
      <c r="AG212" t="s">
        <v>194</v>
      </c>
      <c r="AH212" t="s">
        <v>913</v>
      </c>
    </row>
    <row r="213" spans="1:34" x14ac:dyDescent="0.25">
      <c r="A213" t="s">
        <v>934</v>
      </c>
      <c r="B213" t="s">
        <v>376</v>
      </c>
      <c r="C213" t="s">
        <v>58</v>
      </c>
      <c r="D213" t="s">
        <v>201</v>
      </c>
      <c r="E213">
        <v>38</v>
      </c>
      <c r="F213">
        <v>25</v>
      </c>
      <c r="G213" t="s">
        <v>935</v>
      </c>
      <c r="H213" t="s">
        <v>911</v>
      </c>
      <c r="I213" t="s">
        <v>126</v>
      </c>
      <c r="J213" t="s">
        <v>40</v>
      </c>
      <c r="K213" t="s">
        <v>232</v>
      </c>
      <c r="L213" t="s">
        <v>126</v>
      </c>
      <c r="M213" t="s">
        <v>43</v>
      </c>
      <c r="N213" t="s">
        <v>43</v>
      </c>
      <c r="O213" t="s">
        <v>44</v>
      </c>
      <c r="P213" t="s">
        <v>43</v>
      </c>
      <c r="Q213" t="s">
        <v>142</v>
      </c>
      <c r="R213" t="s">
        <v>142</v>
      </c>
      <c r="S213" t="s">
        <v>672</v>
      </c>
      <c r="T213" t="s">
        <v>230</v>
      </c>
      <c r="U213" t="s">
        <v>936</v>
      </c>
      <c r="V213" t="s">
        <v>514</v>
      </c>
      <c r="W213" t="s">
        <v>937</v>
      </c>
      <c r="X213" t="s">
        <v>50</v>
      </c>
      <c r="Y213" t="s">
        <v>72</v>
      </c>
      <c r="Z213" t="s">
        <v>101</v>
      </c>
      <c r="AA213" t="s">
        <v>50</v>
      </c>
      <c r="AB213" t="s">
        <v>101</v>
      </c>
      <c r="AC213" t="s">
        <v>236</v>
      </c>
      <c r="AD213" t="s">
        <v>98</v>
      </c>
      <c r="AE213" t="s">
        <v>532</v>
      </c>
      <c r="AF213" t="s">
        <v>236</v>
      </c>
      <c r="AG213" t="s">
        <v>532</v>
      </c>
      <c r="AH213" t="s">
        <v>913</v>
      </c>
    </row>
    <row r="214" spans="1:34" x14ac:dyDescent="0.25">
      <c r="A214" t="s">
        <v>938</v>
      </c>
      <c r="B214" t="s">
        <v>508</v>
      </c>
      <c r="C214" t="s">
        <v>108</v>
      </c>
      <c r="D214" t="s">
        <v>268</v>
      </c>
      <c r="E214">
        <v>29</v>
      </c>
      <c r="F214">
        <v>23</v>
      </c>
      <c r="G214" t="s">
        <v>939</v>
      </c>
      <c r="H214" t="s">
        <v>940</v>
      </c>
      <c r="I214" t="s">
        <v>63</v>
      </c>
      <c r="J214" t="s">
        <v>63</v>
      </c>
      <c r="K214" t="s">
        <v>83</v>
      </c>
      <c r="L214" t="s">
        <v>63</v>
      </c>
      <c r="M214" t="s">
        <v>43</v>
      </c>
      <c r="N214" t="s">
        <v>43</v>
      </c>
      <c r="O214" t="s">
        <v>40</v>
      </c>
      <c r="P214" t="s">
        <v>43</v>
      </c>
      <c r="Q214" t="s">
        <v>547</v>
      </c>
      <c r="R214" t="s">
        <v>547</v>
      </c>
      <c r="S214" t="s">
        <v>327</v>
      </c>
      <c r="T214" t="s">
        <v>590</v>
      </c>
      <c r="U214" t="s">
        <v>541</v>
      </c>
      <c r="V214" t="s">
        <v>383</v>
      </c>
      <c r="W214" t="s">
        <v>357</v>
      </c>
      <c r="X214" t="s">
        <v>242</v>
      </c>
      <c r="Y214" t="s">
        <v>242</v>
      </c>
      <c r="Z214" t="s">
        <v>215</v>
      </c>
      <c r="AA214" t="s">
        <v>242</v>
      </c>
      <c r="AB214" t="s">
        <v>215</v>
      </c>
      <c r="AC214" t="s">
        <v>151</v>
      </c>
      <c r="AD214" t="s">
        <v>82</v>
      </c>
      <c r="AE214" t="s">
        <v>98</v>
      </c>
      <c r="AF214" t="s">
        <v>151</v>
      </c>
      <c r="AG214" t="s">
        <v>98</v>
      </c>
      <c r="AH214" t="s">
        <v>913</v>
      </c>
    </row>
    <row r="215" spans="1:34" x14ac:dyDescent="0.25">
      <c r="A215" t="s">
        <v>941</v>
      </c>
      <c r="B215" t="s">
        <v>942</v>
      </c>
      <c r="C215" t="s">
        <v>86</v>
      </c>
      <c r="D215" t="s">
        <v>268</v>
      </c>
      <c r="E215">
        <v>35</v>
      </c>
      <c r="F215">
        <v>22</v>
      </c>
      <c r="G215" t="s">
        <v>782</v>
      </c>
      <c r="H215" t="s">
        <v>59</v>
      </c>
      <c r="I215" t="s">
        <v>231</v>
      </c>
      <c r="J215" t="s">
        <v>41</v>
      </c>
      <c r="K215" t="s">
        <v>62</v>
      </c>
      <c r="L215" t="s">
        <v>231</v>
      </c>
      <c r="M215" t="s">
        <v>43</v>
      </c>
      <c r="N215" t="s">
        <v>43</v>
      </c>
      <c r="O215" t="s">
        <v>81</v>
      </c>
      <c r="P215" t="s">
        <v>43</v>
      </c>
      <c r="Q215" t="s">
        <v>504</v>
      </c>
      <c r="R215" t="s">
        <v>504</v>
      </c>
      <c r="S215" t="s">
        <v>548</v>
      </c>
      <c r="T215" t="s">
        <v>308</v>
      </c>
      <c r="U215" t="s">
        <v>578</v>
      </c>
      <c r="V215" t="s">
        <v>943</v>
      </c>
      <c r="W215" t="s">
        <v>944</v>
      </c>
      <c r="X215" t="s">
        <v>102</v>
      </c>
      <c r="Y215" t="s">
        <v>105</v>
      </c>
      <c r="Z215" t="s">
        <v>568</v>
      </c>
      <c r="AA215" t="s">
        <v>102</v>
      </c>
      <c r="AB215" t="s">
        <v>568</v>
      </c>
      <c r="AC215" t="s">
        <v>98</v>
      </c>
      <c r="AD215" t="s">
        <v>112</v>
      </c>
      <c r="AE215" t="s">
        <v>945</v>
      </c>
      <c r="AF215" t="s">
        <v>98</v>
      </c>
      <c r="AG215" t="s">
        <v>945</v>
      </c>
      <c r="AH215" t="s">
        <v>913</v>
      </c>
    </row>
    <row r="216" spans="1:34" x14ac:dyDescent="0.25">
      <c r="A216" t="s">
        <v>946</v>
      </c>
      <c r="B216" t="s">
        <v>76</v>
      </c>
      <c r="C216" t="s">
        <v>108</v>
      </c>
      <c r="D216" t="s">
        <v>263</v>
      </c>
      <c r="E216">
        <v>27</v>
      </c>
      <c r="F216">
        <v>20</v>
      </c>
      <c r="G216" t="s">
        <v>947</v>
      </c>
      <c r="H216" t="s">
        <v>948</v>
      </c>
      <c r="I216" t="s">
        <v>43</v>
      </c>
      <c r="J216" t="s">
        <v>43</v>
      </c>
      <c r="K216" t="s">
        <v>43</v>
      </c>
      <c r="L216" t="s">
        <v>43</v>
      </c>
      <c r="M216" t="s">
        <v>43</v>
      </c>
      <c r="N216" t="s">
        <v>43</v>
      </c>
      <c r="O216" t="s">
        <v>83</v>
      </c>
      <c r="P216" t="s">
        <v>43</v>
      </c>
      <c r="Q216" t="s">
        <v>175</v>
      </c>
      <c r="R216" t="s">
        <v>175</v>
      </c>
      <c r="S216" t="s">
        <v>82</v>
      </c>
      <c r="T216" t="s">
        <v>63</v>
      </c>
      <c r="U216" t="s">
        <v>83</v>
      </c>
      <c r="V216" t="s">
        <v>623</v>
      </c>
      <c r="W216" t="s">
        <v>44</v>
      </c>
      <c r="X216" t="s">
        <v>43</v>
      </c>
      <c r="Y216" t="s">
        <v>43</v>
      </c>
      <c r="Z216" t="s">
        <v>43</v>
      </c>
      <c r="AA216" t="s">
        <v>43</v>
      </c>
      <c r="AB216" t="s">
        <v>43</v>
      </c>
      <c r="AC216" t="s">
        <v>82</v>
      </c>
      <c r="AD216" t="s">
        <v>43</v>
      </c>
      <c r="AE216" t="s">
        <v>82</v>
      </c>
      <c r="AF216" t="s">
        <v>82</v>
      </c>
      <c r="AG216" t="s">
        <v>82</v>
      </c>
      <c r="AH216" t="s">
        <v>913</v>
      </c>
    </row>
    <row r="217" spans="1:34" x14ac:dyDescent="0.25">
      <c r="A217" t="s">
        <v>949</v>
      </c>
      <c r="B217" t="s">
        <v>376</v>
      </c>
      <c r="C217" t="s">
        <v>36</v>
      </c>
      <c r="D217" t="s">
        <v>59</v>
      </c>
      <c r="E217">
        <v>20</v>
      </c>
      <c r="F217">
        <v>20</v>
      </c>
      <c r="G217" t="s">
        <v>950</v>
      </c>
      <c r="H217" t="s">
        <v>863</v>
      </c>
      <c r="I217" t="s">
        <v>43</v>
      </c>
      <c r="J217" t="s">
        <v>44</v>
      </c>
      <c r="K217" t="s">
        <v>44</v>
      </c>
      <c r="L217" t="s">
        <v>43</v>
      </c>
      <c r="M217" t="s">
        <v>43</v>
      </c>
      <c r="N217" t="s">
        <v>43</v>
      </c>
      <c r="O217" t="s">
        <v>142</v>
      </c>
      <c r="P217" t="s">
        <v>44</v>
      </c>
      <c r="Q217" t="s">
        <v>82</v>
      </c>
      <c r="R217" t="s">
        <v>82</v>
      </c>
      <c r="S217" t="s">
        <v>222</v>
      </c>
      <c r="T217" t="s">
        <v>162</v>
      </c>
      <c r="U217" t="s">
        <v>62</v>
      </c>
      <c r="V217" t="s">
        <v>373</v>
      </c>
      <c r="W217" t="s">
        <v>231</v>
      </c>
      <c r="X217" t="s">
        <v>43</v>
      </c>
      <c r="Y217" t="s">
        <v>168</v>
      </c>
      <c r="Z217" t="s">
        <v>168</v>
      </c>
      <c r="AA217" t="s">
        <v>43</v>
      </c>
      <c r="AB217" t="s">
        <v>168</v>
      </c>
      <c r="AC217" t="s">
        <v>119</v>
      </c>
      <c r="AD217" t="s">
        <v>181</v>
      </c>
      <c r="AE217" t="s">
        <v>242</v>
      </c>
      <c r="AF217" t="s">
        <v>119</v>
      </c>
      <c r="AG217" t="s">
        <v>242</v>
      </c>
      <c r="AH217" t="s">
        <v>913</v>
      </c>
    </row>
    <row r="218" spans="1:34" x14ac:dyDescent="0.25">
      <c r="A218" t="s">
        <v>951</v>
      </c>
      <c r="B218" t="s">
        <v>207</v>
      </c>
      <c r="C218" t="s">
        <v>86</v>
      </c>
      <c r="D218" t="s">
        <v>148</v>
      </c>
      <c r="E218">
        <v>32</v>
      </c>
      <c r="F218">
        <v>17</v>
      </c>
      <c r="G218" t="s">
        <v>952</v>
      </c>
      <c r="H218" t="s">
        <v>203</v>
      </c>
      <c r="I218" t="s">
        <v>63</v>
      </c>
      <c r="J218" t="s">
        <v>126</v>
      </c>
      <c r="K218" t="s">
        <v>40</v>
      </c>
      <c r="L218" t="s">
        <v>63</v>
      </c>
      <c r="M218" t="s">
        <v>43</v>
      </c>
      <c r="N218" t="s">
        <v>43</v>
      </c>
      <c r="O218" t="s">
        <v>114</v>
      </c>
      <c r="P218" t="s">
        <v>43</v>
      </c>
      <c r="Q218" t="s">
        <v>222</v>
      </c>
      <c r="R218" t="s">
        <v>222</v>
      </c>
      <c r="S218" t="s">
        <v>113</v>
      </c>
      <c r="T218" t="s">
        <v>46</v>
      </c>
      <c r="U218" t="s">
        <v>59</v>
      </c>
      <c r="V218" t="s">
        <v>408</v>
      </c>
      <c r="W218" t="s">
        <v>178</v>
      </c>
      <c r="X218" t="s">
        <v>204</v>
      </c>
      <c r="Y218" t="s">
        <v>72</v>
      </c>
      <c r="Z218" t="s">
        <v>102</v>
      </c>
      <c r="AA218" t="s">
        <v>204</v>
      </c>
      <c r="AB218" t="s">
        <v>102</v>
      </c>
      <c r="AC218" t="s">
        <v>181</v>
      </c>
      <c r="AD218" t="s">
        <v>218</v>
      </c>
      <c r="AE218" t="s">
        <v>134</v>
      </c>
      <c r="AF218" t="s">
        <v>181</v>
      </c>
      <c r="AG218" t="s">
        <v>134</v>
      </c>
      <c r="AH218" t="s">
        <v>913</v>
      </c>
    </row>
    <row r="219" spans="1:34" x14ac:dyDescent="0.25">
      <c r="A219" t="s">
        <v>953</v>
      </c>
      <c r="B219" t="s">
        <v>376</v>
      </c>
      <c r="C219" t="s">
        <v>108</v>
      </c>
      <c r="D219" t="s">
        <v>123</v>
      </c>
      <c r="E219">
        <v>14</v>
      </c>
      <c r="F219">
        <v>14</v>
      </c>
      <c r="G219" t="s">
        <v>954</v>
      </c>
      <c r="H219" t="s">
        <v>513</v>
      </c>
      <c r="I219" t="s">
        <v>43</v>
      </c>
      <c r="J219" t="s">
        <v>44</v>
      </c>
      <c r="K219" t="s">
        <v>44</v>
      </c>
      <c r="L219" t="s">
        <v>43</v>
      </c>
      <c r="M219" t="s">
        <v>43</v>
      </c>
      <c r="N219" t="s">
        <v>43</v>
      </c>
      <c r="O219" t="s">
        <v>114</v>
      </c>
      <c r="P219" t="s">
        <v>43</v>
      </c>
      <c r="Q219" t="s">
        <v>398</v>
      </c>
      <c r="R219" t="s">
        <v>398</v>
      </c>
      <c r="S219" t="s">
        <v>259</v>
      </c>
      <c r="T219" t="s">
        <v>223</v>
      </c>
      <c r="U219" t="s">
        <v>148</v>
      </c>
      <c r="V219" t="s">
        <v>955</v>
      </c>
      <c r="W219" t="s">
        <v>44</v>
      </c>
      <c r="X219" t="s">
        <v>43</v>
      </c>
      <c r="Y219" t="s">
        <v>242</v>
      </c>
      <c r="Z219" t="s">
        <v>242</v>
      </c>
      <c r="AA219" t="s">
        <v>43</v>
      </c>
      <c r="AB219" t="s">
        <v>242</v>
      </c>
      <c r="AC219" t="s">
        <v>181</v>
      </c>
      <c r="AD219" t="s">
        <v>169</v>
      </c>
      <c r="AE219" t="s">
        <v>118</v>
      </c>
      <c r="AF219" t="s">
        <v>181</v>
      </c>
      <c r="AG219" t="s">
        <v>118</v>
      </c>
      <c r="AH219" t="s">
        <v>913</v>
      </c>
    </row>
    <row r="220" spans="1:34" x14ac:dyDescent="0.25">
      <c r="A220" t="s">
        <v>956</v>
      </c>
      <c r="B220" t="s">
        <v>35</v>
      </c>
      <c r="C220" t="s">
        <v>108</v>
      </c>
      <c r="D220" t="s">
        <v>263</v>
      </c>
      <c r="E220">
        <v>21</v>
      </c>
      <c r="F220">
        <v>11</v>
      </c>
      <c r="G220" t="s">
        <v>957</v>
      </c>
      <c r="H220" t="s">
        <v>91</v>
      </c>
      <c r="I220" t="s">
        <v>63</v>
      </c>
      <c r="J220" t="s">
        <v>43</v>
      </c>
      <c r="K220" t="s">
        <v>63</v>
      </c>
      <c r="L220" t="s">
        <v>63</v>
      </c>
      <c r="M220" t="s">
        <v>43</v>
      </c>
      <c r="N220" t="s">
        <v>43</v>
      </c>
      <c r="O220" t="s">
        <v>63</v>
      </c>
      <c r="P220" t="s">
        <v>43</v>
      </c>
      <c r="Q220" t="s">
        <v>254</v>
      </c>
      <c r="R220" t="s">
        <v>254</v>
      </c>
      <c r="S220" t="s">
        <v>254</v>
      </c>
      <c r="T220" t="s">
        <v>327</v>
      </c>
      <c r="U220" t="s">
        <v>140</v>
      </c>
      <c r="V220" t="s">
        <v>201</v>
      </c>
      <c r="W220" t="s">
        <v>373</v>
      </c>
      <c r="X220" t="s">
        <v>215</v>
      </c>
      <c r="Y220" t="s">
        <v>43</v>
      </c>
      <c r="Z220" t="s">
        <v>215</v>
      </c>
      <c r="AA220" t="s">
        <v>215</v>
      </c>
      <c r="AB220" t="s">
        <v>215</v>
      </c>
      <c r="AC220" t="s">
        <v>82</v>
      </c>
      <c r="AD220" t="s">
        <v>82</v>
      </c>
      <c r="AE220" t="s">
        <v>241</v>
      </c>
      <c r="AF220" t="s">
        <v>82</v>
      </c>
      <c r="AG220" t="s">
        <v>241</v>
      </c>
      <c r="AH220" t="s">
        <v>913</v>
      </c>
    </row>
    <row r="221" spans="1:34" x14ac:dyDescent="0.25">
      <c r="A221" t="s">
        <v>958</v>
      </c>
      <c r="B221" t="s">
        <v>519</v>
      </c>
      <c r="C221" t="s">
        <v>58</v>
      </c>
      <c r="D221" t="s">
        <v>201</v>
      </c>
      <c r="E221">
        <v>25</v>
      </c>
      <c r="F221">
        <v>9</v>
      </c>
      <c r="G221" t="s">
        <v>959</v>
      </c>
      <c r="H221" t="s">
        <v>960</v>
      </c>
      <c r="I221" t="s">
        <v>63</v>
      </c>
      <c r="J221" t="s">
        <v>43</v>
      </c>
      <c r="K221" t="s">
        <v>63</v>
      </c>
      <c r="L221" t="s">
        <v>63</v>
      </c>
      <c r="M221" t="s">
        <v>43</v>
      </c>
      <c r="N221" t="s">
        <v>43</v>
      </c>
      <c r="O221" t="s">
        <v>142</v>
      </c>
      <c r="P221" t="s">
        <v>43</v>
      </c>
      <c r="Q221" t="s">
        <v>113</v>
      </c>
      <c r="R221" t="s">
        <v>113</v>
      </c>
      <c r="S221" t="s">
        <v>44</v>
      </c>
      <c r="T221" t="s">
        <v>297</v>
      </c>
      <c r="U221" t="s">
        <v>147</v>
      </c>
      <c r="V221" t="s">
        <v>263</v>
      </c>
      <c r="W221" t="s">
        <v>704</v>
      </c>
      <c r="X221" t="s">
        <v>134</v>
      </c>
      <c r="Y221" t="s">
        <v>43</v>
      </c>
      <c r="Z221" t="s">
        <v>134</v>
      </c>
      <c r="AA221" t="s">
        <v>134</v>
      </c>
      <c r="AB221" t="s">
        <v>134</v>
      </c>
      <c r="AC221" t="s">
        <v>51</v>
      </c>
      <c r="AD221" t="s">
        <v>204</v>
      </c>
      <c r="AE221" t="s">
        <v>105</v>
      </c>
      <c r="AF221" t="s">
        <v>51</v>
      </c>
      <c r="AG221" t="s">
        <v>105</v>
      </c>
      <c r="AH221" t="s">
        <v>913</v>
      </c>
    </row>
    <row r="222" spans="1:34" x14ac:dyDescent="0.25">
      <c r="A222" t="s">
        <v>961</v>
      </c>
      <c r="B222" t="s">
        <v>57</v>
      </c>
      <c r="C222" t="s">
        <v>58</v>
      </c>
      <c r="D222" t="s">
        <v>272</v>
      </c>
      <c r="E222">
        <v>16</v>
      </c>
      <c r="F222">
        <v>8</v>
      </c>
      <c r="G222" t="s">
        <v>962</v>
      </c>
      <c r="H222" t="s">
        <v>329</v>
      </c>
      <c r="I222" t="s">
        <v>44</v>
      </c>
      <c r="J222" t="s">
        <v>44</v>
      </c>
      <c r="K222" t="s">
        <v>63</v>
      </c>
      <c r="L222" t="s">
        <v>44</v>
      </c>
      <c r="M222" t="s">
        <v>43</v>
      </c>
      <c r="N222" t="s">
        <v>43</v>
      </c>
      <c r="O222" t="s">
        <v>63</v>
      </c>
      <c r="P222" t="s">
        <v>43</v>
      </c>
      <c r="Q222" t="s">
        <v>531</v>
      </c>
      <c r="R222" t="s">
        <v>531</v>
      </c>
      <c r="S222" t="s">
        <v>44</v>
      </c>
      <c r="T222" t="s">
        <v>730</v>
      </c>
      <c r="U222" t="s">
        <v>109</v>
      </c>
      <c r="V222" t="s">
        <v>123</v>
      </c>
      <c r="W222" t="s">
        <v>963</v>
      </c>
      <c r="X222" t="s">
        <v>204</v>
      </c>
      <c r="Y222" t="s">
        <v>204</v>
      </c>
      <c r="Z222" t="s">
        <v>134</v>
      </c>
      <c r="AA222" t="s">
        <v>204</v>
      </c>
      <c r="AB222" t="s">
        <v>134</v>
      </c>
      <c r="AC222" t="s">
        <v>402</v>
      </c>
      <c r="AD222" t="s">
        <v>204</v>
      </c>
      <c r="AE222" t="s">
        <v>616</v>
      </c>
      <c r="AF222" t="s">
        <v>402</v>
      </c>
      <c r="AG222" t="s">
        <v>616</v>
      </c>
      <c r="AH222" t="s">
        <v>913</v>
      </c>
    </row>
    <row r="223" spans="1:34" x14ac:dyDescent="0.25">
      <c r="A223" t="s">
        <v>964</v>
      </c>
      <c r="B223" t="s">
        <v>57</v>
      </c>
      <c r="C223" t="s">
        <v>86</v>
      </c>
      <c r="D223" t="s">
        <v>185</v>
      </c>
      <c r="E223">
        <v>11</v>
      </c>
      <c r="F223">
        <v>8</v>
      </c>
      <c r="G223" t="s">
        <v>965</v>
      </c>
      <c r="H223" t="s">
        <v>211</v>
      </c>
      <c r="I223" t="s">
        <v>114</v>
      </c>
      <c r="J223" t="s">
        <v>44</v>
      </c>
      <c r="K223" t="s">
        <v>83</v>
      </c>
      <c r="L223" t="s">
        <v>114</v>
      </c>
      <c r="M223" t="s">
        <v>43</v>
      </c>
      <c r="N223" t="s">
        <v>43</v>
      </c>
      <c r="O223" t="s">
        <v>114</v>
      </c>
      <c r="P223" t="s">
        <v>43</v>
      </c>
      <c r="Q223" t="s">
        <v>162</v>
      </c>
      <c r="R223" t="s">
        <v>162</v>
      </c>
      <c r="S223" t="s">
        <v>70</v>
      </c>
      <c r="T223" t="s">
        <v>63</v>
      </c>
      <c r="U223" t="s">
        <v>272</v>
      </c>
      <c r="V223" t="s">
        <v>123</v>
      </c>
      <c r="W223" t="s">
        <v>263</v>
      </c>
      <c r="X223" t="s">
        <v>318</v>
      </c>
      <c r="Y223" t="s">
        <v>218</v>
      </c>
      <c r="Z223" t="s">
        <v>532</v>
      </c>
      <c r="AA223" t="s">
        <v>318</v>
      </c>
      <c r="AB223" t="s">
        <v>532</v>
      </c>
      <c r="AC223" t="s">
        <v>194</v>
      </c>
      <c r="AD223" t="s">
        <v>120</v>
      </c>
      <c r="AE223" t="s">
        <v>51</v>
      </c>
      <c r="AF223" t="s">
        <v>194</v>
      </c>
      <c r="AG223" t="s">
        <v>51</v>
      </c>
      <c r="AH223" t="s">
        <v>913</v>
      </c>
    </row>
    <row r="224" spans="1:34" x14ac:dyDescent="0.25">
      <c r="A224" t="s">
        <v>966</v>
      </c>
      <c r="B224" t="s">
        <v>675</v>
      </c>
      <c r="C224" t="s">
        <v>77</v>
      </c>
      <c r="D224" t="s">
        <v>109</v>
      </c>
      <c r="E224">
        <v>5</v>
      </c>
      <c r="F224">
        <v>4</v>
      </c>
      <c r="G224" t="s">
        <v>967</v>
      </c>
      <c r="H224" t="s">
        <v>189</v>
      </c>
      <c r="I224" t="s">
        <v>43</v>
      </c>
      <c r="J224" t="s">
        <v>43</v>
      </c>
      <c r="K224" t="s">
        <v>43</v>
      </c>
      <c r="L224" t="s">
        <v>43</v>
      </c>
      <c r="M224" t="s">
        <v>43</v>
      </c>
      <c r="N224" t="s">
        <v>43</v>
      </c>
      <c r="O224" t="s">
        <v>43</v>
      </c>
      <c r="P224" t="s">
        <v>43</v>
      </c>
      <c r="Q224" t="s">
        <v>43</v>
      </c>
      <c r="R224" t="s">
        <v>43</v>
      </c>
      <c r="S224" t="s">
        <v>43</v>
      </c>
      <c r="T224" t="s">
        <v>43</v>
      </c>
      <c r="U224" t="s">
        <v>43</v>
      </c>
      <c r="V224" t="s">
        <v>43</v>
      </c>
      <c r="W224" t="s">
        <v>43</v>
      </c>
      <c r="X224" t="s">
        <v>43</v>
      </c>
      <c r="Y224" t="s">
        <v>43</v>
      </c>
      <c r="Z224" t="s">
        <v>43</v>
      </c>
      <c r="AA224" t="s">
        <v>43</v>
      </c>
      <c r="AB224" t="s">
        <v>43</v>
      </c>
      <c r="AC224" t="s">
        <v>43</v>
      </c>
      <c r="AD224" t="s">
        <v>43</v>
      </c>
      <c r="AE224" t="s">
        <v>43</v>
      </c>
      <c r="AF224" t="s">
        <v>43</v>
      </c>
      <c r="AG224" t="s">
        <v>43</v>
      </c>
      <c r="AH224" t="s">
        <v>913</v>
      </c>
    </row>
    <row r="225" spans="1:34" x14ac:dyDescent="0.25">
      <c r="A225" t="s">
        <v>968</v>
      </c>
      <c r="B225" t="s">
        <v>287</v>
      </c>
      <c r="C225" t="s">
        <v>58</v>
      </c>
      <c r="D225" t="s">
        <v>62</v>
      </c>
      <c r="E225">
        <v>23</v>
      </c>
      <c r="F225">
        <v>3</v>
      </c>
      <c r="G225" t="s">
        <v>969</v>
      </c>
      <c r="H225" t="s">
        <v>387</v>
      </c>
      <c r="I225" t="s">
        <v>81</v>
      </c>
      <c r="J225" t="s">
        <v>43</v>
      </c>
      <c r="K225" t="s">
        <v>81</v>
      </c>
      <c r="L225" t="s">
        <v>81</v>
      </c>
      <c r="M225" t="s">
        <v>43</v>
      </c>
      <c r="N225" t="s">
        <v>43</v>
      </c>
      <c r="O225" t="s">
        <v>81</v>
      </c>
      <c r="P225" t="s">
        <v>43</v>
      </c>
      <c r="Q225" t="s">
        <v>63</v>
      </c>
      <c r="R225" t="s">
        <v>63</v>
      </c>
      <c r="S225" t="s">
        <v>163</v>
      </c>
      <c r="T225" t="s">
        <v>327</v>
      </c>
      <c r="U225" t="s">
        <v>41</v>
      </c>
      <c r="V225" t="s">
        <v>41</v>
      </c>
      <c r="W225" t="s">
        <v>268</v>
      </c>
      <c r="X225" t="s">
        <v>150</v>
      </c>
      <c r="Y225" t="s">
        <v>43</v>
      </c>
      <c r="Z225" t="s">
        <v>150</v>
      </c>
      <c r="AA225" t="s">
        <v>150</v>
      </c>
      <c r="AB225" t="s">
        <v>150</v>
      </c>
      <c r="AC225" t="s">
        <v>510</v>
      </c>
      <c r="AD225" t="s">
        <v>169</v>
      </c>
      <c r="AE225" t="s">
        <v>102</v>
      </c>
      <c r="AF225" t="s">
        <v>510</v>
      </c>
      <c r="AG225" t="s">
        <v>102</v>
      </c>
      <c r="AH225" t="s">
        <v>913</v>
      </c>
    </row>
    <row r="226" spans="1:34" x14ac:dyDescent="0.25">
      <c r="A226" t="s">
        <v>970</v>
      </c>
      <c r="B226" t="s">
        <v>57</v>
      </c>
      <c r="C226" t="s">
        <v>36</v>
      </c>
      <c r="D226" t="s">
        <v>141</v>
      </c>
      <c r="E226">
        <v>9</v>
      </c>
      <c r="F226">
        <v>1</v>
      </c>
      <c r="G226" t="s">
        <v>971</v>
      </c>
      <c r="H226" t="s">
        <v>255</v>
      </c>
      <c r="I226" t="s">
        <v>43</v>
      </c>
      <c r="J226" t="s">
        <v>43</v>
      </c>
      <c r="K226" t="s">
        <v>43</v>
      </c>
      <c r="L226" t="s">
        <v>43</v>
      </c>
      <c r="M226" t="s">
        <v>43</v>
      </c>
      <c r="N226" t="s">
        <v>43</v>
      </c>
      <c r="O226" t="s">
        <v>43</v>
      </c>
      <c r="P226" t="s">
        <v>43</v>
      </c>
      <c r="Q226" t="s">
        <v>43</v>
      </c>
      <c r="R226" t="s">
        <v>43</v>
      </c>
      <c r="S226" t="s">
        <v>43</v>
      </c>
      <c r="T226" t="s">
        <v>43</v>
      </c>
      <c r="U226" t="s">
        <v>114</v>
      </c>
      <c r="V226" t="s">
        <v>44</v>
      </c>
      <c r="W226" t="s">
        <v>43</v>
      </c>
      <c r="X226" t="s">
        <v>43</v>
      </c>
      <c r="Y226" t="s">
        <v>43</v>
      </c>
      <c r="Z226" t="s">
        <v>43</v>
      </c>
      <c r="AA226" t="s">
        <v>43</v>
      </c>
      <c r="AB226" t="s">
        <v>43</v>
      </c>
      <c r="AC226" t="s">
        <v>43</v>
      </c>
      <c r="AD226" t="s">
        <v>43</v>
      </c>
      <c r="AE226" t="s">
        <v>43</v>
      </c>
      <c r="AF226" t="s">
        <v>43</v>
      </c>
      <c r="AG226" t="s">
        <v>43</v>
      </c>
      <c r="AH226" t="s">
        <v>913</v>
      </c>
    </row>
    <row r="227" spans="1:34" x14ac:dyDescent="0.25">
      <c r="A227" t="s">
        <v>972</v>
      </c>
      <c r="B227" t="s">
        <v>57</v>
      </c>
      <c r="C227" t="s">
        <v>524</v>
      </c>
      <c r="D227" t="s">
        <v>123</v>
      </c>
      <c r="E227">
        <v>5</v>
      </c>
      <c r="F227">
        <v>1</v>
      </c>
      <c r="G227" t="s">
        <v>339</v>
      </c>
      <c r="H227" t="s">
        <v>164</v>
      </c>
      <c r="I227" t="s">
        <v>43</v>
      </c>
      <c r="J227" t="s">
        <v>44</v>
      </c>
      <c r="K227" t="s">
        <v>44</v>
      </c>
      <c r="L227" t="s">
        <v>43</v>
      </c>
      <c r="M227" t="s">
        <v>43</v>
      </c>
      <c r="N227" t="s">
        <v>43</v>
      </c>
      <c r="O227" t="s">
        <v>44</v>
      </c>
      <c r="P227" t="s">
        <v>43</v>
      </c>
      <c r="Q227" t="s">
        <v>43</v>
      </c>
      <c r="R227" t="s">
        <v>43</v>
      </c>
      <c r="S227" t="s">
        <v>82</v>
      </c>
      <c r="T227" t="s">
        <v>82</v>
      </c>
      <c r="U227" t="s">
        <v>43</v>
      </c>
      <c r="V227" t="s">
        <v>81</v>
      </c>
      <c r="W227" t="s">
        <v>44</v>
      </c>
      <c r="X227" t="s">
        <v>43</v>
      </c>
      <c r="Y227" t="s">
        <v>74</v>
      </c>
      <c r="Z227" t="s">
        <v>74</v>
      </c>
      <c r="AA227" t="s">
        <v>43</v>
      </c>
      <c r="AB227" t="s">
        <v>74</v>
      </c>
      <c r="AC227" t="s">
        <v>43</v>
      </c>
      <c r="AD227" t="s">
        <v>169</v>
      </c>
      <c r="AE227" t="s">
        <v>169</v>
      </c>
      <c r="AF227" t="s">
        <v>43</v>
      </c>
      <c r="AG227" t="s">
        <v>169</v>
      </c>
      <c r="AH227" t="s">
        <v>913</v>
      </c>
    </row>
    <row r="228" spans="1:34" x14ac:dyDescent="0.25">
      <c r="A228" t="s">
        <v>973</v>
      </c>
      <c r="B228" t="s">
        <v>207</v>
      </c>
      <c r="C228" t="s">
        <v>36</v>
      </c>
      <c r="D228" t="s">
        <v>123</v>
      </c>
      <c r="E228">
        <v>8</v>
      </c>
      <c r="F228">
        <v>1</v>
      </c>
      <c r="G228" t="s">
        <v>754</v>
      </c>
      <c r="H228" t="s">
        <v>222</v>
      </c>
      <c r="I228" t="s">
        <v>44</v>
      </c>
      <c r="J228" t="s">
        <v>43</v>
      </c>
      <c r="K228" t="s">
        <v>44</v>
      </c>
      <c r="L228" t="s">
        <v>44</v>
      </c>
      <c r="M228" t="s">
        <v>43</v>
      </c>
      <c r="N228" t="s">
        <v>43</v>
      </c>
      <c r="O228" t="s">
        <v>43</v>
      </c>
      <c r="P228" t="s">
        <v>43</v>
      </c>
      <c r="Q228" t="s">
        <v>378</v>
      </c>
      <c r="R228" t="s">
        <v>378</v>
      </c>
      <c r="S228" t="s">
        <v>43</v>
      </c>
      <c r="T228" t="s">
        <v>378</v>
      </c>
      <c r="U228" t="s">
        <v>43</v>
      </c>
      <c r="V228" t="s">
        <v>114</v>
      </c>
      <c r="W228" t="s">
        <v>63</v>
      </c>
      <c r="X228" t="s">
        <v>566</v>
      </c>
      <c r="Y228" t="s">
        <v>43</v>
      </c>
      <c r="Z228" t="s">
        <v>566</v>
      </c>
      <c r="AA228" t="s">
        <v>566</v>
      </c>
      <c r="AB228" t="s">
        <v>566</v>
      </c>
      <c r="AC228" t="s">
        <v>532</v>
      </c>
      <c r="AD228" t="s">
        <v>43</v>
      </c>
      <c r="AE228" t="s">
        <v>532</v>
      </c>
      <c r="AF228" t="s">
        <v>532</v>
      </c>
      <c r="AG228" t="s">
        <v>532</v>
      </c>
      <c r="AH228" t="s">
        <v>913</v>
      </c>
    </row>
    <row r="229" spans="1:34" x14ac:dyDescent="0.25">
      <c r="A229" t="s">
        <v>974</v>
      </c>
      <c r="B229" t="s">
        <v>57</v>
      </c>
      <c r="C229" t="s">
        <v>108</v>
      </c>
      <c r="D229" t="s">
        <v>263</v>
      </c>
      <c r="E229">
        <v>1</v>
      </c>
      <c r="F229">
        <v>1</v>
      </c>
      <c r="G229" t="s">
        <v>263</v>
      </c>
      <c r="H229" t="s">
        <v>163</v>
      </c>
      <c r="I229" t="s">
        <v>43</v>
      </c>
      <c r="J229" t="s">
        <v>43</v>
      </c>
      <c r="K229" t="s">
        <v>43</v>
      </c>
      <c r="L229" t="s">
        <v>43</v>
      </c>
      <c r="M229" t="s">
        <v>43</v>
      </c>
      <c r="N229" t="s">
        <v>43</v>
      </c>
      <c r="O229" t="s">
        <v>43</v>
      </c>
      <c r="P229" t="s">
        <v>43</v>
      </c>
      <c r="Q229" t="s">
        <v>43</v>
      </c>
      <c r="R229" t="s">
        <v>43</v>
      </c>
      <c r="S229" t="s">
        <v>43</v>
      </c>
      <c r="T229" t="s">
        <v>43</v>
      </c>
      <c r="U229" t="s">
        <v>43</v>
      </c>
      <c r="V229" t="s">
        <v>43</v>
      </c>
      <c r="W229" t="s">
        <v>43</v>
      </c>
      <c r="X229" t="s">
        <v>43</v>
      </c>
      <c r="Y229" t="s">
        <v>43</v>
      </c>
      <c r="Z229" t="s">
        <v>43</v>
      </c>
      <c r="AA229" t="s">
        <v>43</v>
      </c>
      <c r="AB229" t="s">
        <v>43</v>
      </c>
      <c r="AC229" t="s">
        <v>182</v>
      </c>
      <c r="AD229" t="s">
        <v>181</v>
      </c>
      <c r="AE229" t="s">
        <v>120</v>
      </c>
      <c r="AF229" t="s">
        <v>182</v>
      </c>
      <c r="AG229" t="s">
        <v>120</v>
      </c>
      <c r="AH229" t="s">
        <v>913</v>
      </c>
    </row>
    <row r="230" spans="1:34" x14ac:dyDescent="0.25">
      <c r="A230" t="s">
        <v>975</v>
      </c>
      <c r="B230" t="s">
        <v>57</v>
      </c>
      <c r="C230" t="s">
        <v>137</v>
      </c>
      <c r="D230" t="s">
        <v>42</v>
      </c>
      <c r="E230">
        <v>2</v>
      </c>
      <c r="F230">
        <v>0</v>
      </c>
      <c r="G230" t="s">
        <v>225</v>
      </c>
      <c r="H230" t="s">
        <v>112</v>
      </c>
      <c r="I230" t="s">
        <v>43</v>
      </c>
      <c r="J230" t="s">
        <v>43</v>
      </c>
      <c r="K230" t="s">
        <v>43</v>
      </c>
      <c r="L230" t="s">
        <v>43</v>
      </c>
      <c r="M230" t="s">
        <v>43</v>
      </c>
      <c r="N230" t="s">
        <v>43</v>
      </c>
      <c r="O230" t="s">
        <v>43</v>
      </c>
      <c r="P230" t="s">
        <v>43</v>
      </c>
      <c r="Q230" t="s">
        <v>82</v>
      </c>
      <c r="R230" t="s">
        <v>82</v>
      </c>
      <c r="S230" t="s">
        <v>43</v>
      </c>
      <c r="T230" t="s">
        <v>82</v>
      </c>
      <c r="U230" t="s">
        <v>44</v>
      </c>
      <c r="V230" t="s">
        <v>43</v>
      </c>
      <c r="W230" t="s">
        <v>43</v>
      </c>
      <c r="X230" t="s">
        <v>43</v>
      </c>
      <c r="Y230" t="s">
        <v>43</v>
      </c>
      <c r="Z230" t="s">
        <v>43</v>
      </c>
      <c r="AA230" t="s">
        <v>43</v>
      </c>
      <c r="AB230" t="s">
        <v>43</v>
      </c>
      <c r="AC230" t="s">
        <v>215</v>
      </c>
      <c r="AD230" t="s">
        <v>43</v>
      </c>
      <c r="AE230" t="s">
        <v>215</v>
      </c>
      <c r="AF230" t="s">
        <v>215</v>
      </c>
      <c r="AG230" t="s">
        <v>215</v>
      </c>
      <c r="AH230" t="s">
        <v>913</v>
      </c>
    </row>
    <row r="231" spans="1:34" x14ac:dyDescent="0.25">
      <c r="A231" t="s">
        <v>976</v>
      </c>
      <c r="B231" t="s">
        <v>76</v>
      </c>
      <c r="C231" t="s">
        <v>86</v>
      </c>
      <c r="D231" t="s">
        <v>304</v>
      </c>
      <c r="E231">
        <v>2</v>
      </c>
      <c r="F231">
        <v>0</v>
      </c>
      <c r="G231" t="s">
        <v>268</v>
      </c>
      <c r="H231" t="s">
        <v>163</v>
      </c>
      <c r="I231" t="s">
        <v>43</v>
      </c>
      <c r="J231" t="s">
        <v>43</v>
      </c>
      <c r="K231" t="s">
        <v>43</v>
      </c>
      <c r="L231" t="s">
        <v>43</v>
      </c>
      <c r="M231" t="s">
        <v>43</v>
      </c>
      <c r="N231" t="s">
        <v>43</v>
      </c>
      <c r="O231" t="s">
        <v>43</v>
      </c>
      <c r="P231" t="s">
        <v>43</v>
      </c>
      <c r="Q231" t="s">
        <v>82</v>
      </c>
      <c r="R231" t="s">
        <v>82</v>
      </c>
      <c r="S231" t="s">
        <v>43</v>
      </c>
      <c r="T231" t="s">
        <v>82</v>
      </c>
      <c r="U231" t="s">
        <v>81</v>
      </c>
      <c r="V231" t="s">
        <v>81</v>
      </c>
      <c r="W231" t="s">
        <v>63</v>
      </c>
      <c r="X231" t="s">
        <v>43</v>
      </c>
      <c r="Y231" t="s">
        <v>43</v>
      </c>
      <c r="Z231" t="s">
        <v>43</v>
      </c>
      <c r="AA231" t="s">
        <v>43</v>
      </c>
      <c r="AB231" t="s">
        <v>43</v>
      </c>
      <c r="AC231" t="s">
        <v>52</v>
      </c>
      <c r="AD231" t="s">
        <v>43</v>
      </c>
      <c r="AE231" t="s">
        <v>52</v>
      </c>
      <c r="AF231" t="s">
        <v>52</v>
      </c>
      <c r="AG231" t="s">
        <v>52</v>
      </c>
      <c r="AH231" t="s">
        <v>913</v>
      </c>
    </row>
    <row r="232" spans="1:34" x14ac:dyDescent="0.25">
      <c r="A232" t="s">
        <v>977</v>
      </c>
      <c r="B232" t="s">
        <v>978</v>
      </c>
      <c r="C232" t="s">
        <v>644</v>
      </c>
      <c r="D232" t="s">
        <v>37</v>
      </c>
      <c r="E232">
        <v>2</v>
      </c>
      <c r="F232">
        <v>0</v>
      </c>
      <c r="G232" t="s">
        <v>89</v>
      </c>
      <c r="H232" t="s">
        <v>82</v>
      </c>
      <c r="I232" t="s">
        <v>43</v>
      </c>
      <c r="J232" t="s">
        <v>43</v>
      </c>
      <c r="K232" t="s">
        <v>43</v>
      </c>
      <c r="L232" t="s">
        <v>43</v>
      </c>
      <c r="M232" t="s">
        <v>43</v>
      </c>
      <c r="N232" t="s">
        <v>43</v>
      </c>
      <c r="O232" t="s">
        <v>43</v>
      </c>
      <c r="P232" t="s">
        <v>43</v>
      </c>
      <c r="Q232" t="s">
        <v>43</v>
      </c>
      <c r="R232" t="s">
        <v>43</v>
      </c>
      <c r="S232" t="s">
        <v>43</v>
      </c>
      <c r="T232" t="s">
        <v>43</v>
      </c>
      <c r="U232" t="s">
        <v>43</v>
      </c>
      <c r="V232" t="s">
        <v>43</v>
      </c>
      <c r="W232" t="s">
        <v>43</v>
      </c>
      <c r="X232" t="s">
        <v>43</v>
      </c>
      <c r="Y232" t="s">
        <v>43</v>
      </c>
      <c r="Z232" t="s">
        <v>43</v>
      </c>
      <c r="AA232" t="s">
        <v>43</v>
      </c>
      <c r="AB232" t="s">
        <v>43</v>
      </c>
      <c r="AC232" t="s">
        <v>43</v>
      </c>
      <c r="AD232" t="s">
        <v>43</v>
      </c>
      <c r="AE232" t="s">
        <v>43</v>
      </c>
      <c r="AF232" t="s">
        <v>43</v>
      </c>
      <c r="AG232" t="s">
        <v>43</v>
      </c>
      <c r="AH232" t="s">
        <v>913</v>
      </c>
    </row>
    <row r="233" spans="1:34" x14ac:dyDescent="0.25">
      <c r="A233" t="s">
        <v>979</v>
      </c>
      <c r="B233" t="s">
        <v>57</v>
      </c>
      <c r="C233" t="s">
        <v>36</v>
      </c>
      <c r="D233" t="s">
        <v>272</v>
      </c>
      <c r="E233">
        <v>1</v>
      </c>
      <c r="F233">
        <v>0</v>
      </c>
      <c r="G233" t="s">
        <v>126</v>
      </c>
      <c r="H233" t="s">
        <v>82</v>
      </c>
      <c r="I233" t="s">
        <v>43</v>
      </c>
      <c r="J233" t="s">
        <v>43</v>
      </c>
      <c r="K233" t="s">
        <v>43</v>
      </c>
      <c r="L233" t="s">
        <v>43</v>
      </c>
      <c r="M233" t="s">
        <v>43</v>
      </c>
      <c r="N233" t="s">
        <v>43</v>
      </c>
      <c r="O233" t="s">
        <v>44</v>
      </c>
      <c r="P233" t="s">
        <v>43</v>
      </c>
      <c r="Q233" t="s">
        <v>43</v>
      </c>
      <c r="R233" t="s">
        <v>43</v>
      </c>
      <c r="S233" t="s">
        <v>43</v>
      </c>
      <c r="T233" t="s">
        <v>43</v>
      </c>
      <c r="U233" t="s">
        <v>44</v>
      </c>
      <c r="V233" t="s">
        <v>43</v>
      </c>
      <c r="W233" t="s">
        <v>43</v>
      </c>
      <c r="X233" t="s">
        <v>43</v>
      </c>
      <c r="Y233" t="s">
        <v>43</v>
      </c>
      <c r="Z233" t="s">
        <v>43</v>
      </c>
      <c r="AA233" t="s">
        <v>43</v>
      </c>
      <c r="AB233" t="s">
        <v>43</v>
      </c>
      <c r="AC233" t="s">
        <v>43</v>
      </c>
      <c r="AD233" t="s">
        <v>43</v>
      </c>
      <c r="AE233" t="s">
        <v>43</v>
      </c>
      <c r="AF233" t="s">
        <v>43</v>
      </c>
      <c r="AG233" t="s">
        <v>43</v>
      </c>
      <c r="AH233" t="s">
        <v>913</v>
      </c>
    </row>
    <row r="234" spans="1:34" x14ac:dyDescent="0.25">
      <c r="A234" t="s">
        <v>980</v>
      </c>
      <c r="B234" t="s">
        <v>57</v>
      </c>
      <c r="C234" t="s">
        <v>524</v>
      </c>
      <c r="D234" t="s">
        <v>141</v>
      </c>
      <c r="E234">
        <v>3</v>
      </c>
      <c r="F234">
        <v>0</v>
      </c>
      <c r="G234" t="s">
        <v>126</v>
      </c>
      <c r="H234" t="s">
        <v>82</v>
      </c>
      <c r="I234" t="s">
        <v>43</v>
      </c>
      <c r="J234" t="s">
        <v>43</v>
      </c>
      <c r="K234" t="s">
        <v>43</v>
      </c>
      <c r="L234" t="s">
        <v>43</v>
      </c>
      <c r="M234" t="s">
        <v>43</v>
      </c>
      <c r="N234" t="s">
        <v>43</v>
      </c>
      <c r="O234" t="s">
        <v>43</v>
      </c>
      <c r="P234" t="s">
        <v>43</v>
      </c>
      <c r="Q234" t="s">
        <v>43</v>
      </c>
      <c r="R234" t="s">
        <v>43</v>
      </c>
      <c r="S234" t="s">
        <v>43</v>
      </c>
      <c r="T234" t="s">
        <v>43</v>
      </c>
      <c r="U234" t="s">
        <v>43</v>
      </c>
      <c r="V234" t="s">
        <v>43</v>
      </c>
      <c r="W234" t="s">
        <v>43</v>
      </c>
      <c r="X234" t="s">
        <v>43</v>
      </c>
      <c r="Y234" t="s">
        <v>43</v>
      </c>
      <c r="Z234" t="s">
        <v>43</v>
      </c>
      <c r="AA234" t="s">
        <v>43</v>
      </c>
      <c r="AB234" t="s">
        <v>43</v>
      </c>
      <c r="AC234" t="s">
        <v>43</v>
      </c>
      <c r="AD234" t="s">
        <v>43</v>
      </c>
      <c r="AE234" t="s">
        <v>43</v>
      </c>
      <c r="AF234" t="s">
        <v>43</v>
      </c>
      <c r="AG234" t="s">
        <v>43</v>
      </c>
      <c r="AH234" t="s">
        <v>913</v>
      </c>
    </row>
    <row r="235" spans="1:34" x14ac:dyDescent="0.25">
      <c r="A235" t="s">
        <v>981</v>
      </c>
      <c r="B235" t="s">
        <v>57</v>
      </c>
      <c r="C235" t="s">
        <v>36</v>
      </c>
      <c r="D235" t="s">
        <v>203</v>
      </c>
      <c r="E235">
        <v>1</v>
      </c>
      <c r="F235">
        <v>0</v>
      </c>
      <c r="G235" t="s">
        <v>83</v>
      </c>
      <c r="H235" t="s">
        <v>43</v>
      </c>
      <c r="I235" t="s">
        <v>43</v>
      </c>
      <c r="J235" t="s">
        <v>43</v>
      </c>
      <c r="K235" t="s">
        <v>43</v>
      </c>
      <c r="L235" t="s">
        <v>43</v>
      </c>
      <c r="M235" t="s">
        <v>43</v>
      </c>
      <c r="N235" t="s">
        <v>43</v>
      </c>
      <c r="O235" t="s">
        <v>43</v>
      </c>
      <c r="P235" t="s">
        <v>43</v>
      </c>
      <c r="Q235" t="s">
        <v>43</v>
      </c>
      <c r="R235" t="s">
        <v>43</v>
      </c>
      <c r="S235" t="s">
        <v>43</v>
      </c>
      <c r="T235" t="s">
        <v>43</v>
      </c>
      <c r="U235" t="s">
        <v>43</v>
      </c>
      <c r="V235" t="s">
        <v>43</v>
      </c>
      <c r="W235" t="s">
        <v>43</v>
      </c>
      <c r="X235" t="s">
        <v>43</v>
      </c>
      <c r="Y235" t="s">
        <v>43</v>
      </c>
      <c r="Z235" t="s">
        <v>43</v>
      </c>
      <c r="AA235" t="s">
        <v>43</v>
      </c>
      <c r="AB235" t="s">
        <v>43</v>
      </c>
      <c r="AC235" t="s">
        <v>43</v>
      </c>
      <c r="AD235" t="s">
        <v>43</v>
      </c>
      <c r="AE235" t="s">
        <v>43</v>
      </c>
      <c r="AF235" t="s">
        <v>43</v>
      </c>
      <c r="AG235" t="s">
        <v>43</v>
      </c>
      <c r="AH235" t="s">
        <v>913</v>
      </c>
    </row>
    <row r="236" spans="1:34" x14ac:dyDescent="0.25">
      <c r="A236" t="s">
        <v>982</v>
      </c>
      <c r="B236" t="s">
        <v>57</v>
      </c>
      <c r="C236" t="s">
        <v>137</v>
      </c>
      <c r="D236" t="s">
        <v>185</v>
      </c>
      <c r="E236">
        <v>1</v>
      </c>
      <c r="F236">
        <v>0</v>
      </c>
      <c r="G236" t="s">
        <v>83</v>
      </c>
      <c r="H236" t="s">
        <v>43</v>
      </c>
      <c r="I236" t="s">
        <v>43</v>
      </c>
      <c r="J236" t="s">
        <v>43</v>
      </c>
      <c r="K236" t="s">
        <v>43</v>
      </c>
      <c r="L236" t="s">
        <v>43</v>
      </c>
      <c r="M236" t="s">
        <v>43</v>
      </c>
      <c r="N236" t="s">
        <v>43</v>
      </c>
      <c r="O236" t="s">
        <v>43</v>
      </c>
      <c r="P236" t="s">
        <v>43</v>
      </c>
      <c r="Q236" t="s">
        <v>43</v>
      </c>
      <c r="R236" t="s">
        <v>43</v>
      </c>
      <c r="S236" t="s">
        <v>43</v>
      </c>
      <c r="T236" t="s">
        <v>43</v>
      </c>
      <c r="U236" t="s">
        <v>63</v>
      </c>
      <c r="V236" t="s">
        <v>43</v>
      </c>
      <c r="W236" t="s">
        <v>44</v>
      </c>
      <c r="X236" t="s">
        <v>43</v>
      </c>
      <c r="Y236" t="s">
        <v>43</v>
      </c>
      <c r="Z236" t="s">
        <v>43</v>
      </c>
      <c r="AA236" t="s">
        <v>43</v>
      </c>
      <c r="AB236" t="s">
        <v>43</v>
      </c>
      <c r="AC236" t="s">
        <v>43</v>
      </c>
      <c r="AD236" t="s">
        <v>43</v>
      </c>
      <c r="AE236" t="s">
        <v>43</v>
      </c>
      <c r="AF236" t="s">
        <v>43</v>
      </c>
      <c r="AG236" t="s">
        <v>43</v>
      </c>
      <c r="AH236" t="s">
        <v>913</v>
      </c>
    </row>
    <row r="237" spans="1:34" x14ac:dyDescent="0.25">
      <c r="A237" t="s">
        <v>983</v>
      </c>
      <c r="B237" t="s">
        <v>984</v>
      </c>
      <c r="C237" t="s">
        <v>108</v>
      </c>
      <c r="D237" t="s">
        <v>263</v>
      </c>
      <c r="E237">
        <v>36</v>
      </c>
      <c r="F237">
        <v>36</v>
      </c>
      <c r="G237" t="s">
        <v>985</v>
      </c>
      <c r="H237" t="s">
        <v>546</v>
      </c>
      <c r="I237" t="s">
        <v>43</v>
      </c>
      <c r="J237" t="s">
        <v>142</v>
      </c>
      <c r="K237" t="s">
        <v>142</v>
      </c>
      <c r="L237" t="s">
        <v>43</v>
      </c>
      <c r="M237" t="s">
        <v>43</v>
      </c>
      <c r="N237" t="s">
        <v>43</v>
      </c>
      <c r="O237" t="s">
        <v>142</v>
      </c>
      <c r="P237" t="s">
        <v>44</v>
      </c>
      <c r="Q237" t="s">
        <v>163</v>
      </c>
      <c r="R237" t="s">
        <v>163</v>
      </c>
      <c r="S237" t="s">
        <v>83</v>
      </c>
      <c r="T237" t="s">
        <v>145</v>
      </c>
      <c r="U237" t="s">
        <v>681</v>
      </c>
      <c r="V237" t="s">
        <v>754</v>
      </c>
      <c r="W237" t="s">
        <v>149</v>
      </c>
      <c r="X237" t="s">
        <v>43</v>
      </c>
      <c r="Y237" t="s">
        <v>241</v>
      </c>
      <c r="Z237" t="s">
        <v>241</v>
      </c>
      <c r="AA237" t="s">
        <v>43</v>
      </c>
      <c r="AB237" t="s">
        <v>241</v>
      </c>
      <c r="AC237" t="s">
        <v>119</v>
      </c>
      <c r="AD237" t="s">
        <v>204</v>
      </c>
      <c r="AE237" t="s">
        <v>53</v>
      </c>
      <c r="AF237" t="s">
        <v>119</v>
      </c>
      <c r="AG237" t="s">
        <v>53</v>
      </c>
      <c r="AH237" t="s">
        <v>986</v>
      </c>
    </row>
    <row r="238" spans="1:34" x14ac:dyDescent="0.25">
      <c r="A238" t="s">
        <v>987</v>
      </c>
      <c r="B238" t="s">
        <v>519</v>
      </c>
      <c r="C238" t="s">
        <v>108</v>
      </c>
      <c r="D238" t="s">
        <v>123</v>
      </c>
      <c r="E238">
        <v>36</v>
      </c>
      <c r="F238">
        <v>35</v>
      </c>
      <c r="G238" t="s">
        <v>988</v>
      </c>
      <c r="H238" t="s">
        <v>989</v>
      </c>
      <c r="I238" t="s">
        <v>44</v>
      </c>
      <c r="J238" t="s">
        <v>63</v>
      </c>
      <c r="K238" t="s">
        <v>114</v>
      </c>
      <c r="L238" t="s">
        <v>44</v>
      </c>
      <c r="M238" t="s">
        <v>43</v>
      </c>
      <c r="N238" t="s">
        <v>43</v>
      </c>
      <c r="O238" t="s">
        <v>231</v>
      </c>
      <c r="P238" t="s">
        <v>43</v>
      </c>
      <c r="Q238" t="s">
        <v>416</v>
      </c>
      <c r="R238" t="s">
        <v>416</v>
      </c>
      <c r="S238" t="s">
        <v>177</v>
      </c>
      <c r="T238" t="s">
        <v>46</v>
      </c>
      <c r="U238" t="s">
        <v>623</v>
      </c>
      <c r="V238" t="s">
        <v>990</v>
      </c>
      <c r="W238" t="s">
        <v>802</v>
      </c>
      <c r="X238" t="s">
        <v>358</v>
      </c>
      <c r="Y238" t="s">
        <v>169</v>
      </c>
      <c r="Z238" t="s">
        <v>120</v>
      </c>
      <c r="AA238" t="s">
        <v>358</v>
      </c>
      <c r="AB238" t="s">
        <v>120</v>
      </c>
      <c r="AC238" t="s">
        <v>193</v>
      </c>
      <c r="AD238" t="s">
        <v>181</v>
      </c>
      <c r="AE238" t="s">
        <v>204</v>
      </c>
      <c r="AF238" t="s">
        <v>193</v>
      </c>
      <c r="AG238" t="s">
        <v>204</v>
      </c>
      <c r="AH238" t="s">
        <v>986</v>
      </c>
    </row>
    <row r="239" spans="1:34" x14ac:dyDescent="0.25">
      <c r="A239" t="s">
        <v>991</v>
      </c>
      <c r="B239" t="s">
        <v>57</v>
      </c>
      <c r="C239" t="s">
        <v>137</v>
      </c>
      <c r="D239" t="s">
        <v>148</v>
      </c>
      <c r="E239">
        <v>34</v>
      </c>
      <c r="F239">
        <v>34</v>
      </c>
      <c r="G239" t="s">
        <v>992</v>
      </c>
      <c r="H239" t="s">
        <v>927</v>
      </c>
      <c r="I239" t="s">
        <v>167</v>
      </c>
      <c r="J239" t="s">
        <v>126</v>
      </c>
      <c r="K239" t="s">
        <v>272</v>
      </c>
      <c r="L239" t="s">
        <v>167</v>
      </c>
      <c r="M239" t="s">
        <v>43</v>
      </c>
      <c r="N239" t="s">
        <v>43</v>
      </c>
      <c r="O239" t="s">
        <v>63</v>
      </c>
      <c r="P239" t="s">
        <v>43</v>
      </c>
      <c r="Q239" t="s">
        <v>477</v>
      </c>
      <c r="R239" t="s">
        <v>477</v>
      </c>
      <c r="S239" t="s">
        <v>993</v>
      </c>
      <c r="T239" t="s">
        <v>221</v>
      </c>
      <c r="U239" t="s">
        <v>735</v>
      </c>
      <c r="V239" t="s">
        <v>582</v>
      </c>
      <c r="W239" t="s">
        <v>994</v>
      </c>
      <c r="X239" t="s">
        <v>348</v>
      </c>
      <c r="Y239" t="s">
        <v>151</v>
      </c>
      <c r="Z239" t="s">
        <v>104</v>
      </c>
      <c r="AA239" t="s">
        <v>348</v>
      </c>
      <c r="AB239" t="s">
        <v>104</v>
      </c>
      <c r="AC239" t="s">
        <v>301</v>
      </c>
      <c r="AD239" t="s">
        <v>205</v>
      </c>
      <c r="AE239" t="s">
        <v>617</v>
      </c>
      <c r="AF239" t="s">
        <v>301</v>
      </c>
      <c r="AG239" t="s">
        <v>617</v>
      </c>
      <c r="AH239" t="s">
        <v>986</v>
      </c>
    </row>
    <row r="240" spans="1:34" x14ac:dyDescent="0.25">
      <c r="A240" t="s">
        <v>995</v>
      </c>
      <c r="B240" t="s">
        <v>57</v>
      </c>
      <c r="C240" t="s">
        <v>36</v>
      </c>
      <c r="D240" t="s">
        <v>123</v>
      </c>
      <c r="E240">
        <v>37</v>
      </c>
      <c r="F240">
        <v>34</v>
      </c>
      <c r="G240" t="s">
        <v>996</v>
      </c>
      <c r="H240" t="s">
        <v>919</v>
      </c>
      <c r="I240" t="s">
        <v>142</v>
      </c>
      <c r="J240" t="s">
        <v>142</v>
      </c>
      <c r="K240" t="s">
        <v>232</v>
      </c>
      <c r="L240" t="s">
        <v>81</v>
      </c>
      <c r="M240" t="s">
        <v>63</v>
      </c>
      <c r="N240" t="s">
        <v>63</v>
      </c>
      <c r="O240" t="s">
        <v>83</v>
      </c>
      <c r="P240" t="s">
        <v>43</v>
      </c>
      <c r="Q240" t="s">
        <v>126</v>
      </c>
      <c r="R240" t="s">
        <v>283</v>
      </c>
      <c r="S240" t="s">
        <v>723</v>
      </c>
      <c r="T240" t="s">
        <v>476</v>
      </c>
      <c r="U240" t="s">
        <v>203</v>
      </c>
      <c r="V240" t="s">
        <v>764</v>
      </c>
      <c r="W240" t="s">
        <v>190</v>
      </c>
      <c r="X240" t="s">
        <v>134</v>
      </c>
      <c r="Y240" t="s">
        <v>134</v>
      </c>
      <c r="Z240" t="s">
        <v>318</v>
      </c>
      <c r="AA240" t="s">
        <v>156</v>
      </c>
      <c r="AB240" t="s">
        <v>250</v>
      </c>
      <c r="AC240" t="s">
        <v>151</v>
      </c>
      <c r="AD240" t="s">
        <v>402</v>
      </c>
      <c r="AE240" t="s">
        <v>251</v>
      </c>
      <c r="AF240" t="s">
        <v>118</v>
      </c>
      <c r="AG240" t="s">
        <v>97</v>
      </c>
      <c r="AH240" t="s">
        <v>986</v>
      </c>
    </row>
    <row r="241" spans="1:34" x14ac:dyDescent="0.25">
      <c r="A241" t="s">
        <v>997</v>
      </c>
      <c r="B241" t="s">
        <v>984</v>
      </c>
      <c r="C241" t="s">
        <v>36</v>
      </c>
      <c r="D241" t="s">
        <v>123</v>
      </c>
      <c r="E241">
        <v>37</v>
      </c>
      <c r="F241">
        <v>34</v>
      </c>
      <c r="G241" t="s">
        <v>998</v>
      </c>
      <c r="H241" t="s">
        <v>999</v>
      </c>
      <c r="I241" t="s">
        <v>142</v>
      </c>
      <c r="J241" t="s">
        <v>63</v>
      </c>
      <c r="K241" t="s">
        <v>41</v>
      </c>
      <c r="L241" t="s">
        <v>142</v>
      </c>
      <c r="M241" t="s">
        <v>43</v>
      </c>
      <c r="N241" t="s">
        <v>43</v>
      </c>
      <c r="O241" t="s">
        <v>142</v>
      </c>
      <c r="P241" t="s">
        <v>43</v>
      </c>
      <c r="Q241" t="s">
        <v>1000</v>
      </c>
      <c r="R241" t="s">
        <v>1000</v>
      </c>
      <c r="S241" t="s">
        <v>164</v>
      </c>
      <c r="T241" t="s">
        <v>65</v>
      </c>
      <c r="U241" t="s">
        <v>142</v>
      </c>
      <c r="V241" t="s">
        <v>601</v>
      </c>
      <c r="W241" t="s">
        <v>399</v>
      </c>
      <c r="X241" t="s">
        <v>103</v>
      </c>
      <c r="Y241" t="s">
        <v>169</v>
      </c>
      <c r="Z241" t="s">
        <v>51</v>
      </c>
      <c r="AA241" t="s">
        <v>103</v>
      </c>
      <c r="AB241" t="s">
        <v>51</v>
      </c>
      <c r="AC241" t="s">
        <v>134</v>
      </c>
      <c r="AD241" t="s">
        <v>168</v>
      </c>
      <c r="AE241" t="s">
        <v>73</v>
      </c>
      <c r="AF241" t="s">
        <v>134</v>
      </c>
      <c r="AG241" t="s">
        <v>73</v>
      </c>
      <c r="AH241" t="s">
        <v>986</v>
      </c>
    </row>
    <row r="242" spans="1:34" x14ac:dyDescent="0.25">
      <c r="A242" t="s">
        <v>1001</v>
      </c>
      <c r="B242" t="s">
        <v>376</v>
      </c>
      <c r="C242" t="s">
        <v>108</v>
      </c>
      <c r="D242" t="s">
        <v>123</v>
      </c>
      <c r="E242">
        <v>33</v>
      </c>
      <c r="F242">
        <v>32</v>
      </c>
      <c r="G242" t="s">
        <v>1002</v>
      </c>
      <c r="H242" t="s">
        <v>1003</v>
      </c>
      <c r="I242" t="s">
        <v>114</v>
      </c>
      <c r="J242" t="s">
        <v>43</v>
      </c>
      <c r="K242" t="s">
        <v>114</v>
      </c>
      <c r="L242" t="s">
        <v>114</v>
      </c>
      <c r="M242" t="s">
        <v>43</v>
      </c>
      <c r="N242" t="s">
        <v>43</v>
      </c>
      <c r="O242" t="s">
        <v>114</v>
      </c>
      <c r="P242" t="s">
        <v>43</v>
      </c>
      <c r="Q242" t="s">
        <v>255</v>
      </c>
      <c r="R242" t="s">
        <v>255</v>
      </c>
      <c r="S242" t="s">
        <v>241</v>
      </c>
      <c r="T242" t="s">
        <v>63</v>
      </c>
      <c r="U242" t="s">
        <v>142</v>
      </c>
      <c r="V242" t="s">
        <v>273</v>
      </c>
      <c r="W242" t="s">
        <v>44</v>
      </c>
      <c r="X242" t="s">
        <v>82</v>
      </c>
      <c r="Y242" t="s">
        <v>43</v>
      </c>
      <c r="Z242" t="s">
        <v>82</v>
      </c>
      <c r="AA242" t="s">
        <v>82</v>
      </c>
      <c r="AB242" t="s">
        <v>82</v>
      </c>
      <c r="AC242" t="s">
        <v>169</v>
      </c>
      <c r="AD242" t="s">
        <v>119</v>
      </c>
      <c r="AE242" t="s">
        <v>169</v>
      </c>
      <c r="AF242" t="s">
        <v>169</v>
      </c>
      <c r="AG242" t="s">
        <v>169</v>
      </c>
      <c r="AH242" t="s">
        <v>986</v>
      </c>
    </row>
    <row r="243" spans="1:34" x14ac:dyDescent="0.25">
      <c r="A243" t="s">
        <v>1004</v>
      </c>
      <c r="B243" t="s">
        <v>376</v>
      </c>
      <c r="C243" t="s">
        <v>77</v>
      </c>
      <c r="D243" t="s">
        <v>263</v>
      </c>
      <c r="E243">
        <v>31</v>
      </c>
      <c r="F243">
        <v>31</v>
      </c>
      <c r="G243" t="s">
        <v>1005</v>
      </c>
      <c r="H243" t="s">
        <v>263</v>
      </c>
      <c r="I243" t="s">
        <v>43</v>
      </c>
      <c r="J243" t="s">
        <v>43</v>
      </c>
      <c r="K243" t="s">
        <v>43</v>
      </c>
      <c r="L243" t="s">
        <v>43</v>
      </c>
      <c r="M243" t="s">
        <v>43</v>
      </c>
      <c r="N243" t="s">
        <v>43</v>
      </c>
      <c r="O243" t="s">
        <v>44</v>
      </c>
      <c r="P243" t="s">
        <v>43</v>
      </c>
      <c r="Q243" t="s">
        <v>43</v>
      </c>
      <c r="R243" t="s">
        <v>43</v>
      </c>
      <c r="S243" t="s">
        <v>43</v>
      </c>
      <c r="T243" t="s">
        <v>43</v>
      </c>
      <c r="U243" t="s">
        <v>43</v>
      </c>
      <c r="V243" t="s">
        <v>44</v>
      </c>
      <c r="W243" t="s">
        <v>43</v>
      </c>
      <c r="X243" t="s">
        <v>43</v>
      </c>
      <c r="Y243" t="s">
        <v>43</v>
      </c>
      <c r="Z243" t="s">
        <v>43</v>
      </c>
      <c r="AA243" t="s">
        <v>43</v>
      </c>
      <c r="AB243" t="s">
        <v>43</v>
      </c>
      <c r="AC243" t="s">
        <v>43</v>
      </c>
      <c r="AD243" t="s">
        <v>43</v>
      </c>
      <c r="AE243" t="s">
        <v>43</v>
      </c>
      <c r="AF243" t="s">
        <v>43</v>
      </c>
      <c r="AG243" t="s">
        <v>43</v>
      </c>
      <c r="AH243" t="s">
        <v>986</v>
      </c>
    </row>
    <row r="244" spans="1:34" x14ac:dyDescent="0.25">
      <c r="A244" t="s">
        <v>1006</v>
      </c>
      <c r="B244" t="s">
        <v>76</v>
      </c>
      <c r="C244" t="s">
        <v>58</v>
      </c>
      <c r="D244" t="s">
        <v>268</v>
      </c>
      <c r="E244">
        <v>31</v>
      </c>
      <c r="F244">
        <v>31</v>
      </c>
      <c r="G244" t="s">
        <v>1007</v>
      </c>
      <c r="H244" t="s">
        <v>1008</v>
      </c>
      <c r="I244" t="s">
        <v>83</v>
      </c>
      <c r="J244" t="s">
        <v>126</v>
      </c>
      <c r="K244" t="s">
        <v>231</v>
      </c>
      <c r="L244" t="s">
        <v>63</v>
      </c>
      <c r="M244" t="s">
        <v>63</v>
      </c>
      <c r="N244" t="s">
        <v>63</v>
      </c>
      <c r="O244" t="s">
        <v>231</v>
      </c>
      <c r="P244" t="s">
        <v>43</v>
      </c>
      <c r="Q244" t="s">
        <v>363</v>
      </c>
      <c r="R244" t="s">
        <v>455</v>
      </c>
      <c r="S244" t="s">
        <v>363</v>
      </c>
      <c r="T244" t="s">
        <v>548</v>
      </c>
      <c r="U244" t="s">
        <v>165</v>
      </c>
      <c r="V244" t="s">
        <v>1009</v>
      </c>
      <c r="W244" t="s">
        <v>202</v>
      </c>
      <c r="X244" t="s">
        <v>218</v>
      </c>
      <c r="Y244" t="s">
        <v>134</v>
      </c>
      <c r="Z244" t="s">
        <v>616</v>
      </c>
      <c r="AA244" t="s">
        <v>181</v>
      </c>
      <c r="AB244" t="s">
        <v>98</v>
      </c>
      <c r="AC244" t="s">
        <v>151</v>
      </c>
      <c r="AD244" t="s">
        <v>151</v>
      </c>
      <c r="AE244" t="s">
        <v>97</v>
      </c>
      <c r="AF244" t="s">
        <v>118</v>
      </c>
      <c r="AG244" t="s">
        <v>466</v>
      </c>
      <c r="AH244" t="s">
        <v>986</v>
      </c>
    </row>
    <row r="245" spans="1:34" x14ac:dyDescent="0.25">
      <c r="A245" t="s">
        <v>1010</v>
      </c>
      <c r="B245" t="s">
        <v>1011</v>
      </c>
      <c r="C245" t="s">
        <v>36</v>
      </c>
      <c r="D245" t="s">
        <v>268</v>
      </c>
      <c r="E245">
        <v>31</v>
      </c>
      <c r="F245">
        <v>28</v>
      </c>
      <c r="G245" t="s">
        <v>1012</v>
      </c>
      <c r="H245" t="s">
        <v>1013</v>
      </c>
      <c r="I245" t="s">
        <v>44</v>
      </c>
      <c r="J245" t="s">
        <v>44</v>
      </c>
      <c r="K245" t="s">
        <v>63</v>
      </c>
      <c r="L245" t="s">
        <v>44</v>
      </c>
      <c r="M245" t="s">
        <v>43</v>
      </c>
      <c r="N245" t="s">
        <v>43</v>
      </c>
      <c r="O245" t="s">
        <v>89</v>
      </c>
      <c r="P245" t="s">
        <v>43</v>
      </c>
      <c r="Q245" t="s">
        <v>222</v>
      </c>
      <c r="R245" t="s">
        <v>222</v>
      </c>
      <c r="S245" t="s">
        <v>70</v>
      </c>
      <c r="T245" t="s">
        <v>175</v>
      </c>
      <c r="U245" t="s">
        <v>141</v>
      </c>
      <c r="V245" t="s">
        <v>448</v>
      </c>
      <c r="W245" t="s">
        <v>148</v>
      </c>
      <c r="X245" t="s">
        <v>193</v>
      </c>
      <c r="Y245" t="s">
        <v>193</v>
      </c>
      <c r="Z245" t="s">
        <v>242</v>
      </c>
      <c r="AA245" t="s">
        <v>193</v>
      </c>
      <c r="AB245" t="s">
        <v>242</v>
      </c>
      <c r="AC245" t="s">
        <v>168</v>
      </c>
      <c r="AD245" t="s">
        <v>182</v>
      </c>
      <c r="AE245" t="s">
        <v>181</v>
      </c>
      <c r="AF245" t="s">
        <v>168</v>
      </c>
      <c r="AG245" t="s">
        <v>181</v>
      </c>
      <c r="AH245" t="s">
        <v>986</v>
      </c>
    </row>
    <row r="246" spans="1:34" x14ac:dyDescent="0.25">
      <c r="A246" t="s">
        <v>1014</v>
      </c>
      <c r="B246" t="s">
        <v>523</v>
      </c>
      <c r="C246" t="s">
        <v>58</v>
      </c>
      <c r="D246" t="s">
        <v>272</v>
      </c>
      <c r="E246">
        <v>33</v>
      </c>
      <c r="F246">
        <v>27</v>
      </c>
      <c r="G246" t="s">
        <v>1015</v>
      </c>
      <c r="H246" t="s">
        <v>1016</v>
      </c>
      <c r="I246" t="s">
        <v>40</v>
      </c>
      <c r="J246" t="s">
        <v>126</v>
      </c>
      <c r="K246" t="s">
        <v>232</v>
      </c>
      <c r="L246" t="s">
        <v>40</v>
      </c>
      <c r="M246" t="s">
        <v>43</v>
      </c>
      <c r="N246" t="s">
        <v>43</v>
      </c>
      <c r="O246" t="s">
        <v>126</v>
      </c>
      <c r="P246" t="s">
        <v>43</v>
      </c>
      <c r="Q246" t="s">
        <v>841</v>
      </c>
      <c r="R246" t="s">
        <v>841</v>
      </c>
      <c r="S246" t="s">
        <v>406</v>
      </c>
      <c r="T246" t="s">
        <v>388</v>
      </c>
      <c r="U246" t="s">
        <v>470</v>
      </c>
      <c r="V246" t="s">
        <v>1017</v>
      </c>
      <c r="W246" t="s">
        <v>1018</v>
      </c>
      <c r="X246" t="s">
        <v>236</v>
      </c>
      <c r="Y246" t="s">
        <v>103</v>
      </c>
      <c r="Z246" t="s">
        <v>617</v>
      </c>
      <c r="AA246" t="s">
        <v>236</v>
      </c>
      <c r="AB246" t="s">
        <v>617</v>
      </c>
      <c r="AC246" t="s">
        <v>194</v>
      </c>
      <c r="AD246" t="s">
        <v>118</v>
      </c>
      <c r="AE246" t="s">
        <v>100</v>
      </c>
      <c r="AF246" t="s">
        <v>194</v>
      </c>
      <c r="AG246" t="s">
        <v>100</v>
      </c>
      <c r="AH246" t="s">
        <v>986</v>
      </c>
    </row>
    <row r="247" spans="1:34" x14ac:dyDescent="0.25">
      <c r="A247" t="s">
        <v>1019</v>
      </c>
      <c r="B247" t="s">
        <v>880</v>
      </c>
      <c r="C247" t="s">
        <v>108</v>
      </c>
      <c r="D247" t="s">
        <v>37</v>
      </c>
      <c r="E247">
        <v>21</v>
      </c>
      <c r="F247">
        <v>21</v>
      </c>
      <c r="G247" t="s">
        <v>1020</v>
      </c>
      <c r="H247" t="s">
        <v>1021</v>
      </c>
      <c r="I247" t="s">
        <v>44</v>
      </c>
      <c r="J247" t="s">
        <v>43</v>
      </c>
      <c r="K247" t="s">
        <v>44</v>
      </c>
      <c r="L247" t="s">
        <v>44</v>
      </c>
      <c r="M247" t="s">
        <v>43</v>
      </c>
      <c r="N247" t="s">
        <v>43</v>
      </c>
      <c r="O247" t="s">
        <v>114</v>
      </c>
      <c r="P247" t="s">
        <v>44</v>
      </c>
      <c r="Q247" t="s">
        <v>416</v>
      </c>
      <c r="R247" t="s">
        <v>416</v>
      </c>
      <c r="S247" t="s">
        <v>163</v>
      </c>
      <c r="T247" t="s">
        <v>255</v>
      </c>
      <c r="U247" t="s">
        <v>231</v>
      </c>
      <c r="V247" t="s">
        <v>681</v>
      </c>
      <c r="W247" t="s">
        <v>114</v>
      </c>
      <c r="X247" t="s">
        <v>168</v>
      </c>
      <c r="Y247" t="s">
        <v>43</v>
      </c>
      <c r="Z247" t="s">
        <v>168</v>
      </c>
      <c r="AA247" t="s">
        <v>168</v>
      </c>
      <c r="AB247" t="s">
        <v>168</v>
      </c>
      <c r="AC247" t="s">
        <v>181</v>
      </c>
      <c r="AD247" t="s">
        <v>119</v>
      </c>
      <c r="AE247" t="s">
        <v>120</v>
      </c>
      <c r="AF247" t="s">
        <v>181</v>
      </c>
      <c r="AG247" t="s">
        <v>120</v>
      </c>
      <c r="AH247" t="s">
        <v>986</v>
      </c>
    </row>
    <row r="248" spans="1:34" x14ac:dyDescent="0.25">
      <c r="A248" t="s">
        <v>1022</v>
      </c>
      <c r="B248" t="s">
        <v>942</v>
      </c>
      <c r="C248" t="s">
        <v>137</v>
      </c>
      <c r="D248" t="s">
        <v>109</v>
      </c>
      <c r="E248">
        <v>26</v>
      </c>
      <c r="F248">
        <v>21</v>
      </c>
      <c r="G248" t="s">
        <v>1023</v>
      </c>
      <c r="H248" t="s">
        <v>362</v>
      </c>
      <c r="I248" t="s">
        <v>126</v>
      </c>
      <c r="J248" t="s">
        <v>63</v>
      </c>
      <c r="K248" t="s">
        <v>40</v>
      </c>
      <c r="L248" t="s">
        <v>126</v>
      </c>
      <c r="M248" t="s">
        <v>43</v>
      </c>
      <c r="N248" t="s">
        <v>43</v>
      </c>
      <c r="O248" t="s">
        <v>126</v>
      </c>
      <c r="P248" t="s">
        <v>43</v>
      </c>
      <c r="Q248" t="s">
        <v>337</v>
      </c>
      <c r="R248" t="s">
        <v>337</v>
      </c>
      <c r="S248" t="s">
        <v>398</v>
      </c>
      <c r="T248" t="s">
        <v>1000</v>
      </c>
      <c r="U248" t="s">
        <v>300</v>
      </c>
      <c r="V248" t="s">
        <v>272</v>
      </c>
      <c r="W248" t="s">
        <v>1024</v>
      </c>
      <c r="X248" t="s">
        <v>466</v>
      </c>
      <c r="Y248" t="s">
        <v>204</v>
      </c>
      <c r="Z248" t="s">
        <v>318</v>
      </c>
      <c r="AA248" t="s">
        <v>466</v>
      </c>
      <c r="AB248" t="s">
        <v>318</v>
      </c>
      <c r="AC248" t="s">
        <v>100</v>
      </c>
      <c r="AD248" t="s">
        <v>168</v>
      </c>
      <c r="AE248" t="s">
        <v>301</v>
      </c>
      <c r="AF248" t="s">
        <v>100</v>
      </c>
      <c r="AG248" t="s">
        <v>301</v>
      </c>
      <c r="AH248" t="s">
        <v>986</v>
      </c>
    </row>
    <row r="249" spans="1:34" x14ac:dyDescent="0.25">
      <c r="A249" t="s">
        <v>1025</v>
      </c>
      <c r="B249" t="s">
        <v>422</v>
      </c>
      <c r="C249" t="s">
        <v>108</v>
      </c>
      <c r="D249" t="s">
        <v>268</v>
      </c>
      <c r="E249">
        <v>19</v>
      </c>
      <c r="F249">
        <v>16</v>
      </c>
      <c r="G249" t="s">
        <v>1026</v>
      </c>
      <c r="H249" t="s">
        <v>1027</v>
      </c>
      <c r="I249" t="s">
        <v>44</v>
      </c>
      <c r="J249" t="s">
        <v>43</v>
      </c>
      <c r="K249" t="s">
        <v>44</v>
      </c>
      <c r="L249" t="s">
        <v>44</v>
      </c>
      <c r="M249" t="s">
        <v>43</v>
      </c>
      <c r="N249" t="s">
        <v>43</v>
      </c>
      <c r="O249" t="s">
        <v>63</v>
      </c>
      <c r="P249" t="s">
        <v>43</v>
      </c>
      <c r="Q249" t="s">
        <v>200</v>
      </c>
      <c r="R249" t="s">
        <v>200</v>
      </c>
      <c r="S249" t="s">
        <v>241</v>
      </c>
      <c r="T249" t="s">
        <v>162</v>
      </c>
      <c r="U249" t="s">
        <v>231</v>
      </c>
      <c r="V249" t="s">
        <v>227</v>
      </c>
      <c r="W249" t="s">
        <v>63</v>
      </c>
      <c r="X249" t="s">
        <v>169</v>
      </c>
      <c r="Y249" t="s">
        <v>43</v>
      </c>
      <c r="Z249" t="s">
        <v>169</v>
      </c>
      <c r="AA249" t="s">
        <v>169</v>
      </c>
      <c r="AB249" t="s">
        <v>169</v>
      </c>
      <c r="AC249" t="s">
        <v>181</v>
      </c>
      <c r="AD249" t="s">
        <v>119</v>
      </c>
      <c r="AE249" t="s">
        <v>242</v>
      </c>
      <c r="AF249" t="s">
        <v>181</v>
      </c>
      <c r="AG249" t="s">
        <v>242</v>
      </c>
      <c r="AH249" t="s">
        <v>986</v>
      </c>
    </row>
    <row r="250" spans="1:34" x14ac:dyDescent="0.25">
      <c r="A250" t="s">
        <v>1028</v>
      </c>
      <c r="B250" t="s">
        <v>508</v>
      </c>
      <c r="C250" t="s">
        <v>77</v>
      </c>
      <c r="D250" t="s">
        <v>227</v>
      </c>
      <c r="E250">
        <v>10</v>
      </c>
      <c r="F250">
        <v>7</v>
      </c>
      <c r="G250" t="s">
        <v>1029</v>
      </c>
      <c r="H250" t="s">
        <v>40</v>
      </c>
      <c r="I250" t="s">
        <v>43</v>
      </c>
      <c r="J250" t="s">
        <v>43</v>
      </c>
      <c r="K250" t="s">
        <v>43</v>
      </c>
      <c r="L250" t="s">
        <v>43</v>
      </c>
      <c r="M250" t="s">
        <v>43</v>
      </c>
      <c r="N250" t="s">
        <v>43</v>
      </c>
      <c r="O250" t="s">
        <v>43</v>
      </c>
      <c r="P250" t="s">
        <v>43</v>
      </c>
      <c r="Q250" t="s">
        <v>43</v>
      </c>
      <c r="R250" t="s">
        <v>43</v>
      </c>
      <c r="S250" t="s">
        <v>43</v>
      </c>
      <c r="T250" t="s">
        <v>43</v>
      </c>
      <c r="U250" t="s">
        <v>43</v>
      </c>
      <c r="V250" t="s">
        <v>44</v>
      </c>
      <c r="W250" t="s">
        <v>43</v>
      </c>
      <c r="X250" t="s">
        <v>43</v>
      </c>
      <c r="Y250" t="s">
        <v>43</v>
      </c>
      <c r="Z250" t="s">
        <v>43</v>
      </c>
      <c r="AA250" t="s">
        <v>43</v>
      </c>
      <c r="AB250" t="s">
        <v>43</v>
      </c>
      <c r="AC250" t="s">
        <v>43</v>
      </c>
      <c r="AD250" t="s">
        <v>43</v>
      </c>
      <c r="AE250" t="s">
        <v>43</v>
      </c>
      <c r="AF250" t="s">
        <v>43</v>
      </c>
      <c r="AG250" t="s">
        <v>43</v>
      </c>
      <c r="AH250" t="s">
        <v>986</v>
      </c>
    </row>
    <row r="251" spans="1:34" x14ac:dyDescent="0.25">
      <c r="A251" t="s">
        <v>1030</v>
      </c>
      <c r="B251" t="s">
        <v>519</v>
      </c>
      <c r="C251" t="s">
        <v>108</v>
      </c>
      <c r="D251" t="s">
        <v>147</v>
      </c>
      <c r="E251">
        <v>11</v>
      </c>
      <c r="F251">
        <v>7</v>
      </c>
      <c r="G251" t="s">
        <v>264</v>
      </c>
      <c r="H251" t="s">
        <v>211</v>
      </c>
      <c r="I251" t="s">
        <v>43</v>
      </c>
      <c r="J251" t="s">
        <v>43</v>
      </c>
      <c r="K251" t="s">
        <v>43</v>
      </c>
      <c r="L251" t="s">
        <v>43</v>
      </c>
      <c r="M251" t="s">
        <v>43</v>
      </c>
      <c r="N251" t="s">
        <v>43</v>
      </c>
      <c r="O251" t="s">
        <v>44</v>
      </c>
      <c r="P251" t="s">
        <v>43</v>
      </c>
      <c r="Q251" t="s">
        <v>43</v>
      </c>
      <c r="R251" t="s">
        <v>43</v>
      </c>
      <c r="S251" t="s">
        <v>43</v>
      </c>
      <c r="T251" t="s">
        <v>43</v>
      </c>
      <c r="U251" t="s">
        <v>63</v>
      </c>
      <c r="V251" t="s">
        <v>83</v>
      </c>
      <c r="W251" t="s">
        <v>43</v>
      </c>
      <c r="X251" t="s">
        <v>43</v>
      </c>
      <c r="Y251" t="s">
        <v>43</v>
      </c>
      <c r="Z251" t="s">
        <v>43</v>
      </c>
      <c r="AA251" t="s">
        <v>43</v>
      </c>
      <c r="AB251" t="s">
        <v>43</v>
      </c>
      <c r="AC251" t="s">
        <v>119</v>
      </c>
      <c r="AD251" t="s">
        <v>43</v>
      </c>
      <c r="AE251" t="s">
        <v>119</v>
      </c>
      <c r="AF251" t="s">
        <v>119</v>
      </c>
      <c r="AG251" t="s">
        <v>119</v>
      </c>
      <c r="AH251" t="s">
        <v>986</v>
      </c>
    </row>
    <row r="252" spans="1:34" x14ac:dyDescent="0.25">
      <c r="A252" t="s">
        <v>1031</v>
      </c>
      <c r="B252" t="s">
        <v>1032</v>
      </c>
      <c r="C252" t="s">
        <v>58</v>
      </c>
      <c r="D252" t="s">
        <v>37</v>
      </c>
      <c r="E252">
        <v>13</v>
      </c>
      <c r="F252">
        <v>5</v>
      </c>
      <c r="G252" t="s">
        <v>1033</v>
      </c>
      <c r="H252" t="s">
        <v>924</v>
      </c>
      <c r="I252" t="s">
        <v>43</v>
      </c>
      <c r="J252" t="s">
        <v>44</v>
      </c>
      <c r="K252" t="s">
        <v>44</v>
      </c>
      <c r="L252" t="s">
        <v>43</v>
      </c>
      <c r="M252" t="s">
        <v>43</v>
      </c>
      <c r="N252" t="s">
        <v>44</v>
      </c>
      <c r="O252" t="s">
        <v>44</v>
      </c>
      <c r="P252" t="s">
        <v>43</v>
      </c>
      <c r="Q252" t="s">
        <v>255</v>
      </c>
      <c r="R252" t="s">
        <v>44</v>
      </c>
      <c r="S252" t="s">
        <v>162</v>
      </c>
      <c r="T252" t="s">
        <v>199</v>
      </c>
      <c r="U252" t="s">
        <v>123</v>
      </c>
      <c r="V252" t="s">
        <v>123</v>
      </c>
      <c r="W252" t="s">
        <v>559</v>
      </c>
      <c r="X252" t="s">
        <v>43</v>
      </c>
      <c r="Y252" t="s">
        <v>156</v>
      </c>
      <c r="Z252" t="s">
        <v>156</v>
      </c>
      <c r="AA252" t="s">
        <v>43</v>
      </c>
      <c r="AB252" t="s">
        <v>156</v>
      </c>
      <c r="AC252" t="s">
        <v>98</v>
      </c>
      <c r="AD252" t="s">
        <v>134</v>
      </c>
      <c r="AE252" t="s">
        <v>451</v>
      </c>
      <c r="AF252" t="s">
        <v>156</v>
      </c>
      <c r="AG252" t="s">
        <v>250</v>
      </c>
      <c r="AH252" t="s">
        <v>986</v>
      </c>
    </row>
    <row r="253" spans="1:34" x14ac:dyDescent="0.25">
      <c r="A253" t="s">
        <v>1034</v>
      </c>
      <c r="B253" t="s">
        <v>57</v>
      </c>
      <c r="C253" t="s">
        <v>644</v>
      </c>
      <c r="D253" t="s">
        <v>59</v>
      </c>
      <c r="E253">
        <v>14</v>
      </c>
      <c r="F253">
        <v>4</v>
      </c>
      <c r="G253" t="s">
        <v>1035</v>
      </c>
      <c r="H253" t="s">
        <v>126</v>
      </c>
      <c r="I253" t="s">
        <v>43</v>
      </c>
      <c r="J253" t="s">
        <v>43</v>
      </c>
      <c r="K253" t="s">
        <v>43</v>
      </c>
      <c r="L253" t="s">
        <v>43</v>
      </c>
      <c r="M253" t="s">
        <v>43</v>
      </c>
      <c r="N253" t="s">
        <v>43</v>
      </c>
      <c r="O253" t="s">
        <v>44</v>
      </c>
      <c r="P253" t="s">
        <v>43</v>
      </c>
      <c r="Q253" t="s">
        <v>241</v>
      </c>
      <c r="R253" t="s">
        <v>241</v>
      </c>
      <c r="S253" t="s">
        <v>43</v>
      </c>
      <c r="T253" t="s">
        <v>241</v>
      </c>
      <c r="U253" t="s">
        <v>42</v>
      </c>
      <c r="V253" t="s">
        <v>272</v>
      </c>
      <c r="W253" t="s">
        <v>109</v>
      </c>
      <c r="X253" t="s">
        <v>43</v>
      </c>
      <c r="Y253" t="s">
        <v>43</v>
      </c>
      <c r="Z253" t="s">
        <v>43</v>
      </c>
      <c r="AA253" t="s">
        <v>43</v>
      </c>
      <c r="AB253" t="s">
        <v>43</v>
      </c>
      <c r="AC253" t="s">
        <v>358</v>
      </c>
      <c r="AD253" t="s">
        <v>43</v>
      </c>
      <c r="AE253" t="s">
        <v>358</v>
      </c>
      <c r="AF253" t="s">
        <v>358</v>
      </c>
      <c r="AG253" t="s">
        <v>358</v>
      </c>
      <c r="AH253" t="s">
        <v>986</v>
      </c>
    </row>
    <row r="254" spans="1:34" x14ac:dyDescent="0.25">
      <c r="A254" t="s">
        <v>1036</v>
      </c>
      <c r="B254" t="s">
        <v>57</v>
      </c>
      <c r="C254" t="s">
        <v>644</v>
      </c>
      <c r="D254" t="s">
        <v>109</v>
      </c>
      <c r="E254">
        <v>11</v>
      </c>
      <c r="F254">
        <v>4</v>
      </c>
      <c r="G254" t="s">
        <v>1037</v>
      </c>
      <c r="H254" t="s">
        <v>653</v>
      </c>
      <c r="I254" t="s">
        <v>43</v>
      </c>
      <c r="J254" t="s">
        <v>43</v>
      </c>
      <c r="K254" t="s">
        <v>43</v>
      </c>
      <c r="L254" t="s">
        <v>43</v>
      </c>
      <c r="M254" t="s">
        <v>43</v>
      </c>
      <c r="N254" t="s">
        <v>43</v>
      </c>
      <c r="O254" t="s">
        <v>44</v>
      </c>
      <c r="P254" t="s">
        <v>43</v>
      </c>
      <c r="Q254" t="s">
        <v>43</v>
      </c>
      <c r="R254" t="s">
        <v>43</v>
      </c>
      <c r="S254" t="s">
        <v>112</v>
      </c>
      <c r="T254" t="s">
        <v>112</v>
      </c>
      <c r="U254" t="s">
        <v>83</v>
      </c>
      <c r="V254" t="s">
        <v>148</v>
      </c>
      <c r="W254" t="s">
        <v>126</v>
      </c>
      <c r="X254" t="s">
        <v>43</v>
      </c>
      <c r="Y254" t="s">
        <v>43</v>
      </c>
      <c r="Z254" t="s">
        <v>43</v>
      </c>
      <c r="AA254" t="s">
        <v>43</v>
      </c>
      <c r="AB254" t="s">
        <v>43</v>
      </c>
      <c r="AC254" t="s">
        <v>43</v>
      </c>
      <c r="AD254" t="s">
        <v>120</v>
      </c>
      <c r="AE254" t="s">
        <v>120</v>
      </c>
      <c r="AF254" t="s">
        <v>43</v>
      </c>
      <c r="AG254" t="s">
        <v>120</v>
      </c>
      <c r="AH254" t="s">
        <v>986</v>
      </c>
    </row>
    <row r="255" spans="1:34" x14ac:dyDescent="0.25">
      <c r="A255" t="s">
        <v>1038</v>
      </c>
      <c r="B255" t="s">
        <v>35</v>
      </c>
      <c r="C255" t="s">
        <v>86</v>
      </c>
      <c r="D255" t="s">
        <v>37</v>
      </c>
      <c r="E255">
        <v>15</v>
      </c>
      <c r="F255">
        <v>4</v>
      </c>
      <c r="G255" t="s">
        <v>1039</v>
      </c>
      <c r="H255" t="s">
        <v>629</v>
      </c>
      <c r="I255" t="s">
        <v>43</v>
      </c>
      <c r="J255" t="s">
        <v>43</v>
      </c>
      <c r="K255" t="s">
        <v>43</v>
      </c>
      <c r="L255" t="s">
        <v>43</v>
      </c>
      <c r="M255" t="s">
        <v>43</v>
      </c>
      <c r="N255" t="s">
        <v>43</v>
      </c>
      <c r="O255" t="s">
        <v>43</v>
      </c>
      <c r="P255" t="s">
        <v>43</v>
      </c>
      <c r="Q255" t="s">
        <v>163</v>
      </c>
      <c r="R255" t="s">
        <v>163</v>
      </c>
      <c r="S255" t="s">
        <v>163</v>
      </c>
      <c r="T255" t="s">
        <v>70</v>
      </c>
      <c r="U255" t="s">
        <v>83</v>
      </c>
      <c r="V255" t="s">
        <v>78</v>
      </c>
      <c r="W255" t="s">
        <v>37</v>
      </c>
      <c r="X255" t="s">
        <v>43</v>
      </c>
      <c r="Y255" t="s">
        <v>43</v>
      </c>
      <c r="Z255" t="s">
        <v>43</v>
      </c>
      <c r="AA255" t="s">
        <v>43</v>
      </c>
      <c r="AB255" t="s">
        <v>43</v>
      </c>
      <c r="AC255" t="s">
        <v>181</v>
      </c>
      <c r="AD255" t="s">
        <v>181</v>
      </c>
      <c r="AE255" t="s">
        <v>118</v>
      </c>
      <c r="AF255" t="s">
        <v>181</v>
      </c>
      <c r="AG255" t="s">
        <v>118</v>
      </c>
      <c r="AH255" t="s">
        <v>986</v>
      </c>
    </row>
    <row r="256" spans="1:34" x14ac:dyDescent="0.25">
      <c r="A256" t="s">
        <v>1040</v>
      </c>
      <c r="B256" t="s">
        <v>57</v>
      </c>
      <c r="C256" t="s">
        <v>137</v>
      </c>
      <c r="D256" t="s">
        <v>304</v>
      </c>
      <c r="E256">
        <v>20</v>
      </c>
      <c r="F256">
        <v>3</v>
      </c>
      <c r="G256" t="s">
        <v>1041</v>
      </c>
      <c r="H256" t="s">
        <v>189</v>
      </c>
      <c r="I256" t="s">
        <v>44</v>
      </c>
      <c r="J256" t="s">
        <v>43</v>
      </c>
      <c r="K256" t="s">
        <v>44</v>
      </c>
      <c r="L256" t="s">
        <v>44</v>
      </c>
      <c r="M256" t="s">
        <v>43</v>
      </c>
      <c r="N256" t="s">
        <v>43</v>
      </c>
      <c r="O256" t="s">
        <v>44</v>
      </c>
      <c r="P256" t="s">
        <v>43</v>
      </c>
      <c r="Q256" t="s">
        <v>222</v>
      </c>
      <c r="R256" t="s">
        <v>222</v>
      </c>
      <c r="S256" t="s">
        <v>163</v>
      </c>
      <c r="T256" t="s">
        <v>416</v>
      </c>
      <c r="U256" t="s">
        <v>142</v>
      </c>
      <c r="V256" t="s">
        <v>40</v>
      </c>
      <c r="W256" t="s">
        <v>78</v>
      </c>
      <c r="X256" t="s">
        <v>103</v>
      </c>
      <c r="Y256" t="s">
        <v>43</v>
      </c>
      <c r="Z256" t="s">
        <v>103</v>
      </c>
      <c r="AA256" t="s">
        <v>103</v>
      </c>
      <c r="AB256" t="s">
        <v>103</v>
      </c>
      <c r="AC256" t="s">
        <v>51</v>
      </c>
      <c r="AD256" t="s">
        <v>169</v>
      </c>
      <c r="AE256" t="s">
        <v>616</v>
      </c>
      <c r="AF256" t="s">
        <v>51</v>
      </c>
      <c r="AG256" t="s">
        <v>616</v>
      </c>
      <c r="AH256" t="s">
        <v>986</v>
      </c>
    </row>
    <row r="257" spans="1:34" x14ac:dyDescent="0.25">
      <c r="A257" t="s">
        <v>270</v>
      </c>
      <c r="B257" t="s">
        <v>57</v>
      </c>
      <c r="C257" t="s">
        <v>36</v>
      </c>
      <c r="D257" t="s">
        <v>37</v>
      </c>
      <c r="E257">
        <v>8</v>
      </c>
      <c r="F257">
        <v>3</v>
      </c>
      <c r="G257" t="s">
        <v>1042</v>
      </c>
      <c r="H257" t="s">
        <v>267</v>
      </c>
      <c r="I257" t="s">
        <v>43</v>
      </c>
      <c r="J257" t="s">
        <v>43</v>
      </c>
      <c r="K257" t="s">
        <v>43</v>
      </c>
      <c r="L257" t="s">
        <v>43</v>
      </c>
      <c r="M257" t="s">
        <v>43</v>
      </c>
      <c r="N257" t="s">
        <v>43</v>
      </c>
      <c r="O257" t="s">
        <v>114</v>
      </c>
      <c r="P257" t="s">
        <v>44</v>
      </c>
      <c r="Q257" t="s">
        <v>82</v>
      </c>
      <c r="R257" t="s">
        <v>82</v>
      </c>
      <c r="S257" t="s">
        <v>43</v>
      </c>
      <c r="T257" t="s">
        <v>82</v>
      </c>
      <c r="U257" t="s">
        <v>114</v>
      </c>
      <c r="V257" t="s">
        <v>62</v>
      </c>
      <c r="W257" t="s">
        <v>83</v>
      </c>
      <c r="X257" t="s">
        <v>43</v>
      </c>
      <c r="Y257" t="s">
        <v>43</v>
      </c>
      <c r="Z257" t="s">
        <v>43</v>
      </c>
      <c r="AA257" t="s">
        <v>43</v>
      </c>
      <c r="AB257" t="s">
        <v>43</v>
      </c>
      <c r="AC257" t="s">
        <v>182</v>
      </c>
      <c r="AD257" t="s">
        <v>43</v>
      </c>
      <c r="AE257" t="s">
        <v>182</v>
      </c>
      <c r="AF257" t="s">
        <v>182</v>
      </c>
      <c r="AG257" t="s">
        <v>182</v>
      </c>
      <c r="AH257" t="s">
        <v>986</v>
      </c>
    </row>
    <row r="258" spans="1:34" x14ac:dyDescent="0.25">
      <c r="A258" t="s">
        <v>1043</v>
      </c>
      <c r="B258" t="s">
        <v>891</v>
      </c>
      <c r="C258" t="s">
        <v>86</v>
      </c>
      <c r="D258" t="s">
        <v>148</v>
      </c>
      <c r="E258">
        <v>7</v>
      </c>
      <c r="F258">
        <v>1</v>
      </c>
      <c r="G258" t="s">
        <v>574</v>
      </c>
      <c r="H258" t="s">
        <v>200</v>
      </c>
      <c r="I258" t="s">
        <v>44</v>
      </c>
      <c r="J258" t="s">
        <v>43</v>
      </c>
      <c r="K258" t="s">
        <v>44</v>
      </c>
      <c r="L258" t="s">
        <v>44</v>
      </c>
      <c r="M258" t="s">
        <v>43</v>
      </c>
      <c r="N258" t="s">
        <v>43</v>
      </c>
      <c r="O258" t="s">
        <v>43</v>
      </c>
      <c r="P258" t="s">
        <v>43</v>
      </c>
      <c r="Q258" t="s">
        <v>112</v>
      </c>
      <c r="R258" t="s">
        <v>112</v>
      </c>
      <c r="S258" t="s">
        <v>241</v>
      </c>
      <c r="T258" t="s">
        <v>70</v>
      </c>
      <c r="U258" t="s">
        <v>114</v>
      </c>
      <c r="V258" t="s">
        <v>63</v>
      </c>
      <c r="W258" t="s">
        <v>40</v>
      </c>
      <c r="X258" t="s">
        <v>259</v>
      </c>
      <c r="Y258" t="s">
        <v>43</v>
      </c>
      <c r="Z258" t="s">
        <v>259</v>
      </c>
      <c r="AA258" t="s">
        <v>259</v>
      </c>
      <c r="AB258" t="s">
        <v>259</v>
      </c>
      <c r="AC258" t="s">
        <v>466</v>
      </c>
      <c r="AD258" t="s">
        <v>118</v>
      </c>
      <c r="AE258" t="s">
        <v>315</v>
      </c>
      <c r="AF258" t="s">
        <v>466</v>
      </c>
      <c r="AG258" t="s">
        <v>315</v>
      </c>
      <c r="AH258" t="s">
        <v>986</v>
      </c>
    </row>
    <row r="259" spans="1:34" x14ac:dyDescent="0.25">
      <c r="A259" t="s">
        <v>1044</v>
      </c>
      <c r="B259" t="s">
        <v>57</v>
      </c>
      <c r="C259" t="s">
        <v>137</v>
      </c>
      <c r="D259" t="s">
        <v>203</v>
      </c>
      <c r="E259">
        <v>5</v>
      </c>
      <c r="F259">
        <v>0</v>
      </c>
      <c r="G259" t="s">
        <v>1017</v>
      </c>
      <c r="H259" t="s">
        <v>398</v>
      </c>
      <c r="I259" t="s">
        <v>43</v>
      </c>
      <c r="J259" t="s">
        <v>43</v>
      </c>
      <c r="K259" t="s">
        <v>43</v>
      </c>
      <c r="L259" t="s">
        <v>43</v>
      </c>
      <c r="M259" t="s">
        <v>43</v>
      </c>
      <c r="N259" t="s">
        <v>43</v>
      </c>
      <c r="O259" t="s">
        <v>43</v>
      </c>
      <c r="P259" t="s">
        <v>43</v>
      </c>
      <c r="Q259" t="s">
        <v>82</v>
      </c>
      <c r="R259" t="s">
        <v>82</v>
      </c>
      <c r="S259" t="s">
        <v>43</v>
      </c>
      <c r="T259" t="s">
        <v>82</v>
      </c>
      <c r="U259" t="s">
        <v>43</v>
      </c>
      <c r="V259" t="s">
        <v>43</v>
      </c>
      <c r="W259" t="s">
        <v>81</v>
      </c>
      <c r="X259" t="s">
        <v>43</v>
      </c>
      <c r="Y259" t="s">
        <v>43</v>
      </c>
      <c r="Z259" t="s">
        <v>43</v>
      </c>
      <c r="AA259" t="s">
        <v>43</v>
      </c>
      <c r="AB259" t="s">
        <v>43</v>
      </c>
      <c r="AC259" t="s">
        <v>215</v>
      </c>
      <c r="AD259" t="s">
        <v>43</v>
      </c>
      <c r="AE259" t="s">
        <v>215</v>
      </c>
      <c r="AF259" t="s">
        <v>215</v>
      </c>
      <c r="AG259" t="s">
        <v>215</v>
      </c>
      <c r="AH259" t="s">
        <v>986</v>
      </c>
    </row>
    <row r="260" spans="1:34" x14ac:dyDescent="0.25">
      <c r="A260" t="s">
        <v>1045</v>
      </c>
      <c r="B260" t="s">
        <v>57</v>
      </c>
      <c r="C260" t="s">
        <v>137</v>
      </c>
      <c r="D260" t="s">
        <v>203</v>
      </c>
      <c r="E260">
        <v>3</v>
      </c>
      <c r="F260">
        <v>0</v>
      </c>
      <c r="G260" t="s">
        <v>165</v>
      </c>
      <c r="H260" t="s">
        <v>112</v>
      </c>
      <c r="I260" t="s">
        <v>44</v>
      </c>
      <c r="J260" t="s">
        <v>43</v>
      </c>
      <c r="K260" t="s">
        <v>44</v>
      </c>
      <c r="L260" t="s">
        <v>44</v>
      </c>
      <c r="M260" t="s">
        <v>43</v>
      </c>
      <c r="N260" t="s">
        <v>43</v>
      </c>
      <c r="O260" t="s">
        <v>43</v>
      </c>
      <c r="P260" t="s">
        <v>43</v>
      </c>
      <c r="Q260" t="s">
        <v>163</v>
      </c>
      <c r="R260" t="s">
        <v>163</v>
      </c>
      <c r="S260" t="s">
        <v>43</v>
      </c>
      <c r="T260" t="s">
        <v>163</v>
      </c>
      <c r="U260" t="s">
        <v>43</v>
      </c>
      <c r="V260" t="s">
        <v>44</v>
      </c>
      <c r="W260" t="s">
        <v>114</v>
      </c>
      <c r="X260" t="s">
        <v>1046</v>
      </c>
      <c r="Y260" t="s">
        <v>43</v>
      </c>
      <c r="Z260" t="s">
        <v>1046</v>
      </c>
      <c r="AA260" t="s">
        <v>1046</v>
      </c>
      <c r="AB260" t="s">
        <v>1046</v>
      </c>
      <c r="AC260" t="s">
        <v>316</v>
      </c>
      <c r="AD260" t="s">
        <v>43</v>
      </c>
      <c r="AE260" t="s">
        <v>316</v>
      </c>
      <c r="AF260" t="s">
        <v>316</v>
      </c>
      <c r="AG260" t="s">
        <v>316</v>
      </c>
      <c r="AH260" t="s">
        <v>986</v>
      </c>
    </row>
    <row r="261" spans="1:34" x14ac:dyDescent="0.25">
      <c r="A261" t="s">
        <v>1047</v>
      </c>
      <c r="B261" t="s">
        <v>262</v>
      </c>
      <c r="C261" t="s">
        <v>172</v>
      </c>
      <c r="D261" t="s">
        <v>148</v>
      </c>
      <c r="E261">
        <v>4</v>
      </c>
      <c r="F261">
        <v>0</v>
      </c>
      <c r="G261" t="s">
        <v>272</v>
      </c>
      <c r="H261" t="s">
        <v>241</v>
      </c>
      <c r="I261" t="s">
        <v>43</v>
      </c>
      <c r="J261" t="s">
        <v>43</v>
      </c>
      <c r="K261" t="s">
        <v>43</v>
      </c>
      <c r="L261" t="s">
        <v>43</v>
      </c>
      <c r="M261" t="s">
        <v>43</v>
      </c>
      <c r="N261" t="s">
        <v>43</v>
      </c>
      <c r="O261" t="s">
        <v>63</v>
      </c>
      <c r="P261" t="s">
        <v>43</v>
      </c>
      <c r="Q261" t="s">
        <v>43</v>
      </c>
      <c r="R261" t="s">
        <v>43</v>
      </c>
      <c r="S261" t="s">
        <v>43</v>
      </c>
      <c r="T261" t="s">
        <v>43</v>
      </c>
      <c r="U261" t="s">
        <v>43</v>
      </c>
      <c r="V261" t="s">
        <v>44</v>
      </c>
      <c r="W261" t="s">
        <v>44</v>
      </c>
      <c r="X261" t="s">
        <v>43</v>
      </c>
      <c r="Y261" t="s">
        <v>43</v>
      </c>
      <c r="Z261" t="s">
        <v>43</v>
      </c>
      <c r="AA261" t="s">
        <v>43</v>
      </c>
      <c r="AB261" t="s">
        <v>43</v>
      </c>
      <c r="AC261" t="s">
        <v>43</v>
      </c>
      <c r="AD261" t="s">
        <v>43</v>
      </c>
      <c r="AE261" t="s">
        <v>43</v>
      </c>
      <c r="AF261" t="s">
        <v>43</v>
      </c>
      <c r="AG261" t="s">
        <v>43</v>
      </c>
      <c r="AH261" t="s">
        <v>986</v>
      </c>
    </row>
    <row r="262" spans="1:34" x14ac:dyDescent="0.25">
      <c r="A262" t="s">
        <v>1048</v>
      </c>
      <c r="B262" t="s">
        <v>57</v>
      </c>
      <c r="C262" t="s">
        <v>108</v>
      </c>
      <c r="D262" t="s">
        <v>203</v>
      </c>
      <c r="E262">
        <v>1</v>
      </c>
      <c r="F262">
        <v>0</v>
      </c>
      <c r="G262" t="s">
        <v>44</v>
      </c>
      <c r="H262" t="s">
        <v>43</v>
      </c>
      <c r="I262" t="s">
        <v>43</v>
      </c>
      <c r="J262" t="s">
        <v>43</v>
      </c>
      <c r="K262" t="s">
        <v>43</v>
      </c>
      <c r="L262" t="s">
        <v>43</v>
      </c>
      <c r="M262" t="s">
        <v>43</v>
      </c>
      <c r="N262" t="s">
        <v>43</v>
      </c>
      <c r="O262" t="s">
        <v>43</v>
      </c>
      <c r="P262" t="s">
        <v>43</v>
      </c>
      <c r="Q262" t="s">
        <v>43</v>
      </c>
      <c r="R262" t="s">
        <v>43</v>
      </c>
      <c r="S262" t="s">
        <v>43</v>
      </c>
      <c r="T262" t="s">
        <v>43</v>
      </c>
      <c r="U262" t="s">
        <v>43</v>
      </c>
      <c r="V262" t="s">
        <v>43</v>
      </c>
      <c r="W262" t="s">
        <v>43</v>
      </c>
      <c r="X262" t="s">
        <v>43</v>
      </c>
      <c r="Y262" t="s">
        <v>43</v>
      </c>
      <c r="Z262" t="s">
        <v>43</v>
      </c>
      <c r="AA262" t="s">
        <v>43</v>
      </c>
      <c r="AB262" t="s">
        <v>43</v>
      </c>
      <c r="AC262" t="s">
        <v>43</v>
      </c>
      <c r="AD262" t="s">
        <v>43</v>
      </c>
      <c r="AE262" t="s">
        <v>43</v>
      </c>
      <c r="AF262" t="s">
        <v>43</v>
      </c>
      <c r="AG262" t="s">
        <v>43</v>
      </c>
      <c r="AH262" t="s">
        <v>986</v>
      </c>
    </row>
    <row r="263" spans="1:34" x14ac:dyDescent="0.25">
      <c r="A263" t="s">
        <v>1049</v>
      </c>
      <c r="B263" t="s">
        <v>804</v>
      </c>
      <c r="C263" t="s">
        <v>108</v>
      </c>
      <c r="D263" t="s">
        <v>37</v>
      </c>
      <c r="E263">
        <v>38</v>
      </c>
      <c r="F263">
        <v>38</v>
      </c>
      <c r="G263" t="s">
        <v>1050</v>
      </c>
      <c r="H263" t="s">
        <v>1051</v>
      </c>
      <c r="I263" t="s">
        <v>63</v>
      </c>
      <c r="J263" t="s">
        <v>114</v>
      </c>
      <c r="K263" t="s">
        <v>81</v>
      </c>
      <c r="L263" t="s">
        <v>63</v>
      </c>
      <c r="M263" t="s">
        <v>43</v>
      </c>
      <c r="N263" t="s">
        <v>43</v>
      </c>
      <c r="O263" t="s">
        <v>142</v>
      </c>
      <c r="P263" t="s">
        <v>43</v>
      </c>
      <c r="Q263" t="s">
        <v>164</v>
      </c>
      <c r="R263" t="s">
        <v>164</v>
      </c>
      <c r="S263" t="s">
        <v>282</v>
      </c>
      <c r="T263" t="s">
        <v>189</v>
      </c>
      <c r="U263" t="s">
        <v>185</v>
      </c>
      <c r="V263" t="s">
        <v>311</v>
      </c>
      <c r="W263" t="s">
        <v>231</v>
      </c>
      <c r="X263" t="s">
        <v>168</v>
      </c>
      <c r="Y263" t="s">
        <v>242</v>
      </c>
      <c r="Z263" t="s">
        <v>118</v>
      </c>
      <c r="AA263" t="s">
        <v>168</v>
      </c>
      <c r="AB263" t="s">
        <v>118</v>
      </c>
      <c r="AC263" t="s">
        <v>193</v>
      </c>
      <c r="AD263" t="s">
        <v>181</v>
      </c>
      <c r="AE263" t="s">
        <v>53</v>
      </c>
      <c r="AF263" t="s">
        <v>193</v>
      </c>
      <c r="AG263" t="s">
        <v>53</v>
      </c>
      <c r="AH263" t="s">
        <v>1052</v>
      </c>
    </row>
    <row r="264" spans="1:34" x14ac:dyDescent="0.25">
      <c r="A264" t="s">
        <v>1053</v>
      </c>
      <c r="B264" t="s">
        <v>57</v>
      </c>
      <c r="C264" t="s">
        <v>172</v>
      </c>
      <c r="D264" t="s">
        <v>59</v>
      </c>
      <c r="E264">
        <v>37</v>
      </c>
      <c r="F264">
        <v>37</v>
      </c>
      <c r="G264" t="s">
        <v>1054</v>
      </c>
      <c r="H264" t="s">
        <v>1055</v>
      </c>
      <c r="I264" t="s">
        <v>63</v>
      </c>
      <c r="J264" t="s">
        <v>114</v>
      </c>
      <c r="K264" t="s">
        <v>81</v>
      </c>
      <c r="L264" t="s">
        <v>63</v>
      </c>
      <c r="M264" t="s">
        <v>43</v>
      </c>
      <c r="N264" t="s">
        <v>43</v>
      </c>
      <c r="O264" t="s">
        <v>126</v>
      </c>
      <c r="P264" t="s">
        <v>43</v>
      </c>
      <c r="Q264" t="s">
        <v>223</v>
      </c>
      <c r="R264" t="s">
        <v>223</v>
      </c>
      <c r="S264" t="s">
        <v>282</v>
      </c>
      <c r="T264" t="s">
        <v>283</v>
      </c>
      <c r="U264" t="s">
        <v>140</v>
      </c>
      <c r="V264" t="s">
        <v>936</v>
      </c>
      <c r="W264" t="s">
        <v>1056</v>
      </c>
      <c r="X264" t="s">
        <v>169</v>
      </c>
      <c r="Y264" t="s">
        <v>242</v>
      </c>
      <c r="Z264" t="s">
        <v>218</v>
      </c>
      <c r="AA264" t="s">
        <v>169</v>
      </c>
      <c r="AB264" t="s">
        <v>218</v>
      </c>
      <c r="AC264" t="s">
        <v>193</v>
      </c>
      <c r="AD264" t="s">
        <v>242</v>
      </c>
      <c r="AE264" t="s">
        <v>53</v>
      </c>
      <c r="AF264" t="s">
        <v>193</v>
      </c>
      <c r="AG264" t="s">
        <v>53</v>
      </c>
      <c r="AH264" t="s">
        <v>1052</v>
      </c>
    </row>
    <row r="265" spans="1:34" x14ac:dyDescent="0.25">
      <c r="A265" t="s">
        <v>1057</v>
      </c>
      <c r="B265" t="s">
        <v>523</v>
      </c>
      <c r="C265" t="s">
        <v>58</v>
      </c>
      <c r="D265" t="s">
        <v>304</v>
      </c>
      <c r="E265">
        <v>35</v>
      </c>
      <c r="F265">
        <v>30</v>
      </c>
      <c r="G265" t="s">
        <v>1058</v>
      </c>
      <c r="H265" t="s">
        <v>1059</v>
      </c>
      <c r="I265" t="s">
        <v>83</v>
      </c>
      <c r="J265" t="s">
        <v>142</v>
      </c>
      <c r="K265" t="s">
        <v>89</v>
      </c>
      <c r="L265" t="s">
        <v>83</v>
      </c>
      <c r="M265" t="s">
        <v>43</v>
      </c>
      <c r="N265" t="s">
        <v>43</v>
      </c>
      <c r="O265" t="s">
        <v>41</v>
      </c>
      <c r="P265" t="s">
        <v>44</v>
      </c>
      <c r="Q265" t="s">
        <v>46</v>
      </c>
      <c r="R265" t="s">
        <v>46</v>
      </c>
      <c r="S265" t="s">
        <v>547</v>
      </c>
      <c r="T265" t="s">
        <v>787</v>
      </c>
      <c r="U265" t="s">
        <v>115</v>
      </c>
      <c r="V265" t="s">
        <v>190</v>
      </c>
      <c r="W265" t="s">
        <v>166</v>
      </c>
      <c r="X265" t="s">
        <v>218</v>
      </c>
      <c r="Y265" t="s">
        <v>50</v>
      </c>
      <c r="Z265" t="s">
        <v>105</v>
      </c>
      <c r="AA265" t="s">
        <v>218</v>
      </c>
      <c r="AB265" t="s">
        <v>105</v>
      </c>
      <c r="AC265" t="s">
        <v>218</v>
      </c>
      <c r="AD265" t="s">
        <v>156</v>
      </c>
      <c r="AE265" t="s">
        <v>236</v>
      </c>
      <c r="AF265" t="s">
        <v>218</v>
      </c>
      <c r="AG265" t="s">
        <v>236</v>
      </c>
      <c r="AH265" t="s">
        <v>1052</v>
      </c>
    </row>
    <row r="266" spans="1:34" x14ac:dyDescent="0.25">
      <c r="A266" t="s">
        <v>1060</v>
      </c>
      <c r="B266" t="s">
        <v>287</v>
      </c>
      <c r="C266" t="s">
        <v>524</v>
      </c>
      <c r="D266" t="s">
        <v>123</v>
      </c>
      <c r="E266">
        <v>28</v>
      </c>
      <c r="F266">
        <v>27</v>
      </c>
      <c r="G266" t="s">
        <v>1061</v>
      </c>
      <c r="H266" t="s">
        <v>1062</v>
      </c>
      <c r="I266" t="s">
        <v>44</v>
      </c>
      <c r="J266" t="s">
        <v>44</v>
      </c>
      <c r="K266" t="s">
        <v>63</v>
      </c>
      <c r="L266" t="s">
        <v>44</v>
      </c>
      <c r="M266" t="s">
        <v>43</v>
      </c>
      <c r="N266" t="s">
        <v>43</v>
      </c>
      <c r="O266" t="s">
        <v>40</v>
      </c>
      <c r="P266" t="s">
        <v>43</v>
      </c>
      <c r="Q266" t="s">
        <v>405</v>
      </c>
      <c r="R266" t="s">
        <v>405</v>
      </c>
      <c r="S266" t="s">
        <v>531</v>
      </c>
      <c r="T266" t="s">
        <v>653</v>
      </c>
      <c r="U266" t="s">
        <v>232</v>
      </c>
      <c r="V266" t="s">
        <v>792</v>
      </c>
      <c r="W266" t="s">
        <v>955</v>
      </c>
      <c r="X266" t="s">
        <v>193</v>
      </c>
      <c r="Y266" t="s">
        <v>193</v>
      </c>
      <c r="Z266" t="s">
        <v>181</v>
      </c>
      <c r="AA266" t="s">
        <v>193</v>
      </c>
      <c r="AB266" t="s">
        <v>181</v>
      </c>
      <c r="AC266" t="s">
        <v>82</v>
      </c>
      <c r="AD266" t="s">
        <v>242</v>
      </c>
      <c r="AE266" t="s">
        <v>151</v>
      </c>
      <c r="AF266" t="s">
        <v>82</v>
      </c>
      <c r="AG266" t="s">
        <v>151</v>
      </c>
      <c r="AH266" t="s">
        <v>1052</v>
      </c>
    </row>
    <row r="267" spans="1:34" x14ac:dyDescent="0.25">
      <c r="A267" t="s">
        <v>1063</v>
      </c>
      <c r="B267" t="s">
        <v>376</v>
      </c>
      <c r="C267" t="s">
        <v>137</v>
      </c>
      <c r="D267" t="s">
        <v>148</v>
      </c>
      <c r="E267">
        <v>35</v>
      </c>
      <c r="F267">
        <v>25</v>
      </c>
      <c r="G267" t="s">
        <v>1064</v>
      </c>
      <c r="H267" t="s">
        <v>1065</v>
      </c>
      <c r="I267" t="s">
        <v>167</v>
      </c>
      <c r="J267" t="s">
        <v>81</v>
      </c>
      <c r="K267" t="s">
        <v>185</v>
      </c>
      <c r="L267" t="s">
        <v>232</v>
      </c>
      <c r="M267" t="s">
        <v>63</v>
      </c>
      <c r="N267" t="s">
        <v>63</v>
      </c>
      <c r="O267" t="s">
        <v>114</v>
      </c>
      <c r="P267" t="s">
        <v>43</v>
      </c>
      <c r="Q267" t="s">
        <v>1066</v>
      </c>
      <c r="R267" t="s">
        <v>662</v>
      </c>
      <c r="S267" t="s">
        <v>188</v>
      </c>
      <c r="T267" t="s">
        <v>397</v>
      </c>
      <c r="U267" t="s">
        <v>78</v>
      </c>
      <c r="V267" t="s">
        <v>268</v>
      </c>
      <c r="W267" t="s">
        <v>602</v>
      </c>
      <c r="X267" t="s">
        <v>569</v>
      </c>
      <c r="Y267" t="s">
        <v>241</v>
      </c>
      <c r="Z267" t="s">
        <v>568</v>
      </c>
      <c r="AA267" t="s">
        <v>320</v>
      </c>
      <c r="AB267" t="s">
        <v>317</v>
      </c>
      <c r="AC267" t="s">
        <v>500</v>
      </c>
      <c r="AD267" t="s">
        <v>53</v>
      </c>
      <c r="AE267" t="s">
        <v>532</v>
      </c>
      <c r="AF267" t="s">
        <v>97</v>
      </c>
      <c r="AG267" t="s">
        <v>374</v>
      </c>
      <c r="AH267" t="s">
        <v>1052</v>
      </c>
    </row>
    <row r="268" spans="1:34" x14ac:dyDescent="0.25">
      <c r="A268" t="s">
        <v>1067</v>
      </c>
      <c r="B268" t="s">
        <v>57</v>
      </c>
      <c r="C268" t="s">
        <v>86</v>
      </c>
      <c r="D268" t="s">
        <v>268</v>
      </c>
      <c r="E268">
        <v>27</v>
      </c>
      <c r="F268">
        <v>24</v>
      </c>
      <c r="G268" t="s">
        <v>1068</v>
      </c>
      <c r="H268" t="s">
        <v>1069</v>
      </c>
      <c r="I268" t="s">
        <v>89</v>
      </c>
      <c r="J268" t="s">
        <v>83</v>
      </c>
      <c r="K268" t="s">
        <v>127</v>
      </c>
      <c r="L268" t="s">
        <v>231</v>
      </c>
      <c r="M268" t="s">
        <v>44</v>
      </c>
      <c r="N268" t="s">
        <v>44</v>
      </c>
      <c r="O268" t="s">
        <v>114</v>
      </c>
      <c r="P268" t="s">
        <v>43</v>
      </c>
      <c r="Q268" t="s">
        <v>1070</v>
      </c>
      <c r="R268" t="s">
        <v>840</v>
      </c>
      <c r="S268" t="s">
        <v>600</v>
      </c>
      <c r="T268" t="s">
        <v>1071</v>
      </c>
      <c r="U268" t="s">
        <v>681</v>
      </c>
      <c r="V268" t="s">
        <v>67</v>
      </c>
      <c r="W268" t="s">
        <v>607</v>
      </c>
      <c r="X268" t="s">
        <v>348</v>
      </c>
      <c r="Y268" t="s">
        <v>151</v>
      </c>
      <c r="Z268" t="s">
        <v>104</v>
      </c>
      <c r="AA268" t="s">
        <v>102</v>
      </c>
      <c r="AB268" t="s">
        <v>106</v>
      </c>
      <c r="AC268" t="s">
        <v>112</v>
      </c>
      <c r="AD268" t="s">
        <v>402</v>
      </c>
      <c r="AE268" t="s">
        <v>217</v>
      </c>
      <c r="AF268" t="s">
        <v>250</v>
      </c>
      <c r="AG268" t="s">
        <v>74</v>
      </c>
      <c r="AH268" t="s">
        <v>1052</v>
      </c>
    </row>
    <row r="269" spans="1:34" x14ac:dyDescent="0.25">
      <c r="A269" t="s">
        <v>1072</v>
      </c>
      <c r="B269" t="s">
        <v>1073</v>
      </c>
      <c r="C269" t="s">
        <v>172</v>
      </c>
      <c r="D269" t="s">
        <v>59</v>
      </c>
      <c r="E269">
        <v>26</v>
      </c>
      <c r="F269">
        <v>23</v>
      </c>
      <c r="G269" t="s">
        <v>1074</v>
      </c>
      <c r="H269" t="s">
        <v>1075</v>
      </c>
      <c r="I269" t="s">
        <v>44</v>
      </c>
      <c r="J269" t="s">
        <v>44</v>
      </c>
      <c r="K269" t="s">
        <v>63</v>
      </c>
      <c r="L269" t="s">
        <v>44</v>
      </c>
      <c r="M269" t="s">
        <v>43</v>
      </c>
      <c r="N269" t="s">
        <v>43</v>
      </c>
      <c r="O269" t="s">
        <v>114</v>
      </c>
      <c r="P269" t="s">
        <v>43</v>
      </c>
      <c r="Q269" t="s">
        <v>70</v>
      </c>
      <c r="R269" t="s">
        <v>70</v>
      </c>
      <c r="S269" t="s">
        <v>112</v>
      </c>
      <c r="T269" t="s">
        <v>44</v>
      </c>
      <c r="U269" t="s">
        <v>44</v>
      </c>
      <c r="V269" t="s">
        <v>372</v>
      </c>
      <c r="W269" t="s">
        <v>44</v>
      </c>
      <c r="X269" t="s">
        <v>193</v>
      </c>
      <c r="Y269" t="s">
        <v>193</v>
      </c>
      <c r="Z269" t="s">
        <v>120</v>
      </c>
      <c r="AA269" t="s">
        <v>193</v>
      </c>
      <c r="AB269" t="s">
        <v>120</v>
      </c>
      <c r="AC269" t="s">
        <v>358</v>
      </c>
      <c r="AD269" t="s">
        <v>182</v>
      </c>
      <c r="AE269" t="s">
        <v>193</v>
      </c>
      <c r="AF269" t="s">
        <v>358</v>
      </c>
      <c r="AG269" t="s">
        <v>193</v>
      </c>
      <c r="AH269" t="s">
        <v>1052</v>
      </c>
    </row>
    <row r="270" spans="1:34" x14ac:dyDescent="0.25">
      <c r="A270" t="s">
        <v>1076</v>
      </c>
      <c r="B270" t="s">
        <v>57</v>
      </c>
      <c r="C270" t="s">
        <v>108</v>
      </c>
      <c r="D270" t="s">
        <v>59</v>
      </c>
      <c r="E270">
        <v>25</v>
      </c>
      <c r="F270">
        <v>23</v>
      </c>
      <c r="G270" t="s">
        <v>1077</v>
      </c>
      <c r="H270" t="s">
        <v>1078</v>
      </c>
      <c r="I270" t="s">
        <v>43</v>
      </c>
      <c r="J270" t="s">
        <v>44</v>
      </c>
      <c r="K270" t="s">
        <v>44</v>
      </c>
      <c r="L270" t="s">
        <v>43</v>
      </c>
      <c r="M270" t="s">
        <v>43</v>
      </c>
      <c r="N270" t="s">
        <v>43</v>
      </c>
      <c r="O270" t="s">
        <v>63</v>
      </c>
      <c r="P270" t="s">
        <v>43</v>
      </c>
      <c r="Q270" t="s">
        <v>70</v>
      </c>
      <c r="R270" t="s">
        <v>70</v>
      </c>
      <c r="S270" t="s">
        <v>70</v>
      </c>
      <c r="T270" t="s">
        <v>200</v>
      </c>
      <c r="U270" t="s">
        <v>127</v>
      </c>
      <c r="V270" t="s">
        <v>394</v>
      </c>
      <c r="W270" t="s">
        <v>142</v>
      </c>
      <c r="X270" t="s">
        <v>43</v>
      </c>
      <c r="Y270" t="s">
        <v>193</v>
      </c>
      <c r="Z270" t="s">
        <v>193</v>
      </c>
      <c r="AA270" t="s">
        <v>43</v>
      </c>
      <c r="AB270" t="s">
        <v>193</v>
      </c>
      <c r="AC270" t="s">
        <v>358</v>
      </c>
      <c r="AD270" t="s">
        <v>358</v>
      </c>
      <c r="AE270" t="s">
        <v>168</v>
      </c>
      <c r="AF270" t="s">
        <v>358</v>
      </c>
      <c r="AG270" t="s">
        <v>168</v>
      </c>
      <c r="AH270" t="s">
        <v>1052</v>
      </c>
    </row>
    <row r="271" spans="1:34" x14ac:dyDescent="0.25">
      <c r="A271" t="s">
        <v>1079</v>
      </c>
      <c r="B271" t="s">
        <v>57</v>
      </c>
      <c r="C271" t="s">
        <v>108</v>
      </c>
      <c r="D271" t="s">
        <v>109</v>
      </c>
      <c r="E271">
        <v>26</v>
      </c>
      <c r="F271">
        <v>23</v>
      </c>
      <c r="G271" t="s">
        <v>1080</v>
      </c>
      <c r="H271" t="s">
        <v>272</v>
      </c>
      <c r="I271" t="s">
        <v>43</v>
      </c>
      <c r="J271" t="s">
        <v>44</v>
      </c>
      <c r="K271" t="s">
        <v>44</v>
      </c>
      <c r="L271" t="s">
        <v>43</v>
      </c>
      <c r="M271" t="s">
        <v>43</v>
      </c>
      <c r="N271" t="s">
        <v>43</v>
      </c>
      <c r="O271" t="s">
        <v>83</v>
      </c>
      <c r="P271" t="s">
        <v>43</v>
      </c>
      <c r="Q271" t="s">
        <v>398</v>
      </c>
      <c r="R271" t="s">
        <v>398</v>
      </c>
      <c r="S271" t="s">
        <v>241</v>
      </c>
      <c r="T271" t="s">
        <v>254</v>
      </c>
      <c r="U271" t="s">
        <v>167</v>
      </c>
      <c r="V271" t="s">
        <v>499</v>
      </c>
      <c r="W271" t="s">
        <v>232</v>
      </c>
      <c r="X271" t="s">
        <v>43</v>
      </c>
      <c r="Y271" t="s">
        <v>168</v>
      </c>
      <c r="Z271" t="s">
        <v>168</v>
      </c>
      <c r="AA271" t="s">
        <v>43</v>
      </c>
      <c r="AB271" t="s">
        <v>168</v>
      </c>
      <c r="AC271" t="s">
        <v>193</v>
      </c>
      <c r="AD271" t="s">
        <v>119</v>
      </c>
      <c r="AE271" t="s">
        <v>168</v>
      </c>
      <c r="AF271" t="s">
        <v>193</v>
      </c>
      <c r="AG271" t="s">
        <v>168</v>
      </c>
      <c r="AH271" t="s">
        <v>1052</v>
      </c>
    </row>
    <row r="272" spans="1:34" x14ac:dyDescent="0.25">
      <c r="A272" t="s">
        <v>1081</v>
      </c>
      <c r="B272" t="s">
        <v>57</v>
      </c>
      <c r="C272" t="s">
        <v>36</v>
      </c>
      <c r="D272" t="s">
        <v>123</v>
      </c>
      <c r="E272">
        <v>30</v>
      </c>
      <c r="F272">
        <v>23</v>
      </c>
      <c r="G272" t="s">
        <v>1082</v>
      </c>
      <c r="H272" t="s">
        <v>185</v>
      </c>
      <c r="I272" t="s">
        <v>43</v>
      </c>
      <c r="J272" t="s">
        <v>44</v>
      </c>
      <c r="K272" t="s">
        <v>44</v>
      </c>
      <c r="L272" t="s">
        <v>43</v>
      </c>
      <c r="M272" t="s">
        <v>43</v>
      </c>
      <c r="N272" t="s">
        <v>43</v>
      </c>
      <c r="O272" t="s">
        <v>126</v>
      </c>
      <c r="P272" t="s">
        <v>43</v>
      </c>
      <c r="Q272" t="s">
        <v>163</v>
      </c>
      <c r="R272" t="s">
        <v>163</v>
      </c>
      <c r="S272" t="s">
        <v>254</v>
      </c>
      <c r="T272" t="s">
        <v>416</v>
      </c>
      <c r="U272" t="s">
        <v>232</v>
      </c>
      <c r="V272" t="s">
        <v>47</v>
      </c>
      <c r="W272" t="s">
        <v>42</v>
      </c>
      <c r="X272" t="s">
        <v>43</v>
      </c>
      <c r="Y272" t="s">
        <v>168</v>
      </c>
      <c r="Z272" t="s">
        <v>168</v>
      </c>
      <c r="AA272" t="s">
        <v>43</v>
      </c>
      <c r="AB272" t="s">
        <v>168</v>
      </c>
      <c r="AC272" t="s">
        <v>182</v>
      </c>
      <c r="AD272" t="s">
        <v>168</v>
      </c>
      <c r="AE272" t="s">
        <v>181</v>
      </c>
      <c r="AF272" t="s">
        <v>182</v>
      </c>
      <c r="AG272" t="s">
        <v>181</v>
      </c>
      <c r="AH272" t="s">
        <v>1052</v>
      </c>
    </row>
    <row r="273" spans="1:34" x14ac:dyDescent="0.25">
      <c r="A273" t="s">
        <v>1083</v>
      </c>
      <c r="B273" t="s">
        <v>57</v>
      </c>
      <c r="C273" t="s">
        <v>77</v>
      </c>
      <c r="D273" t="s">
        <v>263</v>
      </c>
      <c r="E273">
        <v>20</v>
      </c>
      <c r="F273">
        <v>20</v>
      </c>
      <c r="G273" t="s">
        <v>1084</v>
      </c>
      <c r="H273" t="s">
        <v>141</v>
      </c>
      <c r="I273" t="s">
        <v>43</v>
      </c>
      <c r="J273" t="s">
        <v>43</v>
      </c>
      <c r="K273" t="s">
        <v>43</v>
      </c>
      <c r="L273" t="s">
        <v>43</v>
      </c>
      <c r="M273" t="s">
        <v>43</v>
      </c>
      <c r="N273" t="s">
        <v>43</v>
      </c>
      <c r="O273" t="s">
        <v>44</v>
      </c>
      <c r="P273" t="s">
        <v>43</v>
      </c>
      <c r="Q273" t="s">
        <v>43</v>
      </c>
      <c r="R273" t="s">
        <v>43</v>
      </c>
      <c r="S273" t="s">
        <v>43</v>
      </c>
      <c r="T273" t="s">
        <v>43</v>
      </c>
      <c r="U273" t="s">
        <v>43</v>
      </c>
      <c r="V273" t="s">
        <v>43</v>
      </c>
      <c r="W273" t="s">
        <v>43</v>
      </c>
      <c r="X273" t="s">
        <v>43</v>
      </c>
      <c r="Y273" t="s">
        <v>43</v>
      </c>
      <c r="Z273" t="s">
        <v>43</v>
      </c>
      <c r="AA273" t="s">
        <v>43</v>
      </c>
      <c r="AB273" t="s">
        <v>43</v>
      </c>
      <c r="AC273" t="s">
        <v>43</v>
      </c>
      <c r="AD273" t="s">
        <v>43</v>
      </c>
      <c r="AE273" t="s">
        <v>43</v>
      </c>
      <c r="AF273" t="s">
        <v>43</v>
      </c>
      <c r="AG273" t="s">
        <v>43</v>
      </c>
      <c r="AH273" t="s">
        <v>1052</v>
      </c>
    </row>
    <row r="274" spans="1:34" x14ac:dyDescent="0.25">
      <c r="A274" t="s">
        <v>1085</v>
      </c>
      <c r="B274" t="s">
        <v>57</v>
      </c>
      <c r="C274" t="s">
        <v>77</v>
      </c>
      <c r="D274" t="s">
        <v>148</v>
      </c>
      <c r="E274">
        <v>18</v>
      </c>
      <c r="F274">
        <v>18</v>
      </c>
      <c r="G274" t="s">
        <v>1086</v>
      </c>
      <c r="H274" t="s">
        <v>203</v>
      </c>
      <c r="I274" t="s">
        <v>43</v>
      </c>
      <c r="J274" t="s">
        <v>43</v>
      </c>
      <c r="K274" t="s">
        <v>43</v>
      </c>
      <c r="L274" t="s">
        <v>43</v>
      </c>
      <c r="M274" t="s">
        <v>43</v>
      </c>
      <c r="N274" t="s">
        <v>43</v>
      </c>
      <c r="O274" t="s">
        <v>63</v>
      </c>
      <c r="P274" t="s">
        <v>43</v>
      </c>
      <c r="Q274" t="s">
        <v>43</v>
      </c>
      <c r="R274" t="s">
        <v>43</v>
      </c>
      <c r="S274" t="s">
        <v>43</v>
      </c>
      <c r="T274" t="s">
        <v>43</v>
      </c>
      <c r="U274" t="s">
        <v>43</v>
      </c>
      <c r="V274" t="s">
        <v>43</v>
      </c>
      <c r="W274" t="s">
        <v>43</v>
      </c>
      <c r="X274" t="s">
        <v>43</v>
      </c>
      <c r="Y274" t="s">
        <v>43</v>
      </c>
      <c r="Z274" t="s">
        <v>43</v>
      </c>
      <c r="AA274" t="s">
        <v>43</v>
      </c>
      <c r="AB274" t="s">
        <v>43</v>
      </c>
      <c r="AC274" t="s">
        <v>43</v>
      </c>
      <c r="AD274" t="s">
        <v>43</v>
      </c>
      <c r="AE274" t="s">
        <v>43</v>
      </c>
      <c r="AF274" t="s">
        <v>43</v>
      </c>
      <c r="AG274" t="s">
        <v>43</v>
      </c>
      <c r="AH274" t="s">
        <v>1052</v>
      </c>
    </row>
    <row r="275" spans="1:34" x14ac:dyDescent="0.25">
      <c r="A275" t="s">
        <v>1087</v>
      </c>
      <c r="B275" t="s">
        <v>376</v>
      </c>
      <c r="C275" t="s">
        <v>58</v>
      </c>
      <c r="D275" t="s">
        <v>268</v>
      </c>
      <c r="E275">
        <v>30</v>
      </c>
      <c r="F275">
        <v>17</v>
      </c>
      <c r="G275" t="s">
        <v>1088</v>
      </c>
      <c r="H275" t="s">
        <v>1089</v>
      </c>
      <c r="I275" t="s">
        <v>142</v>
      </c>
      <c r="J275" t="s">
        <v>43</v>
      </c>
      <c r="K275" t="s">
        <v>142</v>
      </c>
      <c r="L275" t="s">
        <v>142</v>
      </c>
      <c r="M275" t="s">
        <v>43</v>
      </c>
      <c r="N275" t="s">
        <v>43</v>
      </c>
      <c r="O275" t="s">
        <v>83</v>
      </c>
      <c r="P275" t="s">
        <v>43</v>
      </c>
      <c r="Q275" t="s">
        <v>407</v>
      </c>
      <c r="R275" t="s">
        <v>407</v>
      </c>
      <c r="S275" t="s">
        <v>200</v>
      </c>
      <c r="T275" t="s">
        <v>446</v>
      </c>
      <c r="U275" t="s">
        <v>109</v>
      </c>
      <c r="V275" t="s">
        <v>180</v>
      </c>
      <c r="W275" t="s">
        <v>226</v>
      </c>
      <c r="X275" t="s">
        <v>251</v>
      </c>
      <c r="Y275" t="s">
        <v>43</v>
      </c>
      <c r="Z275" t="s">
        <v>251</v>
      </c>
      <c r="AA275" t="s">
        <v>251</v>
      </c>
      <c r="AB275" t="s">
        <v>251</v>
      </c>
      <c r="AC275" t="s">
        <v>250</v>
      </c>
      <c r="AD275" t="s">
        <v>181</v>
      </c>
      <c r="AE275" t="s">
        <v>500</v>
      </c>
      <c r="AF275" t="s">
        <v>250</v>
      </c>
      <c r="AG275" t="s">
        <v>500</v>
      </c>
      <c r="AH275" t="s">
        <v>1052</v>
      </c>
    </row>
    <row r="276" spans="1:34" x14ac:dyDescent="0.25">
      <c r="A276" t="s">
        <v>1090</v>
      </c>
      <c r="B276" t="s">
        <v>523</v>
      </c>
      <c r="C276" t="s">
        <v>58</v>
      </c>
      <c r="D276" t="s">
        <v>263</v>
      </c>
      <c r="E276">
        <v>29</v>
      </c>
      <c r="F276">
        <v>17</v>
      </c>
      <c r="G276" t="s">
        <v>404</v>
      </c>
      <c r="H276" t="s">
        <v>127</v>
      </c>
      <c r="I276" t="s">
        <v>63</v>
      </c>
      <c r="J276" t="s">
        <v>63</v>
      </c>
      <c r="K276" t="s">
        <v>83</v>
      </c>
      <c r="L276" t="s">
        <v>63</v>
      </c>
      <c r="M276" t="s">
        <v>43</v>
      </c>
      <c r="N276" t="s">
        <v>43</v>
      </c>
      <c r="O276" t="s">
        <v>44</v>
      </c>
      <c r="P276" t="s">
        <v>43</v>
      </c>
      <c r="Q276" t="s">
        <v>255</v>
      </c>
      <c r="R276" t="s">
        <v>255</v>
      </c>
      <c r="S276" t="s">
        <v>327</v>
      </c>
      <c r="T276" t="s">
        <v>45</v>
      </c>
      <c r="U276" t="s">
        <v>141</v>
      </c>
      <c r="V276" t="s">
        <v>109</v>
      </c>
      <c r="W276" t="s">
        <v>582</v>
      </c>
      <c r="X276" t="s">
        <v>118</v>
      </c>
      <c r="Y276" t="s">
        <v>118</v>
      </c>
      <c r="Z276" t="s">
        <v>98</v>
      </c>
      <c r="AA276" t="s">
        <v>118</v>
      </c>
      <c r="AB276" t="s">
        <v>98</v>
      </c>
      <c r="AC276" t="s">
        <v>53</v>
      </c>
      <c r="AD276" t="s">
        <v>156</v>
      </c>
      <c r="AE276" t="s">
        <v>98</v>
      </c>
      <c r="AF276" t="s">
        <v>53</v>
      </c>
      <c r="AG276" t="s">
        <v>98</v>
      </c>
      <c r="AH276" t="s">
        <v>1052</v>
      </c>
    </row>
    <row r="277" spans="1:34" x14ac:dyDescent="0.25">
      <c r="A277" t="s">
        <v>1091</v>
      </c>
      <c r="B277" t="s">
        <v>287</v>
      </c>
      <c r="C277" t="s">
        <v>172</v>
      </c>
      <c r="D277" t="s">
        <v>37</v>
      </c>
      <c r="E277">
        <v>16</v>
      </c>
      <c r="F277">
        <v>16</v>
      </c>
      <c r="G277" t="s">
        <v>1092</v>
      </c>
      <c r="H277" t="s">
        <v>167</v>
      </c>
      <c r="I277" t="s">
        <v>43</v>
      </c>
      <c r="J277" t="s">
        <v>83</v>
      </c>
      <c r="K277" t="s">
        <v>83</v>
      </c>
      <c r="L277" t="s">
        <v>43</v>
      </c>
      <c r="M277" t="s">
        <v>43</v>
      </c>
      <c r="N277" t="s">
        <v>43</v>
      </c>
      <c r="O277" t="s">
        <v>83</v>
      </c>
      <c r="P277" t="s">
        <v>43</v>
      </c>
      <c r="Q277" t="s">
        <v>200</v>
      </c>
      <c r="R277" t="s">
        <v>200</v>
      </c>
      <c r="S277" t="s">
        <v>177</v>
      </c>
      <c r="T277" t="s">
        <v>128</v>
      </c>
      <c r="U277" t="s">
        <v>268</v>
      </c>
      <c r="V277" t="s">
        <v>227</v>
      </c>
      <c r="W277" t="s">
        <v>1017</v>
      </c>
      <c r="X277" t="s">
        <v>43</v>
      </c>
      <c r="Y277" t="s">
        <v>50</v>
      </c>
      <c r="Z277" t="s">
        <v>50</v>
      </c>
      <c r="AA277" t="s">
        <v>43</v>
      </c>
      <c r="AB277" t="s">
        <v>50</v>
      </c>
      <c r="AC277" t="s">
        <v>242</v>
      </c>
      <c r="AD277" t="s">
        <v>156</v>
      </c>
      <c r="AE277" t="s">
        <v>402</v>
      </c>
      <c r="AF277" t="s">
        <v>242</v>
      </c>
      <c r="AG277" t="s">
        <v>402</v>
      </c>
      <c r="AH277" t="s">
        <v>1052</v>
      </c>
    </row>
    <row r="278" spans="1:34" x14ac:dyDescent="0.25">
      <c r="A278" t="s">
        <v>1093</v>
      </c>
      <c r="B278" t="s">
        <v>57</v>
      </c>
      <c r="C278" t="s">
        <v>36</v>
      </c>
      <c r="D278" t="s">
        <v>62</v>
      </c>
      <c r="E278">
        <v>16</v>
      </c>
      <c r="F278">
        <v>15</v>
      </c>
      <c r="G278" t="s">
        <v>1094</v>
      </c>
      <c r="H278" t="s">
        <v>1095</v>
      </c>
      <c r="I278" t="s">
        <v>43</v>
      </c>
      <c r="J278" t="s">
        <v>114</v>
      </c>
      <c r="K278" t="s">
        <v>114</v>
      </c>
      <c r="L278" t="s">
        <v>43</v>
      </c>
      <c r="M278" t="s">
        <v>43</v>
      </c>
      <c r="N278" t="s">
        <v>43</v>
      </c>
      <c r="O278" t="s">
        <v>63</v>
      </c>
      <c r="P278" t="s">
        <v>43</v>
      </c>
      <c r="Q278" t="s">
        <v>163</v>
      </c>
      <c r="R278" t="s">
        <v>163</v>
      </c>
      <c r="S278" t="s">
        <v>177</v>
      </c>
      <c r="T278" t="s">
        <v>282</v>
      </c>
      <c r="U278" t="s">
        <v>232</v>
      </c>
      <c r="V278" t="s">
        <v>641</v>
      </c>
      <c r="W278" t="s">
        <v>231</v>
      </c>
      <c r="X278" t="s">
        <v>43</v>
      </c>
      <c r="Y278" t="s">
        <v>134</v>
      </c>
      <c r="Z278" t="s">
        <v>134</v>
      </c>
      <c r="AA278" t="s">
        <v>43</v>
      </c>
      <c r="AB278" t="s">
        <v>134</v>
      </c>
      <c r="AC278" t="s">
        <v>182</v>
      </c>
      <c r="AD278" t="s">
        <v>215</v>
      </c>
      <c r="AE278" t="s">
        <v>194</v>
      </c>
      <c r="AF278" t="s">
        <v>182</v>
      </c>
      <c r="AG278" t="s">
        <v>194</v>
      </c>
      <c r="AH278" t="s">
        <v>1052</v>
      </c>
    </row>
    <row r="279" spans="1:34" x14ac:dyDescent="0.25">
      <c r="A279" t="s">
        <v>1096</v>
      </c>
      <c r="B279" t="s">
        <v>57</v>
      </c>
      <c r="C279" t="s">
        <v>108</v>
      </c>
      <c r="D279" t="s">
        <v>140</v>
      </c>
      <c r="E279">
        <v>19</v>
      </c>
      <c r="F279">
        <v>14</v>
      </c>
      <c r="G279" t="s">
        <v>611</v>
      </c>
      <c r="H279" t="s">
        <v>612</v>
      </c>
      <c r="I279" t="s">
        <v>43</v>
      </c>
      <c r="J279" t="s">
        <v>43</v>
      </c>
      <c r="K279" t="s">
        <v>43</v>
      </c>
      <c r="L279" t="s">
        <v>43</v>
      </c>
      <c r="M279" t="s">
        <v>43</v>
      </c>
      <c r="N279" t="s">
        <v>43</v>
      </c>
      <c r="O279" t="s">
        <v>43</v>
      </c>
      <c r="P279" t="s">
        <v>43</v>
      </c>
      <c r="Q279" t="s">
        <v>241</v>
      </c>
      <c r="R279" t="s">
        <v>241</v>
      </c>
      <c r="S279" t="s">
        <v>241</v>
      </c>
      <c r="T279" t="s">
        <v>112</v>
      </c>
      <c r="U279" t="s">
        <v>231</v>
      </c>
      <c r="V279" t="s">
        <v>109</v>
      </c>
      <c r="W279" t="s">
        <v>203</v>
      </c>
      <c r="X279" t="s">
        <v>43</v>
      </c>
      <c r="Y279" t="s">
        <v>43</v>
      </c>
      <c r="Z279" t="s">
        <v>43</v>
      </c>
      <c r="AA279" t="s">
        <v>43</v>
      </c>
      <c r="AB279" t="s">
        <v>43</v>
      </c>
      <c r="AC279" t="s">
        <v>119</v>
      </c>
      <c r="AD279" t="s">
        <v>119</v>
      </c>
      <c r="AE279" t="s">
        <v>358</v>
      </c>
      <c r="AF279" t="s">
        <v>119</v>
      </c>
      <c r="AG279" t="s">
        <v>358</v>
      </c>
      <c r="AH279" t="s">
        <v>1052</v>
      </c>
    </row>
    <row r="280" spans="1:34" x14ac:dyDescent="0.25">
      <c r="A280" t="s">
        <v>1097</v>
      </c>
      <c r="B280" t="s">
        <v>376</v>
      </c>
      <c r="C280" t="s">
        <v>58</v>
      </c>
      <c r="D280" t="s">
        <v>185</v>
      </c>
      <c r="E280">
        <v>19</v>
      </c>
      <c r="F280">
        <v>14</v>
      </c>
      <c r="G280" t="s">
        <v>1098</v>
      </c>
      <c r="H280" t="s">
        <v>701</v>
      </c>
      <c r="I280" t="s">
        <v>231</v>
      </c>
      <c r="J280" t="s">
        <v>126</v>
      </c>
      <c r="K280" t="s">
        <v>167</v>
      </c>
      <c r="L280" t="s">
        <v>41</v>
      </c>
      <c r="M280" t="s">
        <v>44</v>
      </c>
      <c r="N280" t="s">
        <v>44</v>
      </c>
      <c r="O280" t="s">
        <v>43</v>
      </c>
      <c r="P280" t="s">
        <v>43</v>
      </c>
      <c r="Q280" t="s">
        <v>993</v>
      </c>
      <c r="R280" t="s">
        <v>629</v>
      </c>
      <c r="S280" t="s">
        <v>337</v>
      </c>
      <c r="T280" t="s">
        <v>462</v>
      </c>
      <c r="U280" t="s">
        <v>681</v>
      </c>
      <c r="V280" t="s">
        <v>400</v>
      </c>
      <c r="W280" t="s">
        <v>806</v>
      </c>
      <c r="X280" t="s">
        <v>153</v>
      </c>
      <c r="Y280" t="s">
        <v>318</v>
      </c>
      <c r="Z280" t="s">
        <v>152</v>
      </c>
      <c r="AA280" t="s">
        <v>313</v>
      </c>
      <c r="AB280" t="s">
        <v>1099</v>
      </c>
      <c r="AC280" t="s">
        <v>105</v>
      </c>
      <c r="AD280" t="s">
        <v>251</v>
      </c>
      <c r="AE280" t="s">
        <v>259</v>
      </c>
      <c r="AF280" t="s">
        <v>72</v>
      </c>
      <c r="AG280" t="s">
        <v>237</v>
      </c>
      <c r="AH280" t="s">
        <v>1052</v>
      </c>
    </row>
    <row r="281" spans="1:34" x14ac:dyDescent="0.25">
      <c r="A281" t="s">
        <v>1100</v>
      </c>
      <c r="B281" t="s">
        <v>781</v>
      </c>
      <c r="C281" t="s">
        <v>36</v>
      </c>
      <c r="D281" t="s">
        <v>59</v>
      </c>
      <c r="E281">
        <v>11</v>
      </c>
      <c r="F281">
        <v>11</v>
      </c>
      <c r="G281" t="s">
        <v>1101</v>
      </c>
      <c r="H281" t="s">
        <v>521</v>
      </c>
      <c r="I281" t="s">
        <v>43</v>
      </c>
      <c r="J281" t="s">
        <v>43</v>
      </c>
      <c r="K281" t="s">
        <v>43</v>
      </c>
      <c r="L281" t="s">
        <v>43</v>
      </c>
      <c r="M281" t="s">
        <v>43</v>
      </c>
      <c r="N281" t="s">
        <v>43</v>
      </c>
      <c r="O281" t="s">
        <v>63</v>
      </c>
      <c r="P281" t="s">
        <v>43</v>
      </c>
      <c r="Q281" t="s">
        <v>163</v>
      </c>
      <c r="R281" t="s">
        <v>163</v>
      </c>
      <c r="S281" t="s">
        <v>378</v>
      </c>
      <c r="T281" t="s">
        <v>44</v>
      </c>
      <c r="U281" t="s">
        <v>41</v>
      </c>
      <c r="V281" t="s">
        <v>816</v>
      </c>
      <c r="W281" t="s">
        <v>81</v>
      </c>
      <c r="X281" t="s">
        <v>43</v>
      </c>
      <c r="Y281" t="s">
        <v>43</v>
      </c>
      <c r="Z281" t="s">
        <v>43</v>
      </c>
      <c r="AA281" t="s">
        <v>43</v>
      </c>
      <c r="AB281" t="s">
        <v>43</v>
      </c>
      <c r="AC281" t="s">
        <v>358</v>
      </c>
      <c r="AD281" t="s">
        <v>181</v>
      </c>
      <c r="AE281" t="s">
        <v>82</v>
      </c>
      <c r="AF281" t="s">
        <v>358</v>
      </c>
      <c r="AG281" t="s">
        <v>82</v>
      </c>
      <c r="AH281" t="s">
        <v>1052</v>
      </c>
    </row>
    <row r="282" spans="1:34" x14ac:dyDescent="0.25">
      <c r="A282" t="s">
        <v>1102</v>
      </c>
      <c r="B282" t="s">
        <v>196</v>
      </c>
      <c r="C282" t="s">
        <v>86</v>
      </c>
      <c r="D282" t="s">
        <v>148</v>
      </c>
      <c r="E282">
        <v>9</v>
      </c>
      <c r="F282">
        <v>2</v>
      </c>
      <c r="G282" t="s">
        <v>1103</v>
      </c>
      <c r="H282" t="s">
        <v>113</v>
      </c>
      <c r="I282" t="s">
        <v>43</v>
      </c>
      <c r="J282" t="s">
        <v>43</v>
      </c>
      <c r="K282" t="s">
        <v>43</v>
      </c>
      <c r="L282" t="s">
        <v>43</v>
      </c>
      <c r="M282" t="s">
        <v>43</v>
      </c>
      <c r="N282" t="s">
        <v>43</v>
      </c>
      <c r="O282" t="s">
        <v>43</v>
      </c>
      <c r="P282" t="s">
        <v>43</v>
      </c>
      <c r="Q282" t="s">
        <v>43</v>
      </c>
      <c r="R282" t="s">
        <v>43</v>
      </c>
      <c r="S282" t="s">
        <v>43</v>
      </c>
      <c r="T282" t="s">
        <v>43</v>
      </c>
      <c r="U282" t="s">
        <v>114</v>
      </c>
      <c r="V282" t="s">
        <v>231</v>
      </c>
      <c r="W282" t="s">
        <v>114</v>
      </c>
      <c r="X282" t="s">
        <v>43</v>
      </c>
      <c r="Y282" t="s">
        <v>43</v>
      </c>
      <c r="Z282" t="s">
        <v>43</v>
      </c>
      <c r="AA282" t="s">
        <v>43</v>
      </c>
      <c r="AB282" t="s">
        <v>43</v>
      </c>
      <c r="AC282" t="s">
        <v>119</v>
      </c>
      <c r="AD282" t="s">
        <v>43</v>
      </c>
      <c r="AE282" t="s">
        <v>119</v>
      </c>
      <c r="AF282" t="s">
        <v>119</v>
      </c>
      <c r="AG282" t="s">
        <v>119</v>
      </c>
      <c r="AH282" t="s">
        <v>1052</v>
      </c>
    </row>
    <row r="283" spans="1:34" x14ac:dyDescent="0.25">
      <c r="A283" t="s">
        <v>1104</v>
      </c>
      <c r="B283" t="s">
        <v>76</v>
      </c>
      <c r="C283" t="s">
        <v>86</v>
      </c>
      <c r="D283" t="s">
        <v>62</v>
      </c>
      <c r="E283">
        <v>10</v>
      </c>
      <c r="F283">
        <v>1</v>
      </c>
      <c r="G283" t="s">
        <v>665</v>
      </c>
      <c r="H283" t="s">
        <v>113</v>
      </c>
      <c r="I283" t="s">
        <v>43</v>
      </c>
      <c r="J283" t="s">
        <v>44</v>
      </c>
      <c r="K283" t="s">
        <v>44</v>
      </c>
      <c r="L283" t="s">
        <v>43</v>
      </c>
      <c r="M283" t="s">
        <v>43</v>
      </c>
      <c r="N283" t="s">
        <v>43</v>
      </c>
      <c r="O283" t="s">
        <v>44</v>
      </c>
      <c r="P283" t="s">
        <v>43</v>
      </c>
      <c r="Q283" t="s">
        <v>112</v>
      </c>
      <c r="R283" t="s">
        <v>112</v>
      </c>
      <c r="S283" t="s">
        <v>398</v>
      </c>
      <c r="T283" t="s">
        <v>200</v>
      </c>
      <c r="U283" t="s">
        <v>276</v>
      </c>
      <c r="V283" t="s">
        <v>40</v>
      </c>
      <c r="W283" t="s">
        <v>276</v>
      </c>
      <c r="X283" t="s">
        <v>43</v>
      </c>
      <c r="Y283" t="s">
        <v>105</v>
      </c>
      <c r="Z283" t="s">
        <v>105</v>
      </c>
      <c r="AA283" t="s">
        <v>43</v>
      </c>
      <c r="AB283" t="s">
        <v>105</v>
      </c>
      <c r="AC283" t="s">
        <v>218</v>
      </c>
      <c r="AD283" t="s">
        <v>616</v>
      </c>
      <c r="AE283" t="s">
        <v>348</v>
      </c>
      <c r="AF283" t="s">
        <v>218</v>
      </c>
      <c r="AG283" t="s">
        <v>348</v>
      </c>
      <c r="AH283" t="s">
        <v>1052</v>
      </c>
    </row>
    <row r="284" spans="1:34" x14ac:dyDescent="0.25">
      <c r="A284" t="s">
        <v>1105</v>
      </c>
      <c r="B284" t="s">
        <v>376</v>
      </c>
      <c r="C284" t="s">
        <v>86</v>
      </c>
      <c r="D284" t="s">
        <v>185</v>
      </c>
      <c r="E284">
        <v>20</v>
      </c>
      <c r="F284">
        <v>0</v>
      </c>
      <c r="G284" t="s">
        <v>1106</v>
      </c>
      <c r="H284" t="s">
        <v>46</v>
      </c>
      <c r="I284" t="s">
        <v>43</v>
      </c>
      <c r="J284" t="s">
        <v>43</v>
      </c>
      <c r="K284" t="s">
        <v>43</v>
      </c>
      <c r="L284" t="s">
        <v>43</v>
      </c>
      <c r="M284" t="s">
        <v>43</v>
      </c>
      <c r="N284" t="s">
        <v>43</v>
      </c>
      <c r="O284" t="s">
        <v>83</v>
      </c>
      <c r="P284" t="s">
        <v>44</v>
      </c>
      <c r="Q284" t="s">
        <v>176</v>
      </c>
      <c r="R284" t="s">
        <v>176</v>
      </c>
      <c r="S284" t="s">
        <v>43</v>
      </c>
      <c r="T284" t="s">
        <v>176</v>
      </c>
      <c r="U284" t="s">
        <v>62</v>
      </c>
      <c r="V284" t="s">
        <v>268</v>
      </c>
      <c r="W284" t="s">
        <v>141</v>
      </c>
      <c r="X284" t="s">
        <v>43</v>
      </c>
      <c r="Y284" t="s">
        <v>43</v>
      </c>
      <c r="Z284" t="s">
        <v>43</v>
      </c>
      <c r="AA284" t="s">
        <v>43</v>
      </c>
      <c r="AB284" t="s">
        <v>43</v>
      </c>
      <c r="AC284" t="s">
        <v>118</v>
      </c>
      <c r="AD284" t="s">
        <v>119</v>
      </c>
      <c r="AE284" t="s">
        <v>118</v>
      </c>
      <c r="AF284" t="s">
        <v>118</v>
      </c>
      <c r="AG284" t="s">
        <v>118</v>
      </c>
      <c r="AH284" t="s">
        <v>1052</v>
      </c>
    </row>
    <row r="285" spans="1:34" x14ac:dyDescent="0.25">
      <c r="A285" t="s">
        <v>1107</v>
      </c>
      <c r="B285" t="s">
        <v>57</v>
      </c>
      <c r="C285" t="s">
        <v>524</v>
      </c>
      <c r="D285" t="s">
        <v>203</v>
      </c>
      <c r="E285">
        <v>9</v>
      </c>
      <c r="F285">
        <v>0</v>
      </c>
      <c r="G285" t="s">
        <v>779</v>
      </c>
      <c r="H285" t="s">
        <v>164</v>
      </c>
      <c r="I285" t="s">
        <v>43</v>
      </c>
      <c r="J285" t="s">
        <v>43</v>
      </c>
      <c r="K285" t="s">
        <v>43</v>
      </c>
      <c r="L285" t="s">
        <v>43</v>
      </c>
      <c r="M285" t="s">
        <v>43</v>
      </c>
      <c r="N285" t="s">
        <v>43</v>
      </c>
      <c r="O285" t="s">
        <v>44</v>
      </c>
      <c r="P285" t="s">
        <v>43</v>
      </c>
      <c r="Q285" t="s">
        <v>43</v>
      </c>
      <c r="R285" t="s">
        <v>43</v>
      </c>
      <c r="S285" t="s">
        <v>43</v>
      </c>
      <c r="T285" t="s">
        <v>43</v>
      </c>
      <c r="U285" t="s">
        <v>63</v>
      </c>
      <c r="V285" t="s">
        <v>83</v>
      </c>
      <c r="W285" t="s">
        <v>114</v>
      </c>
      <c r="X285" t="s">
        <v>43</v>
      </c>
      <c r="Y285" t="s">
        <v>43</v>
      </c>
      <c r="Z285" t="s">
        <v>43</v>
      </c>
      <c r="AA285" t="s">
        <v>43</v>
      </c>
      <c r="AB285" t="s">
        <v>43</v>
      </c>
      <c r="AC285" t="s">
        <v>43</v>
      </c>
      <c r="AD285" t="s">
        <v>43</v>
      </c>
      <c r="AE285" t="s">
        <v>43</v>
      </c>
      <c r="AF285" t="s">
        <v>43</v>
      </c>
      <c r="AG285" t="s">
        <v>43</v>
      </c>
      <c r="AH285" t="s">
        <v>1052</v>
      </c>
    </row>
    <row r="286" spans="1:34" x14ac:dyDescent="0.25">
      <c r="A286" t="s">
        <v>1108</v>
      </c>
      <c r="B286" t="s">
        <v>57</v>
      </c>
      <c r="C286" t="s">
        <v>86</v>
      </c>
      <c r="D286" t="s">
        <v>141</v>
      </c>
      <c r="E286">
        <v>6</v>
      </c>
      <c r="F286">
        <v>0</v>
      </c>
      <c r="G286" t="s">
        <v>191</v>
      </c>
      <c r="H286" t="s">
        <v>416</v>
      </c>
      <c r="I286" t="s">
        <v>43</v>
      </c>
      <c r="J286" t="s">
        <v>43</v>
      </c>
      <c r="K286" t="s">
        <v>43</v>
      </c>
      <c r="L286" t="s">
        <v>43</v>
      </c>
      <c r="M286" t="s">
        <v>43</v>
      </c>
      <c r="N286" t="s">
        <v>43</v>
      </c>
      <c r="O286" t="s">
        <v>43</v>
      </c>
      <c r="P286" t="s">
        <v>43</v>
      </c>
      <c r="Q286" t="s">
        <v>112</v>
      </c>
      <c r="R286" t="s">
        <v>112</v>
      </c>
      <c r="S286" t="s">
        <v>241</v>
      </c>
      <c r="T286" t="s">
        <v>70</v>
      </c>
      <c r="U286" t="s">
        <v>142</v>
      </c>
      <c r="V286" t="s">
        <v>63</v>
      </c>
      <c r="W286" t="s">
        <v>203</v>
      </c>
      <c r="X286" t="s">
        <v>43</v>
      </c>
      <c r="Y286" t="s">
        <v>43</v>
      </c>
      <c r="Z286" t="s">
        <v>43</v>
      </c>
      <c r="AA286" t="s">
        <v>43</v>
      </c>
      <c r="AB286" t="s">
        <v>43</v>
      </c>
      <c r="AC286" t="s">
        <v>51</v>
      </c>
      <c r="AD286" t="s">
        <v>82</v>
      </c>
      <c r="AE286" t="s">
        <v>510</v>
      </c>
      <c r="AF286" t="s">
        <v>51</v>
      </c>
      <c r="AG286" t="s">
        <v>510</v>
      </c>
      <c r="AH286" t="s">
        <v>1052</v>
      </c>
    </row>
    <row r="287" spans="1:34" x14ac:dyDescent="0.25">
      <c r="A287" t="s">
        <v>1109</v>
      </c>
      <c r="B287" t="s">
        <v>57</v>
      </c>
      <c r="C287" t="s">
        <v>108</v>
      </c>
      <c r="D287" t="s">
        <v>165</v>
      </c>
      <c r="E287">
        <v>4</v>
      </c>
      <c r="F287">
        <v>0</v>
      </c>
      <c r="G287" t="s">
        <v>231</v>
      </c>
      <c r="H287" t="s">
        <v>82</v>
      </c>
      <c r="I287" t="s">
        <v>43</v>
      </c>
      <c r="J287" t="s">
        <v>43</v>
      </c>
      <c r="K287" t="s">
        <v>43</v>
      </c>
      <c r="L287" t="s">
        <v>43</v>
      </c>
      <c r="M287" t="s">
        <v>43</v>
      </c>
      <c r="N287" t="s">
        <v>43</v>
      </c>
      <c r="O287" t="s">
        <v>43</v>
      </c>
      <c r="P287" t="s">
        <v>43</v>
      </c>
      <c r="Q287" t="s">
        <v>43</v>
      </c>
      <c r="R287" t="s">
        <v>43</v>
      </c>
      <c r="S287" t="s">
        <v>43</v>
      </c>
      <c r="T287" t="s">
        <v>43</v>
      </c>
      <c r="U287" t="s">
        <v>43</v>
      </c>
      <c r="V287" t="s">
        <v>44</v>
      </c>
      <c r="W287" t="s">
        <v>43</v>
      </c>
      <c r="X287" t="s">
        <v>43</v>
      </c>
      <c r="Y287" t="s">
        <v>43</v>
      </c>
      <c r="Z287" t="s">
        <v>43</v>
      </c>
      <c r="AA287" t="s">
        <v>43</v>
      </c>
      <c r="AB287" t="s">
        <v>43</v>
      </c>
      <c r="AC287" t="s">
        <v>43</v>
      </c>
      <c r="AD287" t="s">
        <v>43</v>
      </c>
      <c r="AE287" t="s">
        <v>43</v>
      </c>
      <c r="AF287" t="s">
        <v>43</v>
      </c>
      <c r="AG287" t="s">
        <v>43</v>
      </c>
      <c r="AH287" t="s">
        <v>1052</v>
      </c>
    </row>
    <row r="288" spans="1:34" x14ac:dyDescent="0.25">
      <c r="A288" t="s">
        <v>1110</v>
      </c>
      <c r="B288" t="s">
        <v>57</v>
      </c>
      <c r="C288" t="s">
        <v>77</v>
      </c>
      <c r="D288" t="s">
        <v>78</v>
      </c>
      <c r="E288">
        <v>1</v>
      </c>
      <c r="F288">
        <v>0</v>
      </c>
      <c r="G288" t="s">
        <v>83</v>
      </c>
      <c r="H288" t="s">
        <v>43</v>
      </c>
      <c r="I288" t="s">
        <v>43</v>
      </c>
      <c r="J288" t="s">
        <v>43</v>
      </c>
      <c r="K288" t="s">
        <v>43</v>
      </c>
      <c r="L288" t="s">
        <v>43</v>
      </c>
      <c r="M288" t="s">
        <v>43</v>
      </c>
      <c r="N288" t="s">
        <v>43</v>
      </c>
      <c r="O288" t="s">
        <v>43</v>
      </c>
      <c r="P288" t="s">
        <v>43</v>
      </c>
      <c r="Q288" t="s">
        <v>43</v>
      </c>
      <c r="R288" t="s">
        <v>43</v>
      </c>
      <c r="S288" t="s">
        <v>43</v>
      </c>
      <c r="T288" t="s">
        <v>43</v>
      </c>
      <c r="U288" t="s">
        <v>43</v>
      </c>
      <c r="V288" t="s">
        <v>43</v>
      </c>
      <c r="W288" t="s">
        <v>43</v>
      </c>
      <c r="X288" t="s">
        <v>43</v>
      </c>
      <c r="Y288" t="s">
        <v>43</v>
      </c>
      <c r="Z288" t="s">
        <v>43</v>
      </c>
      <c r="AA288" t="s">
        <v>43</v>
      </c>
      <c r="AB288" t="s">
        <v>43</v>
      </c>
      <c r="AC288" t="s">
        <v>43</v>
      </c>
      <c r="AD288" t="s">
        <v>43</v>
      </c>
      <c r="AE288" t="s">
        <v>43</v>
      </c>
      <c r="AF288" t="s">
        <v>43</v>
      </c>
      <c r="AG288" t="s">
        <v>43</v>
      </c>
      <c r="AH288" t="s">
        <v>1052</v>
      </c>
    </row>
    <row r="289" spans="1:34" x14ac:dyDescent="0.25">
      <c r="A289" t="s">
        <v>1111</v>
      </c>
      <c r="B289" t="s">
        <v>262</v>
      </c>
      <c r="C289" t="s">
        <v>77</v>
      </c>
      <c r="D289" t="s">
        <v>304</v>
      </c>
      <c r="E289">
        <v>38</v>
      </c>
      <c r="F289">
        <v>38</v>
      </c>
      <c r="G289" t="s">
        <v>437</v>
      </c>
      <c r="H289" t="s">
        <v>227</v>
      </c>
      <c r="I289" t="s">
        <v>43</v>
      </c>
      <c r="J289" t="s">
        <v>43</v>
      </c>
      <c r="K289" t="s">
        <v>43</v>
      </c>
      <c r="L289" t="s">
        <v>43</v>
      </c>
      <c r="M289" t="s">
        <v>43</v>
      </c>
      <c r="N289" t="s">
        <v>43</v>
      </c>
      <c r="O289" t="s">
        <v>114</v>
      </c>
      <c r="P289" t="s">
        <v>43</v>
      </c>
      <c r="Q289" t="s">
        <v>43</v>
      </c>
      <c r="R289" t="s">
        <v>43</v>
      </c>
      <c r="S289" t="s">
        <v>43</v>
      </c>
      <c r="T289" t="s">
        <v>43</v>
      </c>
      <c r="U289" t="s">
        <v>43</v>
      </c>
      <c r="V289" t="s">
        <v>43</v>
      </c>
      <c r="W289" t="s">
        <v>43</v>
      </c>
      <c r="X289" t="s">
        <v>43</v>
      </c>
      <c r="Y289" t="s">
        <v>43</v>
      </c>
      <c r="Z289" t="s">
        <v>43</v>
      </c>
      <c r="AA289" t="s">
        <v>43</v>
      </c>
      <c r="AB289" t="s">
        <v>43</v>
      </c>
      <c r="AC289" t="s">
        <v>43</v>
      </c>
      <c r="AD289" t="s">
        <v>43</v>
      </c>
      <c r="AE289" t="s">
        <v>43</v>
      </c>
      <c r="AF289" t="s">
        <v>43</v>
      </c>
      <c r="AG289" t="s">
        <v>43</v>
      </c>
      <c r="AH289" t="s">
        <v>1112</v>
      </c>
    </row>
    <row r="290" spans="1:34" x14ac:dyDescent="0.25">
      <c r="A290" t="s">
        <v>1113</v>
      </c>
      <c r="B290" t="s">
        <v>1073</v>
      </c>
      <c r="C290" t="s">
        <v>108</v>
      </c>
      <c r="D290" t="s">
        <v>268</v>
      </c>
      <c r="E290">
        <v>37</v>
      </c>
      <c r="F290">
        <v>37</v>
      </c>
      <c r="G290" t="s">
        <v>1114</v>
      </c>
      <c r="H290" t="s">
        <v>652</v>
      </c>
      <c r="I290" t="s">
        <v>43</v>
      </c>
      <c r="J290" t="s">
        <v>126</v>
      </c>
      <c r="K290" t="s">
        <v>126</v>
      </c>
      <c r="L290" t="s">
        <v>43</v>
      </c>
      <c r="M290" t="s">
        <v>43</v>
      </c>
      <c r="N290" t="s">
        <v>43</v>
      </c>
      <c r="O290" t="s">
        <v>126</v>
      </c>
      <c r="P290" t="s">
        <v>43</v>
      </c>
      <c r="Q290" t="s">
        <v>378</v>
      </c>
      <c r="R290" t="s">
        <v>378</v>
      </c>
      <c r="S290" t="s">
        <v>547</v>
      </c>
      <c r="T290" t="s">
        <v>653</v>
      </c>
      <c r="U290" t="s">
        <v>479</v>
      </c>
      <c r="V290" t="s">
        <v>682</v>
      </c>
      <c r="W290" t="s">
        <v>748</v>
      </c>
      <c r="X290" t="s">
        <v>43</v>
      </c>
      <c r="Y290" t="s">
        <v>215</v>
      </c>
      <c r="Z290" t="s">
        <v>215</v>
      </c>
      <c r="AA290" t="s">
        <v>43</v>
      </c>
      <c r="AB290" t="s">
        <v>215</v>
      </c>
      <c r="AC290" t="s">
        <v>182</v>
      </c>
      <c r="AD290" t="s">
        <v>204</v>
      </c>
      <c r="AE290" t="s">
        <v>118</v>
      </c>
      <c r="AF290" t="s">
        <v>182</v>
      </c>
      <c r="AG290" t="s">
        <v>118</v>
      </c>
      <c r="AH290" t="s">
        <v>1112</v>
      </c>
    </row>
    <row r="291" spans="1:34" x14ac:dyDescent="0.25">
      <c r="A291" t="s">
        <v>1115</v>
      </c>
      <c r="B291" t="s">
        <v>76</v>
      </c>
      <c r="C291" t="s">
        <v>36</v>
      </c>
      <c r="D291" t="s">
        <v>37</v>
      </c>
      <c r="E291">
        <v>37</v>
      </c>
      <c r="F291">
        <v>34</v>
      </c>
      <c r="G291" t="s">
        <v>1116</v>
      </c>
      <c r="H291" t="s">
        <v>78</v>
      </c>
      <c r="I291" t="s">
        <v>114</v>
      </c>
      <c r="J291" t="s">
        <v>142</v>
      </c>
      <c r="K291" t="s">
        <v>231</v>
      </c>
      <c r="L291" t="s">
        <v>114</v>
      </c>
      <c r="M291" t="s">
        <v>43</v>
      </c>
      <c r="N291" t="s">
        <v>43</v>
      </c>
      <c r="O291" t="s">
        <v>126</v>
      </c>
      <c r="P291" t="s">
        <v>43</v>
      </c>
      <c r="Q291" t="s">
        <v>210</v>
      </c>
      <c r="R291" t="s">
        <v>210</v>
      </c>
      <c r="S291" t="s">
        <v>211</v>
      </c>
      <c r="T291" t="s">
        <v>615</v>
      </c>
      <c r="U291" t="s">
        <v>703</v>
      </c>
      <c r="V291" t="s">
        <v>664</v>
      </c>
      <c r="W291" t="s">
        <v>990</v>
      </c>
      <c r="X291" t="s">
        <v>82</v>
      </c>
      <c r="Y291" t="s">
        <v>54</v>
      </c>
      <c r="Z291" t="s">
        <v>616</v>
      </c>
      <c r="AA291" t="s">
        <v>82</v>
      </c>
      <c r="AB291" t="s">
        <v>616</v>
      </c>
      <c r="AC291" t="s">
        <v>205</v>
      </c>
      <c r="AD291" t="s">
        <v>54</v>
      </c>
      <c r="AE291" t="s">
        <v>112</v>
      </c>
      <c r="AF291" t="s">
        <v>205</v>
      </c>
      <c r="AG291" t="s">
        <v>112</v>
      </c>
      <c r="AH291" t="s">
        <v>1112</v>
      </c>
    </row>
    <row r="292" spans="1:34" x14ac:dyDescent="0.25">
      <c r="A292" t="s">
        <v>1117</v>
      </c>
      <c r="B292" t="s">
        <v>122</v>
      </c>
      <c r="C292" t="s">
        <v>36</v>
      </c>
      <c r="D292" t="s">
        <v>123</v>
      </c>
      <c r="E292">
        <v>33</v>
      </c>
      <c r="F292">
        <v>31</v>
      </c>
      <c r="G292" t="s">
        <v>1005</v>
      </c>
      <c r="H292" t="s">
        <v>263</v>
      </c>
      <c r="I292" t="s">
        <v>83</v>
      </c>
      <c r="J292" t="s">
        <v>44</v>
      </c>
      <c r="K292" t="s">
        <v>81</v>
      </c>
      <c r="L292" t="s">
        <v>83</v>
      </c>
      <c r="M292" t="s">
        <v>43</v>
      </c>
      <c r="N292" t="s">
        <v>43</v>
      </c>
      <c r="O292" t="s">
        <v>90</v>
      </c>
      <c r="P292" t="s">
        <v>43</v>
      </c>
      <c r="Q292" t="s">
        <v>382</v>
      </c>
      <c r="R292" t="s">
        <v>382</v>
      </c>
      <c r="S292" t="s">
        <v>259</v>
      </c>
      <c r="T292" t="s">
        <v>45</v>
      </c>
      <c r="U292" t="s">
        <v>40</v>
      </c>
      <c r="V292" t="s">
        <v>332</v>
      </c>
      <c r="W292" t="s">
        <v>232</v>
      </c>
      <c r="X292" t="s">
        <v>118</v>
      </c>
      <c r="Y292" t="s">
        <v>358</v>
      </c>
      <c r="Z292" t="s">
        <v>215</v>
      </c>
      <c r="AA292" t="s">
        <v>118</v>
      </c>
      <c r="AB292" t="s">
        <v>215</v>
      </c>
      <c r="AC292" t="s">
        <v>204</v>
      </c>
      <c r="AD292" t="s">
        <v>358</v>
      </c>
      <c r="AE292" t="s">
        <v>218</v>
      </c>
      <c r="AF292" t="s">
        <v>204</v>
      </c>
      <c r="AG292" t="s">
        <v>218</v>
      </c>
      <c r="AH292" t="s">
        <v>1112</v>
      </c>
    </row>
    <row r="293" spans="1:34" x14ac:dyDescent="0.25">
      <c r="A293" t="s">
        <v>1118</v>
      </c>
      <c r="B293" t="s">
        <v>207</v>
      </c>
      <c r="C293" t="s">
        <v>108</v>
      </c>
      <c r="D293" t="s">
        <v>37</v>
      </c>
      <c r="E293">
        <v>34</v>
      </c>
      <c r="F293">
        <v>29</v>
      </c>
      <c r="G293" t="s">
        <v>474</v>
      </c>
      <c r="H293" t="s">
        <v>475</v>
      </c>
      <c r="I293" t="s">
        <v>44</v>
      </c>
      <c r="J293" t="s">
        <v>114</v>
      </c>
      <c r="K293" t="s">
        <v>83</v>
      </c>
      <c r="L293" t="s">
        <v>44</v>
      </c>
      <c r="M293" t="s">
        <v>43</v>
      </c>
      <c r="N293" t="s">
        <v>43</v>
      </c>
      <c r="O293" t="s">
        <v>114</v>
      </c>
      <c r="P293" t="s">
        <v>43</v>
      </c>
      <c r="Q293" t="s">
        <v>223</v>
      </c>
      <c r="R293" t="s">
        <v>223</v>
      </c>
      <c r="S293" t="s">
        <v>175</v>
      </c>
      <c r="T293" t="s">
        <v>406</v>
      </c>
      <c r="U293" t="s">
        <v>300</v>
      </c>
      <c r="V293" t="s">
        <v>517</v>
      </c>
      <c r="W293" t="s">
        <v>293</v>
      </c>
      <c r="X293" t="s">
        <v>358</v>
      </c>
      <c r="Y293" t="s">
        <v>82</v>
      </c>
      <c r="Z293" t="s">
        <v>218</v>
      </c>
      <c r="AA293" t="s">
        <v>358</v>
      </c>
      <c r="AB293" t="s">
        <v>218</v>
      </c>
      <c r="AC293" t="s">
        <v>169</v>
      </c>
      <c r="AD293" t="s">
        <v>181</v>
      </c>
      <c r="AE293" t="s">
        <v>53</v>
      </c>
      <c r="AF293" t="s">
        <v>169</v>
      </c>
      <c r="AG293" t="s">
        <v>53</v>
      </c>
      <c r="AH293" t="s">
        <v>1112</v>
      </c>
    </row>
    <row r="294" spans="1:34" x14ac:dyDescent="0.25">
      <c r="A294" t="s">
        <v>1119</v>
      </c>
      <c r="B294" t="s">
        <v>1120</v>
      </c>
      <c r="C294" t="s">
        <v>108</v>
      </c>
      <c r="D294" t="s">
        <v>59</v>
      </c>
      <c r="E294">
        <v>29</v>
      </c>
      <c r="F294">
        <v>25</v>
      </c>
      <c r="G294" t="s">
        <v>1121</v>
      </c>
      <c r="H294" t="s">
        <v>1122</v>
      </c>
      <c r="I294" t="s">
        <v>44</v>
      </c>
      <c r="J294" t="s">
        <v>43</v>
      </c>
      <c r="K294" t="s">
        <v>44</v>
      </c>
      <c r="L294" t="s">
        <v>44</v>
      </c>
      <c r="M294" t="s">
        <v>43</v>
      </c>
      <c r="N294" t="s">
        <v>43</v>
      </c>
      <c r="O294" t="s">
        <v>126</v>
      </c>
      <c r="P294" t="s">
        <v>44</v>
      </c>
      <c r="Q294" t="s">
        <v>163</v>
      </c>
      <c r="R294" t="s">
        <v>163</v>
      </c>
      <c r="S294" t="s">
        <v>43</v>
      </c>
      <c r="T294" t="s">
        <v>112</v>
      </c>
      <c r="U294" t="s">
        <v>127</v>
      </c>
      <c r="V294" t="s">
        <v>541</v>
      </c>
      <c r="W294" t="s">
        <v>83</v>
      </c>
      <c r="X294" t="s">
        <v>193</v>
      </c>
      <c r="Y294" t="s">
        <v>43</v>
      </c>
      <c r="Z294" t="s">
        <v>193</v>
      </c>
      <c r="AA294" t="s">
        <v>193</v>
      </c>
      <c r="AB294" t="s">
        <v>193</v>
      </c>
      <c r="AC294" t="s">
        <v>119</v>
      </c>
      <c r="AD294" t="s">
        <v>43</v>
      </c>
      <c r="AE294" t="s">
        <v>119</v>
      </c>
      <c r="AF294" t="s">
        <v>119</v>
      </c>
      <c r="AG294" t="s">
        <v>119</v>
      </c>
      <c r="AH294" t="s">
        <v>1112</v>
      </c>
    </row>
    <row r="295" spans="1:34" x14ac:dyDescent="0.25">
      <c r="A295" t="s">
        <v>1123</v>
      </c>
      <c r="B295" t="s">
        <v>1120</v>
      </c>
      <c r="C295" t="s">
        <v>58</v>
      </c>
      <c r="D295" t="s">
        <v>37</v>
      </c>
      <c r="E295">
        <v>30</v>
      </c>
      <c r="F295">
        <v>25</v>
      </c>
      <c r="G295" t="s">
        <v>1124</v>
      </c>
      <c r="H295" t="s">
        <v>1125</v>
      </c>
      <c r="I295" t="s">
        <v>81</v>
      </c>
      <c r="J295" t="s">
        <v>63</v>
      </c>
      <c r="K295" t="s">
        <v>142</v>
      </c>
      <c r="L295" t="s">
        <v>81</v>
      </c>
      <c r="M295" t="s">
        <v>43</v>
      </c>
      <c r="N295" t="s">
        <v>43</v>
      </c>
      <c r="O295" t="s">
        <v>63</v>
      </c>
      <c r="P295" t="s">
        <v>43</v>
      </c>
      <c r="Q295" t="s">
        <v>387</v>
      </c>
      <c r="R295" t="s">
        <v>387</v>
      </c>
      <c r="S295" t="s">
        <v>629</v>
      </c>
      <c r="T295" t="s">
        <v>231</v>
      </c>
      <c r="U295" t="s">
        <v>1126</v>
      </c>
      <c r="V295" t="s">
        <v>311</v>
      </c>
      <c r="W295" t="s">
        <v>1127</v>
      </c>
      <c r="X295" t="s">
        <v>134</v>
      </c>
      <c r="Y295" t="s">
        <v>242</v>
      </c>
      <c r="Z295" t="s">
        <v>236</v>
      </c>
      <c r="AA295" t="s">
        <v>134</v>
      </c>
      <c r="AB295" t="s">
        <v>236</v>
      </c>
      <c r="AC295" t="s">
        <v>103</v>
      </c>
      <c r="AD295" t="s">
        <v>194</v>
      </c>
      <c r="AE295" t="s">
        <v>251</v>
      </c>
      <c r="AF295" t="s">
        <v>103</v>
      </c>
      <c r="AG295" t="s">
        <v>251</v>
      </c>
      <c r="AH295" t="s">
        <v>1112</v>
      </c>
    </row>
    <row r="296" spans="1:34" x14ac:dyDescent="0.25">
      <c r="A296" t="s">
        <v>1128</v>
      </c>
      <c r="B296" t="s">
        <v>76</v>
      </c>
      <c r="C296" t="s">
        <v>137</v>
      </c>
      <c r="D296" t="s">
        <v>165</v>
      </c>
      <c r="E296">
        <v>31</v>
      </c>
      <c r="F296">
        <v>24</v>
      </c>
      <c r="G296" t="s">
        <v>1129</v>
      </c>
      <c r="H296" t="s">
        <v>1069</v>
      </c>
      <c r="I296" t="s">
        <v>83</v>
      </c>
      <c r="J296" t="s">
        <v>63</v>
      </c>
      <c r="K296" t="s">
        <v>126</v>
      </c>
      <c r="L296" t="s">
        <v>63</v>
      </c>
      <c r="M296" t="s">
        <v>63</v>
      </c>
      <c r="N296" t="s">
        <v>63</v>
      </c>
      <c r="O296" t="s">
        <v>44</v>
      </c>
      <c r="P296" t="s">
        <v>43</v>
      </c>
      <c r="Q296" t="s">
        <v>841</v>
      </c>
      <c r="R296" t="s">
        <v>297</v>
      </c>
      <c r="S296" t="s">
        <v>46</v>
      </c>
      <c r="T296" t="s">
        <v>424</v>
      </c>
      <c r="U296" t="s">
        <v>606</v>
      </c>
      <c r="V296" t="s">
        <v>1130</v>
      </c>
      <c r="W296" t="s">
        <v>1131</v>
      </c>
      <c r="X296" t="s">
        <v>151</v>
      </c>
      <c r="Y296" t="s">
        <v>120</v>
      </c>
      <c r="Z296" t="s">
        <v>73</v>
      </c>
      <c r="AA296" t="s">
        <v>120</v>
      </c>
      <c r="AB296" t="s">
        <v>151</v>
      </c>
      <c r="AC296" t="s">
        <v>103</v>
      </c>
      <c r="AD296" t="s">
        <v>215</v>
      </c>
      <c r="AE296" t="s">
        <v>112</v>
      </c>
      <c r="AF296" t="s">
        <v>205</v>
      </c>
      <c r="AG296" t="s">
        <v>72</v>
      </c>
      <c r="AH296" t="s">
        <v>1112</v>
      </c>
    </row>
    <row r="297" spans="1:34" x14ac:dyDescent="0.25">
      <c r="A297" t="s">
        <v>1132</v>
      </c>
      <c r="B297" t="s">
        <v>57</v>
      </c>
      <c r="C297" t="s">
        <v>108</v>
      </c>
      <c r="D297" t="s">
        <v>268</v>
      </c>
      <c r="E297">
        <v>20</v>
      </c>
      <c r="F297">
        <v>18</v>
      </c>
      <c r="G297" t="s">
        <v>1133</v>
      </c>
      <c r="H297" t="s">
        <v>203</v>
      </c>
      <c r="I297" t="s">
        <v>63</v>
      </c>
      <c r="J297" t="s">
        <v>43</v>
      </c>
      <c r="K297" t="s">
        <v>63</v>
      </c>
      <c r="L297" t="s">
        <v>63</v>
      </c>
      <c r="M297" t="s">
        <v>43</v>
      </c>
      <c r="N297" t="s">
        <v>43</v>
      </c>
      <c r="O297" t="s">
        <v>63</v>
      </c>
      <c r="P297" t="s">
        <v>43</v>
      </c>
      <c r="Q297" t="s">
        <v>378</v>
      </c>
      <c r="R297" t="s">
        <v>378</v>
      </c>
      <c r="S297" t="s">
        <v>82</v>
      </c>
      <c r="T297" t="s">
        <v>259</v>
      </c>
      <c r="U297" t="s">
        <v>231</v>
      </c>
      <c r="V297" t="s">
        <v>541</v>
      </c>
      <c r="W297" t="s">
        <v>81</v>
      </c>
      <c r="X297" t="s">
        <v>204</v>
      </c>
      <c r="Y297" t="s">
        <v>43</v>
      </c>
      <c r="Z297" t="s">
        <v>204</v>
      </c>
      <c r="AA297" t="s">
        <v>204</v>
      </c>
      <c r="AB297" t="s">
        <v>204</v>
      </c>
      <c r="AC297" t="s">
        <v>193</v>
      </c>
      <c r="AD297" t="s">
        <v>119</v>
      </c>
      <c r="AE297" t="s">
        <v>168</v>
      </c>
      <c r="AF297" t="s">
        <v>193</v>
      </c>
      <c r="AG297" t="s">
        <v>168</v>
      </c>
      <c r="AH297" t="s">
        <v>1112</v>
      </c>
    </row>
    <row r="298" spans="1:34" x14ac:dyDescent="0.25">
      <c r="A298" t="s">
        <v>1134</v>
      </c>
      <c r="B298" t="s">
        <v>76</v>
      </c>
      <c r="C298" t="s">
        <v>137</v>
      </c>
      <c r="D298" t="s">
        <v>272</v>
      </c>
      <c r="E298">
        <v>26</v>
      </c>
      <c r="F298">
        <v>18</v>
      </c>
      <c r="G298" t="s">
        <v>1135</v>
      </c>
      <c r="H298" t="s">
        <v>209</v>
      </c>
      <c r="I298" t="s">
        <v>41</v>
      </c>
      <c r="J298" t="s">
        <v>44</v>
      </c>
      <c r="K298" t="s">
        <v>231</v>
      </c>
      <c r="L298" t="s">
        <v>41</v>
      </c>
      <c r="M298" t="s">
        <v>43</v>
      </c>
      <c r="N298" t="s">
        <v>43</v>
      </c>
      <c r="O298" t="s">
        <v>44</v>
      </c>
      <c r="P298" t="s">
        <v>43</v>
      </c>
      <c r="Q298" t="s">
        <v>420</v>
      </c>
      <c r="R298" t="s">
        <v>420</v>
      </c>
      <c r="S298" t="s">
        <v>63</v>
      </c>
      <c r="T298" t="s">
        <v>498</v>
      </c>
      <c r="U298" t="s">
        <v>40</v>
      </c>
      <c r="V298" t="s">
        <v>62</v>
      </c>
      <c r="W298" t="s">
        <v>47</v>
      </c>
      <c r="X298" t="s">
        <v>617</v>
      </c>
      <c r="Y298" t="s">
        <v>169</v>
      </c>
      <c r="Z298" t="s">
        <v>532</v>
      </c>
      <c r="AA298" t="s">
        <v>617</v>
      </c>
      <c r="AB298" t="s">
        <v>532</v>
      </c>
      <c r="AC298" t="s">
        <v>374</v>
      </c>
      <c r="AD298" t="s">
        <v>53</v>
      </c>
      <c r="AE298" t="s">
        <v>106</v>
      </c>
      <c r="AF298" t="s">
        <v>374</v>
      </c>
      <c r="AG298" t="s">
        <v>106</v>
      </c>
      <c r="AH298" t="s">
        <v>1112</v>
      </c>
    </row>
    <row r="299" spans="1:34" x14ac:dyDescent="0.25">
      <c r="A299" t="s">
        <v>1136</v>
      </c>
      <c r="B299" t="s">
        <v>1011</v>
      </c>
      <c r="C299" t="s">
        <v>137</v>
      </c>
      <c r="D299" t="s">
        <v>140</v>
      </c>
      <c r="E299">
        <v>24</v>
      </c>
      <c r="F299">
        <v>18</v>
      </c>
      <c r="G299" t="s">
        <v>1137</v>
      </c>
      <c r="H299" t="s">
        <v>308</v>
      </c>
      <c r="I299" t="s">
        <v>142</v>
      </c>
      <c r="J299" t="s">
        <v>43</v>
      </c>
      <c r="K299" t="s">
        <v>142</v>
      </c>
      <c r="L299" t="s">
        <v>142</v>
      </c>
      <c r="M299" t="s">
        <v>43</v>
      </c>
      <c r="N299" t="s">
        <v>43</v>
      </c>
      <c r="O299" t="s">
        <v>114</v>
      </c>
      <c r="P299" t="s">
        <v>44</v>
      </c>
      <c r="Q299" t="s">
        <v>600</v>
      </c>
      <c r="R299" t="s">
        <v>600</v>
      </c>
      <c r="S299" t="s">
        <v>416</v>
      </c>
      <c r="T299" t="s">
        <v>672</v>
      </c>
      <c r="U299" t="s">
        <v>89</v>
      </c>
      <c r="V299" t="s">
        <v>201</v>
      </c>
      <c r="W299" t="s">
        <v>247</v>
      </c>
      <c r="X299" t="s">
        <v>216</v>
      </c>
      <c r="Y299" t="s">
        <v>43</v>
      </c>
      <c r="Z299" t="s">
        <v>216</v>
      </c>
      <c r="AA299" t="s">
        <v>216</v>
      </c>
      <c r="AB299" t="s">
        <v>216</v>
      </c>
      <c r="AC299" t="s">
        <v>72</v>
      </c>
      <c r="AD299" t="s">
        <v>82</v>
      </c>
      <c r="AE299" t="s">
        <v>500</v>
      </c>
      <c r="AF299" t="s">
        <v>72</v>
      </c>
      <c r="AG299" t="s">
        <v>500</v>
      </c>
      <c r="AH299" t="s">
        <v>1112</v>
      </c>
    </row>
    <row r="300" spans="1:34" x14ac:dyDescent="0.25">
      <c r="A300" t="s">
        <v>1138</v>
      </c>
      <c r="B300" t="s">
        <v>1073</v>
      </c>
      <c r="C300" t="s">
        <v>108</v>
      </c>
      <c r="D300" t="s">
        <v>147</v>
      </c>
      <c r="E300">
        <v>18</v>
      </c>
      <c r="F300">
        <v>17</v>
      </c>
      <c r="G300" t="s">
        <v>1139</v>
      </c>
      <c r="H300" t="s">
        <v>1027</v>
      </c>
      <c r="I300" t="s">
        <v>44</v>
      </c>
      <c r="J300" t="s">
        <v>43</v>
      </c>
      <c r="K300" t="s">
        <v>44</v>
      </c>
      <c r="L300" t="s">
        <v>44</v>
      </c>
      <c r="M300" t="s">
        <v>43</v>
      </c>
      <c r="N300" t="s">
        <v>43</v>
      </c>
      <c r="O300" t="s">
        <v>83</v>
      </c>
      <c r="P300" t="s">
        <v>44</v>
      </c>
      <c r="Q300" t="s">
        <v>44</v>
      </c>
      <c r="R300" t="s">
        <v>44</v>
      </c>
      <c r="S300" t="s">
        <v>43</v>
      </c>
      <c r="T300" t="s">
        <v>44</v>
      </c>
      <c r="U300" t="s">
        <v>89</v>
      </c>
      <c r="V300" t="s">
        <v>490</v>
      </c>
      <c r="W300" t="s">
        <v>114</v>
      </c>
      <c r="X300" t="s">
        <v>169</v>
      </c>
      <c r="Y300" t="s">
        <v>43</v>
      </c>
      <c r="Z300" t="s">
        <v>169</v>
      </c>
      <c r="AA300" t="s">
        <v>169</v>
      </c>
      <c r="AB300" t="s">
        <v>169</v>
      </c>
      <c r="AC300" t="s">
        <v>169</v>
      </c>
      <c r="AD300" t="s">
        <v>43</v>
      </c>
      <c r="AE300" t="s">
        <v>169</v>
      </c>
      <c r="AF300" t="s">
        <v>169</v>
      </c>
      <c r="AG300" t="s">
        <v>169</v>
      </c>
      <c r="AH300" t="s">
        <v>1112</v>
      </c>
    </row>
    <row r="301" spans="1:34" x14ac:dyDescent="0.25">
      <c r="A301" t="s">
        <v>1140</v>
      </c>
      <c r="B301" t="s">
        <v>942</v>
      </c>
      <c r="C301" t="s">
        <v>137</v>
      </c>
      <c r="D301" t="s">
        <v>263</v>
      </c>
      <c r="E301">
        <v>33</v>
      </c>
      <c r="F301">
        <v>17</v>
      </c>
      <c r="G301" t="s">
        <v>1141</v>
      </c>
      <c r="H301" t="s">
        <v>1142</v>
      </c>
      <c r="I301" t="s">
        <v>126</v>
      </c>
      <c r="J301" t="s">
        <v>63</v>
      </c>
      <c r="K301" t="s">
        <v>40</v>
      </c>
      <c r="L301" t="s">
        <v>126</v>
      </c>
      <c r="M301" t="s">
        <v>43</v>
      </c>
      <c r="N301" t="s">
        <v>43</v>
      </c>
      <c r="O301" t="s">
        <v>83</v>
      </c>
      <c r="P301" t="s">
        <v>43</v>
      </c>
      <c r="Q301" t="s">
        <v>210</v>
      </c>
      <c r="R301" t="s">
        <v>210</v>
      </c>
      <c r="S301" t="s">
        <v>255</v>
      </c>
      <c r="T301" t="s">
        <v>92</v>
      </c>
      <c r="U301" t="s">
        <v>147</v>
      </c>
      <c r="V301" t="s">
        <v>233</v>
      </c>
      <c r="W301" t="s">
        <v>847</v>
      </c>
      <c r="X301" t="s">
        <v>510</v>
      </c>
      <c r="Y301" t="s">
        <v>118</v>
      </c>
      <c r="Z301" t="s">
        <v>617</v>
      </c>
      <c r="AA301" t="s">
        <v>510</v>
      </c>
      <c r="AB301" t="s">
        <v>617</v>
      </c>
      <c r="AC301" t="s">
        <v>51</v>
      </c>
      <c r="AD301" t="s">
        <v>204</v>
      </c>
      <c r="AE301" t="s">
        <v>112</v>
      </c>
      <c r="AF301" t="s">
        <v>51</v>
      </c>
      <c r="AG301" t="s">
        <v>112</v>
      </c>
      <c r="AH301" t="s">
        <v>1112</v>
      </c>
    </row>
    <row r="302" spans="1:34" x14ac:dyDescent="0.25">
      <c r="A302" t="s">
        <v>1143</v>
      </c>
      <c r="B302" t="s">
        <v>432</v>
      </c>
      <c r="C302" t="s">
        <v>137</v>
      </c>
      <c r="D302" t="s">
        <v>148</v>
      </c>
      <c r="E302">
        <v>35</v>
      </c>
      <c r="F302">
        <v>16</v>
      </c>
      <c r="G302" t="s">
        <v>1086</v>
      </c>
      <c r="H302" t="s">
        <v>203</v>
      </c>
      <c r="I302" t="s">
        <v>83</v>
      </c>
      <c r="J302" t="s">
        <v>126</v>
      </c>
      <c r="K302" t="s">
        <v>231</v>
      </c>
      <c r="L302" t="s">
        <v>83</v>
      </c>
      <c r="M302" t="s">
        <v>43</v>
      </c>
      <c r="N302" t="s">
        <v>43</v>
      </c>
      <c r="O302" t="s">
        <v>126</v>
      </c>
      <c r="P302" t="s">
        <v>43</v>
      </c>
      <c r="Q302" t="s">
        <v>267</v>
      </c>
      <c r="R302" t="s">
        <v>267</v>
      </c>
      <c r="S302" t="s">
        <v>406</v>
      </c>
      <c r="T302" t="s">
        <v>486</v>
      </c>
      <c r="U302" t="s">
        <v>801</v>
      </c>
      <c r="V302" t="s">
        <v>704</v>
      </c>
      <c r="W302" t="s">
        <v>364</v>
      </c>
      <c r="X302" t="s">
        <v>103</v>
      </c>
      <c r="Y302" t="s">
        <v>72</v>
      </c>
      <c r="Z302" t="s">
        <v>532</v>
      </c>
      <c r="AA302" t="s">
        <v>103</v>
      </c>
      <c r="AB302" t="s">
        <v>532</v>
      </c>
      <c r="AC302" t="s">
        <v>194</v>
      </c>
      <c r="AD302" t="s">
        <v>194</v>
      </c>
      <c r="AE302" t="s">
        <v>510</v>
      </c>
      <c r="AF302" t="s">
        <v>194</v>
      </c>
      <c r="AG302" t="s">
        <v>510</v>
      </c>
      <c r="AH302" t="s">
        <v>1112</v>
      </c>
    </row>
    <row r="303" spans="1:34" x14ac:dyDescent="0.25">
      <c r="A303" t="s">
        <v>1144</v>
      </c>
      <c r="B303" t="s">
        <v>376</v>
      </c>
      <c r="C303" t="s">
        <v>108</v>
      </c>
      <c r="D303" t="s">
        <v>148</v>
      </c>
      <c r="E303">
        <v>18</v>
      </c>
      <c r="F303">
        <v>16</v>
      </c>
      <c r="G303" t="s">
        <v>1145</v>
      </c>
      <c r="H303" t="s">
        <v>1142</v>
      </c>
      <c r="I303" t="s">
        <v>43</v>
      </c>
      <c r="J303" t="s">
        <v>43</v>
      </c>
      <c r="K303" t="s">
        <v>43</v>
      </c>
      <c r="L303" t="s">
        <v>43</v>
      </c>
      <c r="M303" t="s">
        <v>43</v>
      </c>
      <c r="N303" t="s">
        <v>43</v>
      </c>
      <c r="O303" t="s">
        <v>83</v>
      </c>
      <c r="P303" t="s">
        <v>44</v>
      </c>
      <c r="Q303" t="s">
        <v>163</v>
      </c>
      <c r="R303" t="s">
        <v>163</v>
      </c>
      <c r="S303" t="s">
        <v>43</v>
      </c>
      <c r="T303" t="s">
        <v>163</v>
      </c>
      <c r="U303" t="s">
        <v>89</v>
      </c>
      <c r="V303" t="s">
        <v>499</v>
      </c>
      <c r="W303" t="s">
        <v>44</v>
      </c>
      <c r="X303" t="s">
        <v>43</v>
      </c>
      <c r="Y303" t="s">
        <v>43</v>
      </c>
      <c r="Z303" t="s">
        <v>43</v>
      </c>
      <c r="AA303" t="s">
        <v>43</v>
      </c>
      <c r="AB303" t="s">
        <v>43</v>
      </c>
      <c r="AC303" t="s">
        <v>182</v>
      </c>
      <c r="AD303" t="s">
        <v>43</v>
      </c>
      <c r="AE303" t="s">
        <v>182</v>
      </c>
      <c r="AF303" t="s">
        <v>182</v>
      </c>
      <c r="AG303" t="s">
        <v>182</v>
      </c>
      <c r="AH303" t="s">
        <v>1112</v>
      </c>
    </row>
    <row r="304" spans="1:34" x14ac:dyDescent="0.25">
      <c r="A304" t="s">
        <v>1146</v>
      </c>
      <c r="B304" t="s">
        <v>57</v>
      </c>
      <c r="C304" t="s">
        <v>36</v>
      </c>
      <c r="D304" t="s">
        <v>123</v>
      </c>
      <c r="E304">
        <v>27</v>
      </c>
      <c r="F304">
        <v>15</v>
      </c>
      <c r="G304" t="s">
        <v>1147</v>
      </c>
      <c r="H304" t="s">
        <v>870</v>
      </c>
      <c r="I304" t="s">
        <v>43</v>
      </c>
      <c r="J304" t="s">
        <v>63</v>
      </c>
      <c r="K304" t="s">
        <v>63</v>
      </c>
      <c r="L304" t="s">
        <v>43</v>
      </c>
      <c r="M304" t="s">
        <v>43</v>
      </c>
      <c r="N304" t="s">
        <v>43</v>
      </c>
      <c r="O304" t="s">
        <v>126</v>
      </c>
      <c r="P304" t="s">
        <v>43</v>
      </c>
      <c r="Q304" t="s">
        <v>163</v>
      </c>
      <c r="R304" t="s">
        <v>163</v>
      </c>
      <c r="S304" t="s">
        <v>254</v>
      </c>
      <c r="T304" t="s">
        <v>162</v>
      </c>
      <c r="U304" t="s">
        <v>231</v>
      </c>
      <c r="V304" t="s">
        <v>703</v>
      </c>
      <c r="W304" t="s">
        <v>494</v>
      </c>
      <c r="X304" t="s">
        <v>43</v>
      </c>
      <c r="Y304" t="s">
        <v>218</v>
      </c>
      <c r="Z304" t="s">
        <v>218</v>
      </c>
      <c r="AA304" t="s">
        <v>43</v>
      </c>
      <c r="AB304" t="s">
        <v>218</v>
      </c>
      <c r="AC304" t="s">
        <v>182</v>
      </c>
      <c r="AD304" t="s">
        <v>181</v>
      </c>
      <c r="AE304" t="s">
        <v>120</v>
      </c>
      <c r="AF304" t="s">
        <v>182</v>
      </c>
      <c r="AG304" t="s">
        <v>120</v>
      </c>
      <c r="AH304" t="s">
        <v>1112</v>
      </c>
    </row>
    <row r="305" spans="1:34" x14ac:dyDescent="0.25">
      <c r="A305" t="s">
        <v>1148</v>
      </c>
      <c r="B305" t="s">
        <v>360</v>
      </c>
      <c r="C305" t="s">
        <v>36</v>
      </c>
      <c r="D305" t="s">
        <v>140</v>
      </c>
      <c r="E305">
        <v>34</v>
      </c>
      <c r="F305">
        <v>14</v>
      </c>
      <c r="G305" t="s">
        <v>1149</v>
      </c>
      <c r="H305" t="s">
        <v>1150</v>
      </c>
      <c r="I305" t="s">
        <v>44</v>
      </c>
      <c r="J305" t="s">
        <v>83</v>
      </c>
      <c r="K305" t="s">
        <v>81</v>
      </c>
      <c r="L305" t="s">
        <v>44</v>
      </c>
      <c r="M305" t="s">
        <v>43</v>
      </c>
      <c r="N305" t="s">
        <v>43</v>
      </c>
      <c r="O305" t="s">
        <v>114</v>
      </c>
      <c r="P305" t="s">
        <v>43</v>
      </c>
      <c r="Q305" t="s">
        <v>254</v>
      </c>
      <c r="R305" t="s">
        <v>254</v>
      </c>
      <c r="S305" t="s">
        <v>327</v>
      </c>
      <c r="T305" t="s">
        <v>267</v>
      </c>
      <c r="U305" t="s">
        <v>147</v>
      </c>
      <c r="V305" t="s">
        <v>673</v>
      </c>
      <c r="W305" t="s">
        <v>514</v>
      </c>
      <c r="X305" t="s">
        <v>169</v>
      </c>
      <c r="Y305" t="s">
        <v>54</v>
      </c>
      <c r="Z305" t="s">
        <v>163</v>
      </c>
      <c r="AA305" t="s">
        <v>169</v>
      </c>
      <c r="AB305" t="s">
        <v>163</v>
      </c>
      <c r="AC305" t="s">
        <v>181</v>
      </c>
      <c r="AD305" t="s">
        <v>218</v>
      </c>
      <c r="AE305" t="s">
        <v>241</v>
      </c>
      <c r="AF305" t="s">
        <v>181</v>
      </c>
      <c r="AG305" t="s">
        <v>241</v>
      </c>
      <c r="AH305" t="s">
        <v>1112</v>
      </c>
    </row>
    <row r="306" spans="1:34" x14ac:dyDescent="0.25">
      <c r="A306" t="s">
        <v>1151</v>
      </c>
      <c r="B306" t="s">
        <v>585</v>
      </c>
      <c r="C306" t="s">
        <v>36</v>
      </c>
      <c r="D306" t="s">
        <v>148</v>
      </c>
      <c r="E306">
        <v>24</v>
      </c>
      <c r="F306">
        <v>13</v>
      </c>
      <c r="G306" t="s">
        <v>1152</v>
      </c>
      <c r="H306" t="s">
        <v>397</v>
      </c>
      <c r="I306" t="s">
        <v>44</v>
      </c>
      <c r="J306" t="s">
        <v>43</v>
      </c>
      <c r="K306" t="s">
        <v>44</v>
      </c>
      <c r="L306" t="s">
        <v>44</v>
      </c>
      <c r="M306" t="s">
        <v>43</v>
      </c>
      <c r="N306" t="s">
        <v>43</v>
      </c>
      <c r="O306" t="s">
        <v>114</v>
      </c>
      <c r="P306" t="s">
        <v>43</v>
      </c>
      <c r="Q306" t="s">
        <v>223</v>
      </c>
      <c r="R306" t="s">
        <v>223</v>
      </c>
      <c r="S306" t="s">
        <v>259</v>
      </c>
      <c r="T306" t="s">
        <v>177</v>
      </c>
      <c r="U306" t="s">
        <v>276</v>
      </c>
      <c r="V306" t="s">
        <v>372</v>
      </c>
      <c r="W306" t="s">
        <v>37</v>
      </c>
      <c r="X306" t="s">
        <v>242</v>
      </c>
      <c r="Y306" t="s">
        <v>43</v>
      </c>
      <c r="Z306" t="s">
        <v>242</v>
      </c>
      <c r="AA306" t="s">
        <v>242</v>
      </c>
      <c r="AB306" t="s">
        <v>242</v>
      </c>
      <c r="AC306" t="s">
        <v>118</v>
      </c>
      <c r="AD306" t="s">
        <v>169</v>
      </c>
      <c r="AE306" t="s">
        <v>194</v>
      </c>
      <c r="AF306" t="s">
        <v>118</v>
      </c>
      <c r="AG306" t="s">
        <v>194</v>
      </c>
      <c r="AH306" t="s">
        <v>1112</v>
      </c>
    </row>
    <row r="307" spans="1:34" x14ac:dyDescent="0.25">
      <c r="A307" t="s">
        <v>1153</v>
      </c>
      <c r="B307" t="s">
        <v>196</v>
      </c>
      <c r="C307" t="s">
        <v>108</v>
      </c>
      <c r="D307" t="s">
        <v>37</v>
      </c>
      <c r="E307">
        <v>14</v>
      </c>
      <c r="F307">
        <v>10</v>
      </c>
      <c r="G307" t="s">
        <v>1154</v>
      </c>
      <c r="H307" t="s">
        <v>447</v>
      </c>
      <c r="I307" t="s">
        <v>44</v>
      </c>
      <c r="J307" t="s">
        <v>43</v>
      </c>
      <c r="K307" t="s">
        <v>44</v>
      </c>
      <c r="L307" t="s">
        <v>44</v>
      </c>
      <c r="M307" t="s">
        <v>43</v>
      </c>
      <c r="N307" t="s">
        <v>43</v>
      </c>
      <c r="O307" t="s">
        <v>63</v>
      </c>
      <c r="P307" t="s">
        <v>43</v>
      </c>
      <c r="Q307" t="s">
        <v>398</v>
      </c>
      <c r="R307" t="s">
        <v>398</v>
      </c>
      <c r="S307" t="s">
        <v>112</v>
      </c>
      <c r="T307" t="s">
        <v>200</v>
      </c>
      <c r="U307" t="s">
        <v>141</v>
      </c>
      <c r="V307" t="s">
        <v>346</v>
      </c>
      <c r="W307" t="s">
        <v>227</v>
      </c>
      <c r="X307" t="s">
        <v>82</v>
      </c>
      <c r="Y307" t="s">
        <v>43</v>
      </c>
      <c r="Z307" t="s">
        <v>82</v>
      </c>
      <c r="AA307" t="s">
        <v>82</v>
      </c>
      <c r="AB307" t="s">
        <v>82</v>
      </c>
      <c r="AC307" t="s">
        <v>120</v>
      </c>
      <c r="AD307" t="s">
        <v>193</v>
      </c>
      <c r="AE307" t="s">
        <v>118</v>
      </c>
      <c r="AF307" t="s">
        <v>120</v>
      </c>
      <c r="AG307" t="s">
        <v>118</v>
      </c>
      <c r="AH307" t="s">
        <v>1112</v>
      </c>
    </row>
    <row r="308" spans="1:34" x14ac:dyDescent="0.25">
      <c r="A308" t="s">
        <v>1155</v>
      </c>
      <c r="B308" t="s">
        <v>76</v>
      </c>
      <c r="C308" t="s">
        <v>137</v>
      </c>
      <c r="D308" t="s">
        <v>123</v>
      </c>
      <c r="E308">
        <v>13</v>
      </c>
      <c r="F308">
        <v>2</v>
      </c>
      <c r="G308" t="s">
        <v>1156</v>
      </c>
      <c r="H308" t="s">
        <v>406</v>
      </c>
      <c r="I308" t="s">
        <v>63</v>
      </c>
      <c r="J308" t="s">
        <v>43</v>
      </c>
      <c r="K308" t="s">
        <v>63</v>
      </c>
      <c r="L308" t="s">
        <v>63</v>
      </c>
      <c r="M308" t="s">
        <v>43</v>
      </c>
      <c r="N308" t="s">
        <v>43</v>
      </c>
      <c r="O308" t="s">
        <v>63</v>
      </c>
      <c r="P308" t="s">
        <v>43</v>
      </c>
      <c r="Q308" t="s">
        <v>223</v>
      </c>
      <c r="R308" t="s">
        <v>223</v>
      </c>
      <c r="S308" t="s">
        <v>259</v>
      </c>
      <c r="T308" t="s">
        <v>177</v>
      </c>
      <c r="U308" t="s">
        <v>114</v>
      </c>
      <c r="V308" t="s">
        <v>114</v>
      </c>
      <c r="W308" t="s">
        <v>90</v>
      </c>
      <c r="X308" t="s">
        <v>481</v>
      </c>
      <c r="Y308" t="s">
        <v>43</v>
      </c>
      <c r="Z308" t="s">
        <v>481</v>
      </c>
      <c r="AA308" t="s">
        <v>481</v>
      </c>
      <c r="AB308" t="s">
        <v>481</v>
      </c>
      <c r="AC308" t="s">
        <v>315</v>
      </c>
      <c r="AD308" t="s">
        <v>402</v>
      </c>
      <c r="AE308" t="s">
        <v>1157</v>
      </c>
      <c r="AF308" t="s">
        <v>315</v>
      </c>
      <c r="AG308" t="s">
        <v>1157</v>
      </c>
      <c r="AH308" t="s">
        <v>1112</v>
      </c>
    </row>
    <row r="309" spans="1:34" x14ac:dyDescent="0.25">
      <c r="A309" t="s">
        <v>1158</v>
      </c>
      <c r="B309" t="s">
        <v>35</v>
      </c>
      <c r="C309" t="s">
        <v>58</v>
      </c>
      <c r="D309" t="s">
        <v>37</v>
      </c>
      <c r="E309">
        <v>17</v>
      </c>
      <c r="F309">
        <v>1</v>
      </c>
      <c r="G309" t="s">
        <v>1159</v>
      </c>
      <c r="H309" t="s">
        <v>547</v>
      </c>
      <c r="I309" t="s">
        <v>63</v>
      </c>
      <c r="J309" t="s">
        <v>114</v>
      </c>
      <c r="K309" t="s">
        <v>81</v>
      </c>
      <c r="L309" t="s">
        <v>63</v>
      </c>
      <c r="M309" t="s">
        <v>43</v>
      </c>
      <c r="N309" t="s">
        <v>43</v>
      </c>
      <c r="O309" t="s">
        <v>63</v>
      </c>
      <c r="P309" t="s">
        <v>43</v>
      </c>
      <c r="Q309" t="s">
        <v>416</v>
      </c>
      <c r="R309" t="s">
        <v>416</v>
      </c>
      <c r="S309" t="s">
        <v>378</v>
      </c>
      <c r="T309" t="s">
        <v>531</v>
      </c>
      <c r="U309" t="s">
        <v>78</v>
      </c>
      <c r="V309" t="s">
        <v>167</v>
      </c>
      <c r="W309" t="s">
        <v>300</v>
      </c>
      <c r="X309" t="s">
        <v>348</v>
      </c>
      <c r="Y309" t="s">
        <v>350</v>
      </c>
      <c r="Z309" t="s">
        <v>1160</v>
      </c>
      <c r="AA309" t="s">
        <v>348</v>
      </c>
      <c r="AB309" t="s">
        <v>1160</v>
      </c>
      <c r="AC309" t="s">
        <v>250</v>
      </c>
      <c r="AD309" t="s">
        <v>215</v>
      </c>
      <c r="AE309" t="s">
        <v>711</v>
      </c>
      <c r="AF309" t="s">
        <v>250</v>
      </c>
      <c r="AG309" t="s">
        <v>711</v>
      </c>
      <c r="AH309" t="s">
        <v>1112</v>
      </c>
    </row>
    <row r="310" spans="1:34" x14ac:dyDescent="0.25">
      <c r="A310" t="s">
        <v>624</v>
      </c>
      <c r="B310" t="s">
        <v>625</v>
      </c>
      <c r="C310" t="s">
        <v>137</v>
      </c>
      <c r="D310" t="s">
        <v>185</v>
      </c>
      <c r="E310">
        <v>8</v>
      </c>
      <c r="F310">
        <v>0</v>
      </c>
      <c r="G310" t="s">
        <v>383</v>
      </c>
      <c r="H310" t="s">
        <v>44</v>
      </c>
      <c r="I310" t="s">
        <v>43</v>
      </c>
      <c r="J310" t="s">
        <v>44</v>
      </c>
      <c r="K310" t="s">
        <v>44</v>
      </c>
      <c r="L310" t="s">
        <v>43</v>
      </c>
      <c r="M310" t="s">
        <v>43</v>
      </c>
      <c r="N310" t="s">
        <v>43</v>
      </c>
      <c r="O310" t="s">
        <v>43</v>
      </c>
      <c r="P310" t="s">
        <v>43</v>
      </c>
      <c r="Q310" t="s">
        <v>43</v>
      </c>
      <c r="R310" t="s">
        <v>43</v>
      </c>
      <c r="S310" t="s">
        <v>112</v>
      </c>
      <c r="T310" t="s">
        <v>112</v>
      </c>
      <c r="U310" t="s">
        <v>63</v>
      </c>
      <c r="V310" t="s">
        <v>63</v>
      </c>
      <c r="W310" t="s">
        <v>142</v>
      </c>
      <c r="X310" t="s">
        <v>43</v>
      </c>
      <c r="Y310" t="s">
        <v>390</v>
      </c>
      <c r="Z310" t="s">
        <v>390</v>
      </c>
      <c r="AA310" t="s">
        <v>43</v>
      </c>
      <c r="AB310" t="s">
        <v>390</v>
      </c>
      <c r="AC310" t="s">
        <v>43</v>
      </c>
      <c r="AD310" t="s">
        <v>251</v>
      </c>
      <c r="AE310" t="s">
        <v>251</v>
      </c>
      <c r="AF310" t="s">
        <v>43</v>
      </c>
      <c r="AG310" t="s">
        <v>251</v>
      </c>
      <c r="AH310" t="s">
        <v>1112</v>
      </c>
    </row>
    <row r="311" spans="1:34" x14ac:dyDescent="0.25">
      <c r="A311" t="s">
        <v>1161</v>
      </c>
      <c r="B311" t="s">
        <v>432</v>
      </c>
      <c r="C311" t="s">
        <v>36</v>
      </c>
      <c r="D311" t="s">
        <v>203</v>
      </c>
      <c r="E311">
        <v>1</v>
      </c>
      <c r="F311">
        <v>0</v>
      </c>
      <c r="G311" t="s">
        <v>338</v>
      </c>
      <c r="H311" t="s">
        <v>259</v>
      </c>
      <c r="I311" t="s">
        <v>43</v>
      </c>
      <c r="J311" t="s">
        <v>43</v>
      </c>
      <c r="K311" t="s">
        <v>43</v>
      </c>
      <c r="L311" t="s">
        <v>43</v>
      </c>
      <c r="M311" t="s">
        <v>43</v>
      </c>
      <c r="N311" t="s">
        <v>43</v>
      </c>
      <c r="O311" t="s">
        <v>43</v>
      </c>
      <c r="P311" t="s">
        <v>43</v>
      </c>
      <c r="Q311" t="s">
        <v>163</v>
      </c>
      <c r="R311" t="s">
        <v>163</v>
      </c>
      <c r="S311" t="s">
        <v>43</v>
      </c>
      <c r="T311" t="s">
        <v>163</v>
      </c>
      <c r="U311" t="s">
        <v>43</v>
      </c>
      <c r="V311" t="s">
        <v>44</v>
      </c>
      <c r="W311" t="s">
        <v>43</v>
      </c>
      <c r="X311" t="s">
        <v>43</v>
      </c>
      <c r="Y311" t="s">
        <v>43</v>
      </c>
      <c r="Z311" t="s">
        <v>43</v>
      </c>
      <c r="AA311" t="s">
        <v>43</v>
      </c>
      <c r="AB311" t="s">
        <v>43</v>
      </c>
      <c r="AC311" t="s">
        <v>72</v>
      </c>
      <c r="AD311" t="s">
        <v>43</v>
      </c>
      <c r="AE311" t="s">
        <v>72</v>
      </c>
      <c r="AF311" t="s">
        <v>72</v>
      </c>
      <c r="AG311" t="s">
        <v>72</v>
      </c>
      <c r="AH311" t="s">
        <v>1112</v>
      </c>
    </row>
    <row r="312" spans="1:34" x14ac:dyDescent="0.25">
      <c r="A312" t="s">
        <v>1162</v>
      </c>
      <c r="B312" t="s">
        <v>555</v>
      </c>
      <c r="C312" t="s">
        <v>172</v>
      </c>
      <c r="D312" t="s">
        <v>148</v>
      </c>
      <c r="E312">
        <v>6</v>
      </c>
      <c r="F312">
        <v>0</v>
      </c>
      <c r="G312" t="s">
        <v>401</v>
      </c>
      <c r="H312" t="s">
        <v>259</v>
      </c>
      <c r="I312" t="s">
        <v>43</v>
      </c>
      <c r="J312" t="s">
        <v>43</v>
      </c>
      <c r="K312" t="s">
        <v>43</v>
      </c>
      <c r="L312" t="s">
        <v>43</v>
      </c>
      <c r="M312" t="s">
        <v>43</v>
      </c>
      <c r="N312" t="s">
        <v>43</v>
      </c>
      <c r="O312" t="s">
        <v>44</v>
      </c>
      <c r="P312" t="s">
        <v>43</v>
      </c>
      <c r="Q312" t="s">
        <v>43</v>
      </c>
      <c r="R312" t="s">
        <v>43</v>
      </c>
      <c r="S312" t="s">
        <v>43</v>
      </c>
      <c r="T312" t="s">
        <v>43</v>
      </c>
      <c r="U312" t="s">
        <v>81</v>
      </c>
      <c r="V312" t="s">
        <v>43</v>
      </c>
      <c r="W312" t="s">
        <v>83</v>
      </c>
      <c r="X312" t="s">
        <v>43</v>
      </c>
      <c r="Y312" t="s">
        <v>43</v>
      </c>
      <c r="Z312" t="s">
        <v>43</v>
      </c>
      <c r="AA312" t="s">
        <v>43</v>
      </c>
      <c r="AB312" t="s">
        <v>43</v>
      </c>
      <c r="AC312" t="s">
        <v>43</v>
      </c>
      <c r="AD312" t="s">
        <v>43</v>
      </c>
      <c r="AE312" t="s">
        <v>43</v>
      </c>
      <c r="AF312" t="s">
        <v>43</v>
      </c>
      <c r="AG312" t="s">
        <v>43</v>
      </c>
      <c r="AH312" t="s">
        <v>1112</v>
      </c>
    </row>
    <row r="313" spans="1:34" x14ac:dyDescent="0.25">
      <c r="A313" t="s">
        <v>1163</v>
      </c>
      <c r="B313" t="s">
        <v>585</v>
      </c>
      <c r="C313" t="s">
        <v>137</v>
      </c>
      <c r="D313" t="s">
        <v>123</v>
      </c>
      <c r="E313">
        <v>1</v>
      </c>
      <c r="F313">
        <v>0</v>
      </c>
      <c r="G313" t="s">
        <v>109</v>
      </c>
      <c r="H313" t="s">
        <v>112</v>
      </c>
      <c r="I313" t="s">
        <v>43</v>
      </c>
      <c r="J313" t="s">
        <v>43</v>
      </c>
      <c r="K313" t="s">
        <v>43</v>
      </c>
      <c r="L313" t="s">
        <v>43</v>
      </c>
      <c r="M313" t="s">
        <v>43</v>
      </c>
      <c r="N313" t="s">
        <v>43</v>
      </c>
      <c r="O313" t="s">
        <v>43</v>
      </c>
      <c r="P313" t="s">
        <v>43</v>
      </c>
      <c r="Q313" t="s">
        <v>241</v>
      </c>
      <c r="R313" t="s">
        <v>241</v>
      </c>
      <c r="S313" t="s">
        <v>43</v>
      </c>
      <c r="T313" t="s">
        <v>241</v>
      </c>
      <c r="U313" t="s">
        <v>43</v>
      </c>
      <c r="V313" t="s">
        <v>44</v>
      </c>
      <c r="W313" t="s">
        <v>43</v>
      </c>
      <c r="X313" t="s">
        <v>43</v>
      </c>
      <c r="Y313" t="s">
        <v>43</v>
      </c>
      <c r="Z313" t="s">
        <v>43</v>
      </c>
      <c r="AA313" t="s">
        <v>43</v>
      </c>
      <c r="AB313" t="s">
        <v>43</v>
      </c>
      <c r="AC313" t="s">
        <v>102</v>
      </c>
      <c r="AD313" t="s">
        <v>43</v>
      </c>
      <c r="AE313" t="s">
        <v>102</v>
      </c>
      <c r="AF313" t="s">
        <v>102</v>
      </c>
      <c r="AG313" t="s">
        <v>102</v>
      </c>
      <c r="AH313" t="s">
        <v>1112</v>
      </c>
    </row>
    <row r="314" spans="1:34" x14ac:dyDescent="0.25">
      <c r="A314" t="s">
        <v>1164</v>
      </c>
      <c r="B314" t="s">
        <v>57</v>
      </c>
      <c r="C314" t="s">
        <v>77</v>
      </c>
      <c r="D314" t="s">
        <v>78</v>
      </c>
      <c r="E314">
        <v>38</v>
      </c>
      <c r="F314">
        <v>38</v>
      </c>
      <c r="G314" t="s">
        <v>437</v>
      </c>
      <c r="H314" t="s">
        <v>227</v>
      </c>
      <c r="I314" t="s">
        <v>43</v>
      </c>
      <c r="J314" t="s">
        <v>43</v>
      </c>
      <c r="K314" t="s">
        <v>43</v>
      </c>
      <c r="L314" t="s">
        <v>43</v>
      </c>
      <c r="M314" t="s">
        <v>43</v>
      </c>
      <c r="N314" t="s">
        <v>43</v>
      </c>
      <c r="O314" t="s">
        <v>81</v>
      </c>
      <c r="P314" t="s">
        <v>43</v>
      </c>
      <c r="Q314" t="s">
        <v>43</v>
      </c>
      <c r="R314" t="s">
        <v>43</v>
      </c>
      <c r="S314" t="s">
        <v>82</v>
      </c>
      <c r="T314" t="s">
        <v>82</v>
      </c>
      <c r="U314" t="s">
        <v>44</v>
      </c>
      <c r="V314" t="s">
        <v>126</v>
      </c>
      <c r="W314" t="s">
        <v>43</v>
      </c>
      <c r="X314" t="s">
        <v>43</v>
      </c>
      <c r="Y314" t="s">
        <v>43</v>
      </c>
      <c r="Z314" t="s">
        <v>43</v>
      </c>
      <c r="AA314" t="s">
        <v>43</v>
      </c>
      <c r="AB314" t="s">
        <v>43</v>
      </c>
      <c r="AC314" t="s">
        <v>43</v>
      </c>
      <c r="AD314" t="s">
        <v>43</v>
      </c>
      <c r="AE314" t="s">
        <v>43</v>
      </c>
      <c r="AF314" t="s">
        <v>43</v>
      </c>
      <c r="AG314" t="s">
        <v>43</v>
      </c>
      <c r="AH314" t="s">
        <v>1165</v>
      </c>
    </row>
    <row r="315" spans="1:34" x14ac:dyDescent="0.25">
      <c r="A315" t="s">
        <v>1166</v>
      </c>
      <c r="B315" t="s">
        <v>57</v>
      </c>
      <c r="C315" t="s">
        <v>108</v>
      </c>
      <c r="D315" t="s">
        <v>263</v>
      </c>
      <c r="E315">
        <v>38</v>
      </c>
      <c r="F315">
        <v>38</v>
      </c>
      <c r="G315" t="s">
        <v>1167</v>
      </c>
      <c r="H315" t="s">
        <v>227</v>
      </c>
      <c r="I315" t="s">
        <v>44</v>
      </c>
      <c r="J315" t="s">
        <v>44</v>
      </c>
      <c r="K315" t="s">
        <v>63</v>
      </c>
      <c r="L315" t="s">
        <v>44</v>
      </c>
      <c r="M315" t="s">
        <v>43</v>
      </c>
      <c r="N315" t="s">
        <v>43</v>
      </c>
      <c r="O315" t="s">
        <v>89</v>
      </c>
      <c r="P315" t="s">
        <v>43</v>
      </c>
      <c r="Q315" t="s">
        <v>113</v>
      </c>
      <c r="R315" t="s">
        <v>113</v>
      </c>
      <c r="S315" t="s">
        <v>199</v>
      </c>
      <c r="T315" t="s">
        <v>841</v>
      </c>
      <c r="U315" t="s">
        <v>127</v>
      </c>
      <c r="V315" t="s">
        <v>364</v>
      </c>
      <c r="W315" t="s">
        <v>141</v>
      </c>
      <c r="X315" t="s">
        <v>358</v>
      </c>
      <c r="Y315" t="s">
        <v>358</v>
      </c>
      <c r="Z315" t="s">
        <v>168</v>
      </c>
      <c r="AA315" t="s">
        <v>358</v>
      </c>
      <c r="AB315" t="s">
        <v>168</v>
      </c>
      <c r="AC315" t="s">
        <v>181</v>
      </c>
      <c r="AD315" t="s">
        <v>169</v>
      </c>
      <c r="AE315" t="s">
        <v>118</v>
      </c>
      <c r="AF315" t="s">
        <v>181</v>
      </c>
      <c r="AG315" t="s">
        <v>118</v>
      </c>
      <c r="AH315" t="s">
        <v>1165</v>
      </c>
    </row>
    <row r="316" spans="1:34" x14ac:dyDescent="0.25">
      <c r="A316" t="s">
        <v>1168</v>
      </c>
      <c r="B316" t="s">
        <v>57</v>
      </c>
      <c r="C316" t="s">
        <v>108</v>
      </c>
      <c r="D316" t="s">
        <v>185</v>
      </c>
      <c r="E316">
        <v>35</v>
      </c>
      <c r="F316">
        <v>35</v>
      </c>
      <c r="G316" t="s">
        <v>1169</v>
      </c>
      <c r="H316" t="s">
        <v>834</v>
      </c>
      <c r="I316" t="s">
        <v>114</v>
      </c>
      <c r="J316" t="s">
        <v>43</v>
      </c>
      <c r="K316" t="s">
        <v>114</v>
      </c>
      <c r="L316" t="s">
        <v>114</v>
      </c>
      <c r="M316" t="s">
        <v>43</v>
      </c>
      <c r="N316" t="s">
        <v>43</v>
      </c>
      <c r="O316" t="s">
        <v>40</v>
      </c>
      <c r="P316" t="s">
        <v>43</v>
      </c>
      <c r="Q316" t="s">
        <v>164</v>
      </c>
      <c r="R316" t="s">
        <v>164</v>
      </c>
      <c r="S316" t="s">
        <v>44</v>
      </c>
      <c r="T316" t="s">
        <v>282</v>
      </c>
      <c r="U316" t="s">
        <v>63</v>
      </c>
      <c r="V316" t="s">
        <v>115</v>
      </c>
      <c r="W316" t="s">
        <v>126</v>
      </c>
      <c r="X316" t="s">
        <v>120</v>
      </c>
      <c r="Y316" t="s">
        <v>43</v>
      </c>
      <c r="Z316" t="s">
        <v>120</v>
      </c>
      <c r="AA316" t="s">
        <v>120</v>
      </c>
      <c r="AB316" t="s">
        <v>120</v>
      </c>
      <c r="AC316" t="s">
        <v>168</v>
      </c>
      <c r="AD316" t="s">
        <v>358</v>
      </c>
      <c r="AE316" t="s">
        <v>242</v>
      </c>
      <c r="AF316" t="s">
        <v>168</v>
      </c>
      <c r="AG316" t="s">
        <v>242</v>
      </c>
      <c r="AH316" t="s">
        <v>1165</v>
      </c>
    </row>
    <row r="317" spans="1:34" x14ac:dyDescent="0.25">
      <c r="A317" t="s">
        <v>1170</v>
      </c>
      <c r="B317" t="s">
        <v>57</v>
      </c>
      <c r="C317" t="s">
        <v>36</v>
      </c>
      <c r="D317" t="s">
        <v>272</v>
      </c>
      <c r="E317">
        <v>37</v>
      </c>
      <c r="F317">
        <v>34</v>
      </c>
      <c r="G317" t="s">
        <v>1171</v>
      </c>
      <c r="H317" t="s">
        <v>1172</v>
      </c>
      <c r="I317" t="s">
        <v>44</v>
      </c>
      <c r="J317" t="s">
        <v>63</v>
      </c>
      <c r="K317" t="s">
        <v>114</v>
      </c>
      <c r="L317" t="s">
        <v>44</v>
      </c>
      <c r="M317" t="s">
        <v>43</v>
      </c>
      <c r="N317" t="s">
        <v>43</v>
      </c>
      <c r="O317" t="s">
        <v>142</v>
      </c>
      <c r="P317" t="s">
        <v>43</v>
      </c>
      <c r="Q317" t="s">
        <v>405</v>
      </c>
      <c r="R317" t="s">
        <v>405</v>
      </c>
      <c r="S317" t="s">
        <v>210</v>
      </c>
      <c r="T317" t="s">
        <v>258</v>
      </c>
      <c r="U317" t="s">
        <v>180</v>
      </c>
      <c r="V317" t="s">
        <v>226</v>
      </c>
      <c r="W317" t="s">
        <v>47</v>
      </c>
      <c r="X317" t="s">
        <v>358</v>
      </c>
      <c r="Y317" t="s">
        <v>169</v>
      </c>
      <c r="Z317" t="s">
        <v>120</v>
      </c>
      <c r="AA317" t="s">
        <v>358</v>
      </c>
      <c r="AB317" t="s">
        <v>120</v>
      </c>
      <c r="AC317" t="s">
        <v>242</v>
      </c>
      <c r="AD317" t="s">
        <v>218</v>
      </c>
      <c r="AE317" t="s">
        <v>103</v>
      </c>
      <c r="AF317" t="s">
        <v>242</v>
      </c>
      <c r="AG317" t="s">
        <v>103</v>
      </c>
      <c r="AH317" t="s">
        <v>1165</v>
      </c>
    </row>
    <row r="318" spans="1:34" x14ac:dyDescent="0.25">
      <c r="A318" t="s">
        <v>1173</v>
      </c>
      <c r="B318" t="s">
        <v>57</v>
      </c>
      <c r="C318" t="s">
        <v>86</v>
      </c>
      <c r="D318" t="s">
        <v>59</v>
      </c>
      <c r="E318">
        <v>35</v>
      </c>
      <c r="F318">
        <v>33</v>
      </c>
      <c r="G318" t="s">
        <v>1174</v>
      </c>
      <c r="H318" t="s">
        <v>661</v>
      </c>
      <c r="I318" t="s">
        <v>114</v>
      </c>
      <c r="J318" t="s">
        <v>126</v>
      </c>
      <c r="K318" t="s">
        <v>41</v>
      </c>
      <c r="L318" t="s">
        <v>114</v>
      </c>
      <c r="M318" t="s">
        <v>43</v>
      </c>
      <c r="N318" t="s">
        <v>43</v>
      </c>
      <c r="O318" t="s">
        <v>63</v>
      </c>
      <c r="P318" t="s">
        <v>43</v>
      </c>
      <c r="Q318" t="s">
        <v>267</v>
      </c>
      <c r="R318" t="s">
        <v>267</v>
      </c>
      <c r="S318" t="s">
        <v>526</v>
      </c>
      <c r="T318" t="s">
        <v>1175</v>
      </c>
      <c r="U318" t="s">
        <v>1017</v>
      </c>
      <c r="V318" t="s">
        <v>1176</v>
      </c>
      <c r="W318" t="s">
        <v>311</v>
      </c>
      <c r="X318" t="s">
        <v>120</v>
      </c>
      <c r="Y318" t="s">
        <v>194</v>
      </c>
      <c r="Z318" t="s">
        <v>51</v>
      </c>
      <c r="AA318" t="s">
        <v>120</v>
      </c>
      <c r="AB318" t="s">
        <v>51</v>
      </c>
      <c r="AC318" t="s">
        <v>204</v>
      </c>
      <c r="AD318" t="s">
        <v>98</v>
      </c>
      <c r="AE318" t="s">
        <v>510</v>
      </c>
      <c r="AF318" t="s">
        <v>204</v>
      </c>
      <c r="AG318" t="s">
        <v>510</v>
      </c>
      <c r="AH318" t="s">
        <v>1165</v>
      </c>
    </row>
    <row r="319" spans="1:34" x14ac:dyDescent="0.25">
      <c r="A319" t="s">
        <v>1177</v>
      </c>
      <c r="B319" t="s">
        <v>781</v>
      </c>
      <c r="C319" t="s">
        <v>58</v>
      </c>
      <c r="D319" t="s">
        <v>263</v>
      </c>
      <c r="E319">
        <v>32</v>
      </c>
      <c r="F319">
        <v>32</v>
      </c>
      <c r="G319" t="s">
        <v>288</v>
      </c>
      <c r="H319" t="s">
        <v>143</v>
      </c>
      <c r="I319" t="s">
        <v>142</v>
      </c>
      <c r="J319" t="s">
        <v>44</v>
      </c>
      <c r="K319" t="s">
        <v>40</v>
      </c>
      <c r="L319" t="s">
        <v>142</v>
      </c>
      <c r="M319" t="s">
        <v>43</v>
      </c>
      <c r="N319" t="s">
        <v>43</v>
      </c>
      <c r="O319" t="s">
        <v>142</v>
      </c>
      <c r="P319" t="s">
        <v>43</v>
      </c>
      <c r="Q319" t="s">
        <v>526</v>
      </c>
      <c r="R319" t="s">
        <v>526</v>
      </c>
      <c r="S319" t="s">
        <v>224</v>
      </c>
      <c r="T319" t="s">
        <v>477</v>
      </c>
      <c r="U319" t="s">
        <v>49</v>
      </c>
      <c r="V319" t="s">
        <v>332</v>
      </c>
      <c r="W319" t="s">
        <v>131</v>
      </c>
      <c r="X319" t="s">
        <v>54</v>
      </c>
      <c r="Y319" t="s">
        <v>358</v>
      </c>
      <c r="Z319" t="s">
        <v>98</v>
      </c>
      <c r="AA319" t="s">
        <v>54</v>
      </c>
      <c r="AB319" t="s">
        <v>98</v>
      </c>
      <c r="AC319" t="s">
        <v>163</v>
      </c>
      <c r="AD319" t="s">
        <v>82</v>
      </c>
      <c r="AE319" t="s">
        <v>112</v>
      </c>
      <c r="AF319" t="s">
        <v>163</v>
      </c>
      <c r="AG319" t="s">
        <v>112</v>
      </c>
      <c r="AH319" t="s">
        <v>1165</v>
      </c>
    </row>
    <row r="320" spans="1:34" x14ac:dyDescent="0.25">
      <c r="A320" t="s">
        <v>1178</v>
      </c>
      <c r="B320" t="s">
        <v>493</v>
      </c>
      <c r="C320" t="s">
        <v>108</v>
      </c>
      <c r="D320" t="s">
        <v>201</v>
      </c>
      <c r="E320">
        <v>28</v>
      </c>
      <c r="F320">
        <v>28</v>
      </c>
      <c r="G320" t="s">
        <v>1179</v>
      </c>
      <c r="H320" t="s">
        <v>930</v>
      </c>
      <c r="I320" t="s">
        <v>63</v>
      </c>
      <c r="J320" t="s">
        <v>43</v>
      </c>
      <c r="K320" t="s">
        <v>63</v>
      </c>
      <c r="L320" t="s">
        <v>63</v>
      </c>
      <c r="M320" t="s">
        <v>43</v>
      </c>
      <c r="N320" t="s">
        <v>43</v>
      </c>
      <c r="O320" t="s">
        <v>44</v>
      </c>
      <c r="P320" t="s">
        <v>43</v>
      </c>
      <c r="Q320" t="s">
        <v>416</v>
      </c>
      <c r="R320" t="s">
        <v>416</v>
      </c>
      <c r="S320" t="s">
        <v>398</v>
      </c>
      <c r="T320" t="s">
        <v>177</v>
      </c>
      <c r="U320" t="s">
        <v>232</v>
      </c>
      <c r="V320" t="s">
        <v>49</v>
      </c>
      <c r="W320" t="s">
        <v>681</v>
      </c>
      <c r="X320" t="s">
        <v>181</v>
      </c>
      <c r="Y320" t="s">
        <v>43</v>
      </c>
      <c r="Z320" t="s">
        <v>181</v>
      </c>
      <c r="AA320" t="s">
        <v>181</v>
      </c>
      <c r="AB320" t="s">
        <v>181</v>
      </c>
      <c r="AC320" t="s">
        <v>169</v>
      </c>
      <c r="AD320" t="s">
        <v>358</v>
      </c>
      <c r="AE320" t="s">
        <v>120</v>
      </c>
      <c r="AF320" t="s">
        <v>169</v>
      </c>
      <c r="AG320" t="s">
        <v>120</v>
      </c>
      <c r="AH320" t="s">
        <v>1165</v>
      </c>
    </row>
    <row r="321" spans="1:34" x14ac:dyDescent="0.25">
      <c r="A321" t="s">
        <v>1180</v>
      </c>
      <c r="B321" t="s">
        <v>57</v>
      </c>
      <c r="C321" t="s">
        <v>172</v>
      </c>
      <c r="D321" t="s">
        <v>227</v>
      </c>
      <c r="E321">
        <v>31</v>
      </c>
      <c r="F321">
        <v>27</v>
      </c>
      <c r="G321" t="s">
        <v>1181</v>
      </c>
      <c r="H321" t="s">
        <v>1182</v>
      </c>
      <c r="I321" t="s">
        <v>43</v>
      </c>
      <c r="J321" t="s">
        <v>43</v>
      </c>
      <c r="K321" t="s">
        <v>43</v>
      </c>
      <c r="L321" t="s">
        <v>43</v>
      </c>
      <c r="M321" t="s">
        <v>43</v>
      </c>
      <c r="N321" t="s">
        <v>43</v>
      </c>
      <c r="O321" t="s">
        <v>142</v>
      </c>
      <c r="P321" t="s">
        <v>44</v>
      </c>
      <c r="Q321" t="s">
        <v>70</v>
      </c>
      <c r="R321" t="s">
        <v>70</v>
      </c>
      <c r="S321" t="s">
        <v>416</v>
      </c>
      <c r="T321" t="s">
        <v>246</v>
      </c>
      <c r="U321" t="s">
        <v>494</v>
      </c>
      <c r="V321" t="s">
        <v>943</v>
      </c>
      <c r="W321" t="s">
        <v>717</v>
      </c>
      <c r="X321" t="s">
        <v>43</v>
      </c>
      <c r="Y321" t="s">
        <v>43</v>
      </c>
      <c r="Z321" t="s">
        <v>43</v>
      </c>
      <c r="AA321" t="s">
        <v>43</v>
      </c>
      <c r="AB321" t="s">
        <v>43</v>
      </c>
      <c r="AC321" t="s">
        <v>182</v>
      </c>
      <c r="AD321" t="s">
        <v>169</v>
      </c>
      <c r="AE321" t="s">
        <v>242</v>
      </c>
      <c r="AF321" t="s">
        <v>182</v>
      </c>
      <c r="AG321" t="s">
        <v>242</v>
      </c>
      <c r="AH321" t="s">
        <v>1165</v>
      </c>
    </row>
    <row r="322" spans="1:34" x14ac:dyDescent="0.25">
      <c r="A322" t="s">
        <v>1183</v>
      </c>
      <c r="B322" t="s">
        <v>57</v>
      </c>
      <c r="C322" t="s">
        <v>137</v>
      </c>
      <c r="D322" t="s">
        <v>148</v>
      </c>
      <c r="E322">
        <v>32</v>
      </c>
      <c r="F322">
        <v>26</v>
      </c>
      <c r="G322" t="s">
        <v>1184</v>
      </c>
      <c r="H322" t="s">
        <v>1185</v>
      </c>
      <c r="I322" t="s">
        <v>142</v>
      </c>
      <c r="J322" t="s">
        <v>63</v>
      </c>
      <c r="K322" t="s">
        <v>41</v>
      </c>
      <c r="L322" t="s">
        <v>81</v>
      </c>
      <c r="M322" t="s">
        <v>63</v>
      </c>
      <c r="N322" t="s">
        <v>63</v>
      </c>
      <c r="O322" t="s">
        <v>63</v>
      </c>
      <c r="P322" t="s">
        <v>43</v>
      </c>
      <c r="Q322" t="s">
        <v>488</v>
      </c>
      <c r="R322" t="s">
        <v>720</v>
      </c>
      <c r="S322" t="s">
        <v>188</v>
      </c>
      <c r="T322" t="s">
        <v>1186</v>
      </c>
      <c r="U322" t="s">
        <v>180</v>
      </c>
      <c r="V322" t="s">
        <v>304</v>
      </c>
      <c r="W322" t="s">
        <v>409</v>
      </c>
      <c r="X322" t="s">
        <v>236</v>
      </c>
      <c r="Y322" t="s">
        <v>242</v>
      </c>
      <c r="Z322" t="s">
        <v>97</v>
      </c>
      <c r="AA322" t="s">
        <v>134</v>
      </c>
      <c r="AB322" t="s">
        <v>236</v>
      </c>
      <c r="AC322" t="s">
        <v>482</v>
      </c>
      <c r="AD322" t="s">
        <v>118</v>
      </c>
      <c r="AE322" t="s">
        <v>104</v>
      </c>
      <c r="AF322" t="s">
        <v>451</v>
      </c>
      <c r="AG322" t="s">
        <v>70</v>
      </c>
      <c r="AH322" t="s">
        <v>1165</v>
      </c>
    </row>
    <row r="323" spans="1:34" x14ac:dyDescent="0.25">
      <c r="A323" t="s">
        <v>1187</v>
      </c>
      <c r="B323" t="s">
        <v>57</v>
      </c>
      <c r="C323" t="s">
        <v>86</v>
      </c>
      <c r="D323" t="s">
        <v>148</v>
      </c>
      <c r="E323">
        <v>29</v>
      </c>
      <c r="F323">
        <v>25</v>
      </c>
      <c r="G323" t="s">
        <v>1188</v>
      </c>
      <c r="H323" t="s">
        <v>1189</v>
      </c>
      <c r="I323" t="s">
        <v>114</v>
      </c>
      <c r="J323" t="s">
        <v>114</v>
      </c>
      <c r="K323" t="s">
        <v>126</v>
      </c>
      <c r="L323" t="s">
        <v>114</v>
      </c>
      <c r="M323" t="s">
        <v>43</v>
      </c>
      <c r="N323" t="s">
        <v>43</v>
      </c>
      <c r="O323" t="s">
        <v>44</v>
      </c>
      <c r="P323" t="s">
        <v>43</v>
      </c>
      <c r="Q323" t="s">
        <v>297</v>
      </c>
      <c r="R323" t="s">
        <v>297</v>
      </c>
      <c r="S323" t="s">
        <v>267</v>
      </c>
      <c r="T323" t="s">
        <v>142</v>
      </c>
      <c r="U323" t="s">
        <v>490</v>
      </c>
      <c r="V323" t="s">
        <v>541</v>
      </c>
      <c r="W323" t="s">
        <v>602</v>
      </c>
      <c r="X323" t="s">
        <v>53</v>
      </c>
      <c r="Y323" t="s">
        <v>53</v>
      </c>
      <c r="Z323" t="s">
        <v>54</v>
      </c>
      <c r="AA323" t="s">
        <v>53</v>
      </c>
      <c r="AB323" t="s">
        <v>54</v>
      </c>
      <c r="AC323" t="s">
        <v>218</v>
      </c>
      <c r="AD323" t="s">
        <v>218</v>
      </c>
      <c r="AE323" t="s">
        <v>51</v>
      </c>
      <c r="AF323" t="s">
        <v>218</v>
      </c>
      <c r="AG323" t="s">
        <v>51</v>
      </c>
      <c r="AH323" t="s">
        <v>1165</v>
      </c>
    </row>
    <row r="324" spans="1:34" x14ac:dyDescent="0.25">
      <c r="A324" t="s">
        <v>1190</v>
      </c>
      <c r="B324" t="s">
        <v>555</v>
      </c>
      <c r="C324" t="s">
        <v>36</v>
      </c>
      <c r="D324" t="s">
        <v>109</v>
      </c>
      <c r="E324">
        <v>25</v>
      </c>
      <c r="F324">
        <v>24</v>
      </c>
      <c r="G324" t="s">
        <v>1191</v>
      </c>
      <c r="H324" t="s">
        <v>1192</v>
      </c>
      <c r="I324" t="s">
        <v>83</v>
      </c>
      <c r="J324" t="s">
        <v>43</v>
      </c>
      <c r="K324" t="s">
        <v>83</v>
      </c>
      <c r="L324" t="s">
        <v>83</v>
      </c>
      <c r="M324" t="s">
        <v>43</v>
      </c>
      <c r="N324" t="s">
        <v>43</v>
      </c>
      <c r="O324" t="s">
        <v>40</v>
      </c>
      <c r="P324" t="s">
        <v>43</v>
      </c>
      <c r="Q324" t="s">
        <v>222</v>
      </c>
      <c r="R324" t="s">
        <v>222</v>
      </c>
      <c r="S324" t="s">
        <v>254</v>
      </c>
      <c r="T324" t="s">
        <v>177</v>
      </c>
      <c r="U324" t="s">
        <v>78</v>
      </c>
      <c r="V324" t="s">
        <v>373</v>
      </c>
      <c r="W324" t="s">
        <v>801</v>
      </c>
      <c r="X324" t="s">
        <v>194</v>
      </c>
      <c r="Y324" t="s">
        <v>43</v>
      </c>
      <c r="Z324" t="s">
        <v>194</v>
      </c>
      <c r="AA324" t="s">
        <v>194</v>
      </c>
      <c r="AB324" t="s">
        <v>194</v>
      </c>
      <c r="AC324" t="s">
        <v>169</v>
      </c>
      <c r="AD324" t="s">
        <v>168</v>
      </c>
      <c r="AE324" t="s">
        <v>53</v>
      </c>
      <c r="AF324" t="s">
        <v>169</v>
      </c>
      <c r="AG324" t="s">
        <v>53</v>
      </c>
      <c r="AH324" t="s">
        <v>1165</v>
      </c>
    </row>
    <row r="325" spans="1:34" x14ac:dyDescent="0.25">
      <c r="A325" t="s">
        <v>1193</v>
      </c>
      <c r="B325" t="s">
        <v>207</v>
      </c>
      <c r="C325" t="s">
        <v>36</v>
      </c>
      <c r="D325" t="s">
        <v>185</v>
      </c>
      <c r="E325">
        <v>30</v>
      </c>
      <c r="F325">
        <v>23</v>
      </c>
      <c r="G325" t="s">
        <v>1194</v>
      </c>
      <c r="H325" t="s">
        <v>786</v>
      </c>
      <c r="I325" t="s">
        <v>63</v>
      </c>
      <c r="J325" t="s">
        <v>43</v>
      </c>
      <c r="K325" t="s">
        <v>63</v>
      </c>
      <c r="L325" t="s">
        <v>63</v>
      </c>
      <c r="M325" t="s">
        <v>43</v>
      </c>
      <c r="N325" t="s">
        <v>43</v>
      </c>
      <c r="O325" t="s">
        <v>81</v>
      </c>
      <c r="P325" t="s">
        <v>43</v>
      </c>
      <c r="Q325" t="s">
        <v>63</v>
      </c>
      <c r="R325" t="s">
        <v>63</v>
      </c>
      <c r="S325" t="s">
        <v>405</v>
      </c>
      <c r="T325" t="s">
        <v>629</v>
      </c>
      <c r="U325" t="s">
        <v>185</v>
      </c>
      <c r="V325" t="s">
        <v>1195</v>
      </c>
      <c r="W325" t="s">
        <v>399</v>
      </c>
      <c r="X325" t="s">
        <v>120</v>
      </c>
      <c r="Y325" t="s">
        <v>43</v>
      </c>
      <c r="Z325" t="s">
        <v>120</v>
      </c>
      <c r="AA325" t="s">
        <v>120</v>
      </c>
      <c r="AB325" t="s">
        <v>120</v>
      </c>
      <c r="AC325" t="s">
        <v>120</v>
      </c>
      <c r="AD325" t="s">
        <v>204</v>
      </c>
      <c r="AE325" t="s">
        <v>241</v>
      </c>
      <c r="AF325" t="s">
        <v>120</v>
      </c>
      <c r="AG325" t="s">
        <v>241</v>
      </c>
      <c r="AH325" t="s">
        <v>1165</v>
      </c>
    </row>
    <row r="326" spans="1:34" x14ac:dyDescent="0.25">
      <c r="A326" t="s">
        <v>1196</v>
      </c>
      <c r="B326" t="s">
        <v>57</v>
      </c>
      <c r="C326" t="s">
        <v>108</v>
      </c>
      <c r="D326" t="s">
        <v>268</v>
      </c>
      <c r="E326">
        <v>15</v>
      </c>
      <c r="F326">
        <v>13</v>
      </c>
      <c r="G326" t="s">
        <v>1197</v>
      </c>
      <c r="H326" t="s">
        <v>762</v>
      </c>
      <c r="I326" t="s">
        <v>43</v>
      </c>
      <c r="J326" t="s">
        <v>43</v>
      </c>
      <c r="K326" t="s">
        <v>43</v>
      </c>
      <c r="L326" t="s">
        <v>43</v>
      </c>
      <c r="M326" t="s">
        <v>43</v>
      </c>
      <c r="N326" t="s">
        <v>43</v>
      </c>
      <c r="O326" t="s">
        <v>63</v>
      </c>
      <c r="P326" t="s">
        <v>43</v>
      </c>
      <c r="Q326" t="s">
        <v>164</v>
      </c>
      <c r="R326" t="s">
        <v>164</v>
      </c>
      <c r="S326" t="s">
        <v>163</v>
      </c>
      <c r="T326" t="s">
        <v>63</v>
      </c>
      <c r="U326" t="s">
        <v>89</v>
      </c>
      <c r="V326" t="s">
        <v>372</v>
      </c>
      <c r="W326" t="s">
        <v>148</v>
      </c>
      <c r="X326" t="s">
        <v>43</v>
      </c>
      <c r="Y326" t="s">
        <v>43</v>
      </c>
      <c r="Z326" t="s">
        <v>43</v>
      </c>
      <c r="AA326" t="s">
        <v>43</v>
      </c>
      <c r="AB326" t="s">
        <v>43</v>
      </c>
      <c r="AC326" t="s">
        <v>218</v>
      </c>
      <c r="AD326" t="s">
        <v>182</v>
      </c>
      <c r="AE326" t="s">
        <v>205</v>
      </c>
      <c r="AF326" t="s">
        <v>218</v>
      </c>
      <c r="AG326" t="s">
        <v>205</v>
      </c>
      <c r="AH326" t="s">
        <v>1165</v>
      </c>
    </row>
    <row r="327" spans="1:34" x14ac:dyDescent="0.25">
      <c r="A327" t="s">
        <v>1198</v>
      </c>
      <c r="B327" t="s">
        <v>360</v>
      </c>
      <c r="C327" t="s">
        <v>108</v>
      </c>
      <c r="D327" t="s">
        <v>185</v>
      </c>
      <c r="E327">
        <v>20</v>
      </c>
      <c r="F327">
        <v>9</v>
      </c>
      <c r="G327" t="s">
        <v>794</v>
      </c>
      <c r="H327" t="s">
        <v>245</v>
      </c>
      <c r="I327" t="s">
        <v>43</v>
      </c>
      <c r="J327" t="s">
        <v>63</v>
      </c>
      <c r="K327" t="s">
        <v>63</v>
      </c>
      <c r="L327" t="s">
        <v>43</v>
      </c>
      <c r="M327" t="s">
        <v>43</v>
      </c>
      <c r="N327" t="s">
        <v>43</v>
      </c>
      <c r="O327" t="s">
        <v>83</v>
      </c>
      <c r="P327" t="s">
        <v>43</v>
      </c>
      <c r="Q327" t="s">
        <v>163</v>
      </c>
      <c r="R327" t="s">
        <v>163</v>
      </c>
      <c r="S327" t="s">
        <v>164</v>
      </c>
      <c r="T327" t="s">
        <v>63</v>
      </c>
      <c r="U327" t="s">
        <v>42</v>
      </c>
      <c r="V327" t="s">
        <v>227</v>
      </c>
      <c r="W327" t="s">
        <v>399</v>
      </c>
      <c r="X327" t="s">
        <v>43</v>
      </c>
      <c r="Y327" t="s">
        <v>151</v>
      </c>
      <c r="Z327" t="s">
        <v>151</v>
      </c>
      <c r="AA327" t="s">
        <v>43</v>
      </c>
      <c r="AB327" t="s">
        <v>151</v>
      </c>
      <c r="AC327" t="s">
        <v>358</v>
      </c>
      <c r="AD327" t="s">
        <v>156</v>
      </c>
      <c r="AE327" t="s">
        <v>151</v>
      </c>
      <c r="AF327" t="s">
        <v>358</v>
      </c>
      <c r="AG327" t="s">
        <v>151</v>
      </c>
      <c r="AH327" t="s">
        <v>1165</v>
      </c>
    </row>
    <row r="328" spans="1:34" x14ac:dyDescent="0.25">
      <c r="A328" t="s">
        <v>1199</v>
      </c>
      <c r="B328" t="s">
        <v>1200</v>
      </c>
      <c r="C328" t="s">
        <v>137</v>
      </c>
      <c r="D328" t="s">
        <v>268</v>
      </c>
      <c r="E328">
        <v>30</v>
      </c>
      <c r="F328">
        <v>9</v>
      </c>
      <c r="G328" t="s">
        <v>1201</v>
      </c>
      <c r="H328" t="s">
        <v>620</v>
      </c>
      <c r="I328" t="s">
        <v>114</v>
      </c>
      <c r="J328" t="s">
        <v>43</v>
      </c>
      <c r="K328" t="s">
        <v>114</v>
      </c>
      <c r="L328" t="s">
        <v>114</v>
      </c>
      <c r="M328" t="s">
        <v>43</v>
      </c>
      <c r="N328" t="s">
        <v>44</v>
      </c>
      <c r="O328" t="s">
        <v>63</v>
      </c>
      <c r="P328" t="s">
        <v>43</v>
      </c>
      <c r="Q328" t="s">
        <v>486</v>
      </c>
      <c r="R328" t="s">
        <v>126</v>
      </c>
      <c r="S328" t="s">
        <v>398</v>
      </c>
      <c r="T328" t="s">
        <v>924</v>
      </c>
      <c r="U328" t="s">
        <v>232</v>
      </c>
      <c r="V328" t="s">
        <v>232</v>
      </c>
      <c r="W328" t="s">
        <v>260</v>
      </c>
      <c r="X328" t="s">
        <v>51</v>
      </c>
      <c r="Y328" t="s">
        <v>43</v>
      </c>
      <c r="Z328" t="s">
        <v>51</v>
      </c>
      <c r="AA328" t="s">
        <v>51</v>
      </c>
      <c r="AB328" t="s">
        <v>51</v>
      </c>
      <c r="AC328" t="s">
        <v>313</v>
      </c>
      <c r="AD328" t="s">
        <v>120</v>
      </c>
      <c r="AE328" t="s">
        <v>274</v>
      </c>
      <c r="AF328" t="s">
        <v>481</v>
      </c>
      <c r="AG328" t="s">
        <v>104</v>
      </c>
      <c r="AH328" t="s">
        <v>1165</v>
      </c>
    </row>
    <row r="329" spans="1:34" x14ac:dyDescent="0.25">
      <c r="A329" t="s">
        <v>1202</v>
      </c>
      <c r="B329" t="s">
        <v>411</v>
      </c>
      <c r="C329" t="s">
        <v>108</v>
      </c>
      <c r="D329" t="s">
        <v>165</v>
      </c>
      <c r="E329">
        <v>12</v>
      </c>
      <c r="F329">
        <v>7</v>
      </c>
      <c r="G329" t="s">
        <v>1203</v>
      </c>
      <c r="H329" t="s">
        <v>446</v>
      </c>
      <c r="I329" t="s">
        <v>43</v>
      </c>
      <c r="J329" t="s">
        <v>43</v>
      </c>
      <c r="K329" t="s">
        <v>43</v>
      </c>
      <c r="L329" t="s">
        <v>43</v>
      </c>
      <c r="M329" t="s">
        <v>43</v>
      </c>
      <c r="N329" t="s">
        <v>43</v>
      </c>
      <c r="O329" t="s">
        <v>43</v>
      </c>
      <c r="P329" t="s">
        <v>43</v>
      </c>
      <c r="Q329" t="s">
        <v>43</v>
      </c>
      <c r="R329" t="s">
        <v>43</v>
      </c>
      <c r="S329" t="s">
        <v>44</v>
      </c>
      <c r="T329" t="s">
        <v>44</v>
      </c>
      <c r="U329" t="s">
        <v>81</v>
      </c>
      <c r="V329" t="s">
        <v>272</v>
      </c>
      <c r="W329" t="s">
        <v>167</v>
      </c>
      <c r="X329" t="s">
        <v>43</v>
      </c>
      <c r="Y329" t="s">
        <v>43</v>
      </c>
      <c r="Z329" t="s">
        <v>43</v>
      </c>
      <c r="AA329" t="s">
        <v>43</v>
      </c>
      <c r="AB329" t="s">
        <v>43</v>
      </c>
      <c r="AC329" t="s">
        <v>43</v>
      </c>
      <c r="AD329" t="s">
        <v>218</v>
      </c>
      <c r="AE329" t="s">
        <v>218</v>
      </c>
      <c r="AF329" t="s">
        <v>43</v>
      </c>
      <c r="AG329" t="s">
        <v>218</v>
      </c>
      <c r="AH329" t="s">
        <v>1165</v>
      </c>
    </row>
    <row r="330" spans="1:34" x14ac:dyDescent="0.25">
      <c r="A330" t="s">
        <v>1204</v>
      </c>
      <c r="B330" t="s">
        <v>196</v>
      </c>
      <c r="C330" t="s">
        <v>86</v>
      </c>
      <c r="D330" t="s">
        <v>148</v>
      </c>
      <c r="E330">
        <v>14</v>
      </c>
      <c r="F330">
        <v>5</v>
      </c>
      <c r="G330" t="s">
        <v>1205</v>
      </c>
      <c r="H330" t="s">
        <v>672</v>
      </c>
      <c r="I330" t="s">
        <v>44</v>
      </c>
      <c r="J330" t="s">
        <v>43</v>
      </c>
      <c r="K330" t="s">
        <v>44</v>
      </c>
      <c r="L330" t="s">
        <v>44</v>
      </c>
      <c r="M330" t="s">
        <v>43</v>
      </c>
      <c r="N330" t="s">
        <v>43</v>
      </c>
      <c r="O330" t="s">
        <v>43</v>
      </c>
      <c r="P330" t="s">
        <v>43</v>
      </c>
      <c r="Q330" t="s">
        <v>113</v>
      </c>
      <c r="R330" t="s">
        <v>113</v>
      </c>
      <c r="S330" t="s">
        <v>254</v>
      </c>
      <c r="T330" t="s">
        <v>128</v>
      </c>
      <c r="U330" t="s">
        <v>201</v>
      </c>
      <c r="V330" t="s">
        <v>41</v>
      </c>
      <c r="W330" t="s">
        <v>298</v>
      </c>
      <c r="X330" t="s">
        <v>156</v>
      </c>
      <c r="Y330" t="s">
        <v>43</v>
      </c>
      <c r="Z330" t="s">
        <v>156</v>
      </c>
      <c r="AA330" t="s">
        <v>156</v>
      </c>
      <c r="AB330" t="s">
        <v>156</v>
      </c>
      <c r="AC330" t="s">
        <v>112</v>
      </c>
      <c r="AD330" t="s">
        <v>215</v>
      </c>
      <c r="AE330" t="s">
        <v>481</v>
      </c>
      <c r="AF330" t="s">
        <v>112</v>
      </c>
      <c r="AG330" t="s">
        <v>481</v>
      </c>
      <c r="AH330" t="s">
        <v>1165</v>
      </c>
    </row>
    <row r="331" spans="1:34" x14ac:dyDescent="0.25">
      <c r="A331" t="s">
        <v>1206</v>
      </c>
      <c r="B331" t="s">
        <v>57</v>
      </c>
      <c r="C331" t="s">
        <v>108</v>
      </c>
      <c r="D331" t="s">
        <v>263</v>
      </c>
      <c r="E331">
        <v>9</v>
      </c>
      <c r="F331">
        <v>4</v>
      </c>
      <c r="G331" t="s">
        <v>1207</v>
      </c>
      <c r="H331" t="s">
        <v>634</v>
      </c>
      <c r="I331" t="s">
        <v>44</v>
      </c>
      <c r="J331" t="s">
        <v>43</v>
      </c>
      <c r="K331" t="s">
        <v>44</v>
      </c>
      <c r="L331" t="s">
        <v>44</v>
      </c>
      <c r="M331" t="s">
        <v>43</v>
      </c>
      <c r="N331" t="s">
        <v>43</v>
      </c>
      <c r="O331" t="s">
        <v>63</v>
      </c>
      <c r="P331" t="s">
        <v>43</v>
      </c>
      <c r="Q331" t="s">
        <v>378</v>
      </c>
      <c r="R331" t="s">
        <v>378</v>
      </c>
      <c r="S331" t="s">
        <v>43</v>
      </c>
      <c r="T331" t="s">
        <v>378</v>
      </c>
      <c r="U331" t="s">
        <v>83</v>
      </c>
      <c r="V331" t="s">
        <v>232</v>
      </c>
      <c r="W331" t="s">
        <v>114</v>
      </c>
      <c r="X331" t="s">
        <v>134</v>
      </c>
      <c r="Y331" t="s">
        <v>43</v>
      </c>
      <c r="Z331" t="s">
        <v>134</v>
      </c>
      <c r="AA331" t="s">
        <v>134</v>
      </c>
      <c r="AB331" t="s">
        <v>134</v>
      </c>
      <c r="AC331" t="s">
        <v>218</v>
      </c>
      <c r="AD331" t="s">
        <v>43</v>
      </c>
      <c r="AE331" t="s">
        <v>218</v>
      </c>
      <c r="AF331" t="s">
        <v>218</v>
      </c>
      <c r="AG331" t="s">
        <v>218</v>
      </c>
      <c r="AH331" t="s">
        <v>1165</v>
      </c>
    </row>
    <row r="332" spans="1:34" x14ac:dyDescent="0.25">
      <c r="A332" t="s">
        <v>1208</v>
      </c>
      <c r="B332" t="s">
        <v>122</v>
      </c>
      <c r="C332" t="s">
        <v>86</v>
      </c>
      <c r="D332" t="s">
        <v>263</v>
      </c>
      <c r="E332">
        <v>12</v>
      </c>
      <c r="F332">
        <v>3</v>
      </c>
      <c r="G332" t="s">
        <v>464</v>
      </c>
      <c r="H332" t="s">
        <v>811</v>
      </c>
      <c r="I332" t="s">
        <v>44</v>
      </c>
      <c r="J332" t="s">
        <v>43</v>
      </c>
      <c r="K332" t="s">
        <v>44</v>
      </c>
      <c r="L332" t="s">
        <v>44</v>
      </c>
      <c r="M332" t="s">
        <v>43</v>
      </c>
      <c r="N332" t="s">
        <v>43</v>
      </c>
      <c r="O332" t="s">
        <v>83</v>
      </c>
      <c r="P332" t="s">
        <v>43</v>
      </c>
      <c r="Q332" t="s">
        <v>163</v>
      </c>
      <c r="R332" t="s">
        <v>163</v>
      </c>
      <c r="S332" t="s">
        <v>112</v>
      </c>
      <c r="T332" t="s">
        <v>378</v>
      </c>
      <c r="U332" t="s">
        <v>40</v>
      </c>
      <c r="V332" t="s">
        <v>180</v>
      </c>
      <c r="W332" t="s">
        <v>78</v>
      </c>
      <c r="X332" t="s">
        <v>151</v>
      </c>
      <c r="Y332" t="s">
        <v>43</v>
      </c>
      <c r="Z332" t="s">
        <v>151</v>
      </c>
      <c r="AA332" t="s">
        <v>151</v>
      </c>
      <c r="AB332" t="s">
        <v>151</v>
      </c>
      <c r="AC332" t="s">
        <v>168</v>
      </c>
      <c r="AD332" t="s">
        <v>181</v>
      </c>
      <c r="AE332" t="s">
        <v>118</v>
      </c>
      <c r="AF332" t="s">
        <v>168</v>
      </c>
      <c r="AG332" t="s">
        <v>118</v>
      </c>
      <c r="AH332" t="s">
        <v>1165</v>
      </c>
    </row>
    <row r="333" spans="1:34" x14ac:dyDescent="0.25">
      <c r="A333" t="s">
        <v>1123</v>
      </c>
      <c r="B333" t="s">
        <v>1120</v>
      </c>
      <c r="C333" t="s">
        <v>36</v>
      </c>
      <c r="D333" t="s">
        <v>37</v>
      </c>
      <c r="E333">
        <v>2</v>
      </c>
      <c r="F333">
        <v>2</v>
      </c>
      <c r="G333" t="s">
        <v>131</v>
      </c>
      <c r="H333" t="s">
        <v>223</v>
      </c>
      <c r="I333" t="s">
        <v>43</v>
      </c>
      <c r="J333" t="s">
        <v>43</v>
      </c>
      <c r="K333" t="s">
        <v>43</v>
      </c>
      <c r="L333" t="s">
        <v>43</v>
      </c>
      <c r="M333" t="s">
        <v>43</v>
      </c>
      <c r="N333" t="s">
        <v>43</v>
      </c>
      <c r="O333" t="s">
        <v>43</v>
      </c>
      <c r="P333" t="s">
        <v>43</v>
      </c>
      <c r="Q333" t="s">
        <v>163</v>
      </c>
      <c r="R333" t="s">
        <v>163</v>
      </c>
      <c r="S333" t="s">
        <v>241</v>
      </c>
      <c r="T333" t="s">
        <v>176</v>
      </c>
      <c r="U333" t="s">
        <v>126</v>
      </c>
      <c r="V333" t="s">
        <v>83</v>
      </c>
      <c r="W333" t="s">
        <v>40</v>
      </c>
      <c r="X333" t="s">
        <v>43</v>
      </c>
      <c r="Y333" t="s">
        <v>43</v>
      </c>
      <c r="Z333" t="s">
        <v>43</v>
      </c>
      <c r="AA333" t="s">
        <v>43</v>
      </c>
      <c r="AB333" t="s">
        <v>43</v>
      </c>
      <c r="AC333" t="s">
        <v>134</v>
      </c>
      <c r="AD333" t="s">
        <v>218</v>
      </c>
      <c r="AE333" t="s">
        <v>301</v>
      </c>
      <c r="AF333" t="s">
        <v>134</v>
      </c>
      <c r="AG333" t="s">
        <v>301</v>
      </c>
      <c r="AH333" t="s">
        <v>1165</v>
      </c>
    </row>
    <row r="334" spans="1:34" x14ac:dyDescent="0.25">
      <c r="A334" t="s">
        <v>1209</v>
      </c>
      <c r="B334" t="s">
        <v>57</v>
      </c>
      <c r="C334" t="s">
        <v>36</v>
      </c>
      <c r="D334" t="s">
        <v>141</v>
      </c>
      <c r="E334">
        <v>12</v>
      </c>
      <c r="F334">
        <v>1</v>
      </c>
      <c r="G334" t="s">
        <v>665</v>
      </c>
      <c r="H334" t="s">
        <v>113</v>
      </c>
      <c r="I334" t="s">
        <v>44</v>
      </c>
      <c r="J334" t="s">
        <v>43</v>
      </c>
      <c r="K334" t="s">
        <v>44</v>
      </c>
      <c r="L334" t="s">
        <v>44</v>
      </c>
      <c r="M334" t="s">
        <v>43</v>
      </c>
      <c r="N334" t="s">
        <v>43</v>
      </c>
      <c r="O334" t="s">
        <v>44</v>
      </c>
      <c r="P334" t="s">
        <v>43</v>
      </c>
      <c r="Q334" t="s">
        <v>163</v>
      </c>
      <c r="R334" t="s">
        <v>163</v>
      </c>
      <c r="S334" t="s">
        <v>176</v>
      </c>
      <c r="T334" t="s">
        <v>259</v>
      </c>
      <c r="U334" t="s">
        <v>126</v>
      </c>
      <c r="V334" t="s">
        <v>114</v>
      </c>
      <c r="W334" t="s">
        <v>141</v>
      </c>
      <c r="X334" t="s">
        <v>105</v>
      </c>
      <c r="Y334" t="s">
        <v>43</v>
      </c>
      <c r="Z334" t="s">
        <v>105</v>
      </c>
      <c r="AA334" t="s">
        <v>105</v>
      </c>
      <c r="AB334" t="s">
        <v>105</v>
      </c>
      <c r="AC334" t="s">
        <v>204</v>
      </c>
      <c r="AD334" t="s">
        <v>194</v>
      </c>
      <c r="AE334" t="s">
        <v>163</v>
      </c>
      <c r="AF334" t="s">
        <v>204</v>
      </c>
      <c r="AG334" t="s">
        <v>163</v>
      </c>
      <c r="AH334" t="s">
        <v>1165</v>
      </c>
    </row>
    <row r="335" spans="1:34" x14ac:dyDescent="0.25">
      <c r="A335" t="s">
        <v>1210</v>
      </c>
      <c r="B335" t="s">
        <v>122</v>
      </c>
      <c r="C335" t="s">
        <v>137</v>
      </c>
      <c r="D335" t="s">
        <v>62</v>
      </c>
      <c r="E335">
        <v>18</v>
      </c>
      <c r="F335">
        <v>1</v>
      </c>
      <c r="G335" t="s">
        <v>1211</v>
      </c>
      <c r="H335" t="s">
        <v>327</v>
      </c>
      <c r="I335" t="s">
        <v>43</v>
      </c>
      <c r="J335" t="s">
        <v>43</v>
      </c>
      <c r="K335" t="s">
        <v>43</v>
      </c>
      <c r="L335" t="s">
        <v>43</v>
      </c>
      <c r="M335" t="s">
        <v>43</v>
      </c>
      <c r="N335" t="s">
        <v>43</v>
      </c>
      <c r="O335" t="s">
        <v>114</v>
      </c>
      <c r="P335" t="s">
        <v>43</v>
      </c>
      <c r="Q335" t="s">
        <v>378</v>
      </c>
      <c r="R335" t="s">
        <v>378</v>
      </c>
      <c r="S335" t="s">
        <v>259</v>
      </c>
      <c r="T335" t="s">
        <v>416</v>
      </c>
      <c r="U335" t="s">
        <v>81</v>
      </c>
      <c r="V335" t="s">
        <v>81</v>
      </c>
      <c r="W335" t="s">
        <v>127</v>
      </c>
      <c r="X335" t="s">
        <v>43</v>
      </c>
      <c r="Y335" t="s">
        <v>43</v>
      </c>
      <c r="Z335" t="s">
        <v>43</v>
      </c>
      <c r="AA335" t="s">
        <v>43</v>
      </c>
      <c r="AB335" t="s">
        <v>43</v>
      </c>
      <c r="AC335" t="s">
        <v>100</v>
      </c>
      <c r="AD335" t="s">
        <v>616</v>
      </c>
      <c r="AE335" t="s">
        <v>99</v>
      </c>
      <c r="AF335" t="s">
        <v>100</v>
      </c>
      <c r="AG335" t="s">
        <v>99</v>
      </c>
      <c r="AH335" t="s">
        <v>1165</v>
      </c>
    </row>
    <row r="336" spans="1:34" x14ac:dyDescent="0.25">
      <c r="A336" t="s">
        <v>1212</v>
      </c>
      <c r="B336" t="s">
        <v>376</v>
      </c>
      <c r="C336" t="s">
        <v>137</v>
      </c>
      <c r="D336" t="s">
        <v>148</v>
      </c>
      <c r="E336">
        <v>2</v>
      </c>
      <c r="F336">
        <v>1</v>
      </c>
      <c r="G336" t="s">
        <v>234</v>
      </c>
      <c r="H336" t="s">
        <v>200</v>
      </c>
      <c r="I336" t="s">
        <v>43</v>
      </c>
      <c r="J336" t="s">
        <v>43</v>
      </c>
      <c r="K336" t="s">
        <v>43</v>
      </c>
      <c r="L336" t="s">
        <v>43</v>
      </c>
      <c r="M336" t="s">
        <v>43</v>
      </c>
      <c r="N336" t="s">
        <v>43</v>
      </c>
      <c r="O336" t="s">
        <v>43</v>
      </c>
      <c r="P336" t="s">
        <v>43</v>
      </c>
      <c r="Q336" t="s">
        <v>162</v>
      </c>
      <c r="R336" t="s">
        <v>162</v>
      </c>
      <c r="S336" t="s">
        <v>82</v>
      </c>
      <c r="T336" t="s">
        <v>416</v>
      </c>
      <c r="U336" t="s">
        <v>44</v>
      </c>
      <c r="V336" t="s">
        <v>43</v>
      </c>
      <c r="W336" t="s">
        <v>126</v>
      </c>
      <c r="X336" t="s">
        <v>43</v>
      </c>
      <c r="Y336" t="s">
        <v>43</v>
      </c>
      <c r="Z336" t="s">
        <v>43</v>
      </c>
      <c r="AA336" t="s">
        <v>43</v>
      </c>
      <c r="AB336" t="s">
        <v>43</v>
      </c>
      <c r="AC336" t="s">
        <v>1213</v>
      </c>
      <c r="AD336" t="s">
        <v>168</v>
      </c>
      <c r="AE336" t="s">
        <v>1214</v>
      </c>
      <c r="AF336" t="s">
        <v>1213</v>
      </c>
      <c r="AG336" t="s">
        <v>1214</v>
      </c>
      <c r="AH336" t="s">
        <v>1165</v>
      </c>
    </row>
    <row r="337" spans="1:34" x14ac:dyDescent="0.25">
      <c r="A337" t="s">
        <v>1215</v>
      </c>
      <c r="B337" t="s">
        <v>411</v>
      </c>
      <c r="C337" t="s">
        <v>137</v>
      </c>
      <c r="D337" t="s">
        <v>141</v>
      </c>
      <c r="E337">
        <v>1</v>
      </c>
      <c r="F337">
        <v>0</v>
      </c>
      <c r="G337" t="s">
        <v>44</v>
      </c>
      <c r="H337" t="s">
        <v>43</v>
      </c>
      <c r="I337" t="s">
        <v>43</v>
      </c>
      <c r="J337" t="s">
        <v>43</v>
      </c>
      <c r="K337" t="s">
        <v>43</v>
      </c>
      <c r="L337" t="s">
        <v>43</v>
      </c>
      <c r="M337" t="s">
        <v>43</v>
      </c>
      <c r="N337" t="s">
        <v>43</v>
      </c>
      <c r="O337" t="s">
        <v>43</v>
      </c>
      <c r="P337" t="s">
        <v>43</v>
      </c>
      <c r="Q337" t="s">
        <v>43</v>
      </c>
      <c r="R337" t="s">
        <v>43</v>
      </c>
      <c r="S337" t="s">
        <v>43</v>
      </c>
      <c r="T337" t="s">
        <v>43</v>
      </c>
      <c r="U337" t="s">
        <v>43</v>
      </c>
      <c r="V337" t="s">
        <v>43</v>
      </c>
      <c r="W337" t="s">
        <v>43</v>
      </c>
      <c r="X337" t="s">
        <v>43</v>
      </c>
      <c r="Y337" t="s">
        <v>43</v>
      </c>
      <c r="Z337" t="s">
        <v>43</v>
      </c>
      <c r="AA337" t="s">
        <v>43</v>
      </c>
      <c r="AB337" t="s">
        <v>43</v>
      </c>
      <c r="AC337" t="s">
        <v>43</v>
      </c>
      <c r="AD337" t="s">
        <v>43</v>
      </c>
      <c r="AE337" t="s">
        <v>43</v>
      </c>
      <c r="AF337" t="s">
        <v>43</v>
      </c>
      <c r="AG337" t="s">
        <v>43</v>
      </c>
      <c r="AH337" t="s">
        <v>1165</v>
      </c>
    </row>
    <row r="338" spans="1:34" x14ac:dyDescent="0.25">
      <c r="A338" t="s">
        <v>1216</v>
      </c>
      <c r="B338" t="s">
        <v>57</v>
      </c>
      <c r="C338" t="s">
        <v>36</v>
      </c>
      <c r="D338" t="s">
        <v>141</v>
      </c>
      <c r="E338">
        <v>1</v>
      </c>
      <c r="F338">
        <v>0</v>
      </c>
      <c r="G338" t="s">
        <v>44</v>
      </c>
      <c r="H338" t="s">
        <v>43</v>
      </c>
      <c r="I338" t="s">
        <v>43</v>
      </c>
      <c r="J338" t="s">
        <v>43</v>
      </c>
      <c r="K338" t="s">
        <v>43</v>
      </c>
      <c r="L338" t="s">
        <v>43</v>
      </c>
      <c r="M338" t="s">
        <v>43</v>
      </c>
      <c r="N338" t="s">
        <v>43</v>
      </c>
      <c r="O338" t="s">
        <v>43</v>
      </c>
      <c r="P338" t="s">
        <v>43</v>
      </c>
      <c r="Q338" t="s">
        <v>43</v>
      </c>
      <c r="R338" t="s">
        <v>43</v>
      </c>
      <c r="S338" t="s">
        <v>43</v>
      </c>
      <c r="T338" t="s">
        <v>43</v>
      </c>
      <c r="U338" t="s">
        <v>43</v>
      </c>
      <c r="V338" t="s">
        <v>43</v>
      </c>
      <c r="W338" t="s">
        <v>43</v>
      </c>
      <c r="X338" t="s">
        <v>43</v>
      </c>
      <c r="Y338" t="s">
        <v>43</v>
      </c>
      <c r="Z338" t="s">
        <v>43</v>
      </c>
      <c r="AA338" t="s">
        <v>43</v>
      </c>
      <c r="AB338" t="s">
        <v>43</v>
      </c>
      <c r="AC338" t="s">
        <v>43</v>
      </c>
      <c r="AD338" t="s">
        <v>43</v>
      </c>
      <c r="AE338" t="s">
        <v>43</v>
      </c>
      <c r="AF338" t="s">
        <v>43</v>
      </c>
      <c r="AG338" t="s">
        <v>43</v>
      </c>
      <c r="AH338" t="s">
        <v>1165</v>
      </c>
    </row>
    <row r="339" spans="1:34" x14ac:dyDescent="0.25">
      <c r="A339" t="s">
        <v>1217</v>
      </c>
      <c r="B339" t="s">
        <v>57</v>
      </c>
      <c r="C339" t="s">
        <v>137</v>
      </c>
      <c r="D339" t="s">
        <v>141</v>
      </c>
      <c r="E339">
        <v>1</v>
      </c>
      <c r="F339">
        <v>0</v>
      </c>
      <c r="G339" t="s">
        <v>44</v>
      </c>
      <c r="H339" t="s">
        <v>43</v>
      </c>
      <c r="I339" t="s">
        <v>43</v>
      </c>
      <c r="J339" t="s">
        <v>43</v>
      </c>
      <c r="K339" t="s">
        <v>43</v>
      </c>
      <c r="L339" t="s">
        <v>43</v>
      </c>
      <c r="M339" t="s">
        <v>43</v>
      </c>
      <c r="N339" t="s">
        <v>43</v>
      </c>
      <c r="O339" t="s">
        <v>43</v>
      </c>
      <c r="P339" t="s">
        <v>43</v>
      </c>
      <c r="Q339" t="s">
        <v>43</v>
      </c>
      <c r="R339" t="s">
        <v>43</v>
      </c>
      <c r="S339" t="s">
        <v>43</v>
      </c>
      <c r="T339" t="s">
        <v>43</v>
      </c>
      <c r="U339" t="s">
        <v>43</v>
      </c>
      <c r="V339" t="s">
        <v>43</v>
      </c>
      <c r="W339" t="s">
        <v>43</v>
      </c>
      <c r="X339" t="s">
        <v>43</v>
      </c>
      <c r="Y339" t="s">
        <v>43</v>
      </c>
      <c r="Z339" t="s">
        <v>43</v>
      </c>
      <c r="AA339" t="s">
        <v>43</v>
      </c>
      <c r="AB339" t="s">
        <v>43</v>
      </c>
      <c r="AC339" t="s">
        <v>43</v>
      </c>
      <c r="AD339" t="s">
        <v>43</v>
      </c>
      <c r="AE339" t="s">
        <v>43</v>
      </c>
      <c r="AF339" t="s">
        <v>43</v>
      </c>
      <c r="AG339" t="s">
        <v>43</v>
      </c>
      <c r="AH339" t="s">
        <v>1165</v>
      </c>
    </row>
    <row r="340" spans="1:34" x14ac:dyDescent="0.25">
      <c r="A340" t="s">
        <v>1218</v>
      </c>
      <c r="B340" t="s">
        <v>262</v>
      </c>
      <c r="C340" t="s">
        <v>524</v>
      </c>
      <c r="D340" t="s">
        <v>140</v>
      </c>
      <c r="E340">
        <v>36</v>
      </c>
      <c r="F340">
        <v>34</v>
      </c>
      <c r="G340" t="s">
        <v>1219</v>
      </c>
      <c r="H340" t="s">
        <v>834</v>
      </c>
      <c r="I340" t="s">
        <v>83</v>
      </c>
      <c r="J340" t="s">
        <v>231</v>
      </c>
      <c r="K340" t="s">
        <v>232</v>
      </c>
      <c r="L340" t="s">
        <v>114</v>
      </c>
      <c r="M340" t="s">
        <v>44</v>
      </c>
      <c r="N340" t="s">
        <v>44</v>
      </c>
      <c r="O340" t="s">
        <v>126</v>
      </c>
      <c r="P340" t="s">
        <v>43</v>
      </c>
      <c r="Q340" t="s">
        <v>590</v>
      </c>
      <c r="R340" t="s">
        <v>290</v>
      </c>
      <c r="S340" t="s">
        <v>787</v>
      </c>
      <c r="T340" t="s">
        <v>1220</v>
      </c>
      <c r="U340" t="s">
        <v>373</v>
      </c>
      <c r="V340" t="s">
        <v>266</v>
      </c>
      <c r="W340" t="s">
        <v>96</v>
      </c>
      <c r="X340" t="s">
        <v>53</v>
      </c>
      <c r="Y340" t="s">
        <v>236</v>
      </c>
      <c r="Z340" t="s">
        <v>112</v>
      </c>
      <c r="AA340" t="s">
        <v>120</v>
      </c>
      <c r="AB340" t="s">
        <v>510</v>
      </c>
      <c r="AC340" t="s">
        <v>194</v>
      </c>
      <c r="AD340" t="s">
        <v>54</v>
      </c>
      <c r="AE340" t="s">
        <v>318</v>
      </c>
      <c r="AF340" t="s">
        <v>205</v>
      </c>
      <c r="AG340" t="s">
        <v>112</v>
      </c>
      <c r="AH340" t="s">
        <v>1221</v>
      </c>
    </row>
    <row r="341" spans="1:34" x14ac:dyDescent="0.25">
      <c r="A341" t="s">
        <v>1222</v>
      </c>
      <c r="B341" t="s">
        <v>57</v>
      </c>
      <c r="C341" t="s">
        <v>108</v>
      </c>
      <c r="D341" t="s">
        <v>304</v>
      </c>
      <c r="E341">
        <v>33</v>
      </c>
      <c r="F341">
        <v>33</v>
      </c>
      <c r="G341" t="s">
        <v>1223</v>
      </c>
      <c r="H341" t="s">
        <v>999</v>
      </c>
      <c r="I341" t="s">
        <v>114</v>
      </c>
      <c r="J341" t="s">
        <v>44</v>
      </c>
      <c r="K341" t="s">
        <v>83</v>
      </c>
      <c r="L341" t="s">
        <v>114</v>
      </c>
      <c r="M341" t="s">
        <v>43</v>
      </c>
      <c r="N341" t="s">
        <v>43</v>
      </c>
      <c r="O341" t="s">
        <v>142</v>
      </c>
      <c r="P341" t="s">
        <v>44</v>
      </c>
      <c r="Q341" t="s">
        <v>188</v>
      </c>
      <c r="R341" t="s">
        <v>188</v>
      </c>
      <c r="S341" t="s">
        <v>398</v>
      </c>
      <c r="T341" t="s">
        <v>83</v>
      </c>
      <c r="U341" t="s">
        <v>109</v>
      </c>
      <c r="V341" t="s">
        <v>339</v>
      </c>
      <c r="W341" t="s">
        <v>90</v>
      </c>
      <c r="X341" t="s">
        <v>120</v>
      </c>
      <c r="Y341" t="s">
        <v>358</v>
      </c>
      <c r="Z341" t="s">
        <v>118</v>
      </c>
      <c r="AA341" t="s">
        <v>120</v>
      </c>
      <c r="AB341" t="s">
        <v>118</v>
      </c>
      <c r="AC341" t="s">
        <v>82</v>
      </c>
      <c r="AD341" t="s">
        <v>358</v>
      </c>
      <c r="AE341" t="s">
        <v>53</v>
      </c>
      <c r="AF341" t="s">
        <v>82</v>
      </c>
      <c r="AG341" t="s">
        <v>53</v>
      </c>
      <c r="AH341" t="s">
        <v>1221</v>
      </c>
    </row>
    <row r="342" spans="1:34" x14ac:dyDescent="0.25">
      <c r="A342" t="s">
        <v>1224</v>
      </c>
      <c r="B342" t="s">
        <v>196</v>
      </c>
      <c r="C342" t="s">
        <v>108</v>
      </c>
      <c r="D342" t="s">
        <v>59</v>
      </c>
      <c r="E342">
        <v>28</v>
      </c>
      <c r="F342">
        <v>26</v>
      </c>
      <c r="G342" t="s">
        <v>1225</v>
      </c>
      <c r="H342" t="s">
        <v>1226</v>
      </c>
      <c r="I342" t="s">
        <v>43</v>
      </c>
      <c r="J342" t="s">
        <v>43</v>
      </c>
      <c r="K342" t="s">
        <v>43</v>
      </c>
      <c r="L342" t="s">
        <v>43</v>
      </c>
      <c r="M342" t="s">
        <v>43</v>
      </c>
      <c r="N342" t="s">
        <v>43</v>
      </c>
      <c r="O342" t="s">
        <v>83</v>
      </c>
      <c r="P342" t="s">
        <v>43</v>
      </c>
      <c r="Q342" t="s">
        <v>200</v>
      </c>
      <c r="R342" t="s">
        <v>200</v>
      </c>
      <c r="S342" t="s">
        <v>398</v>
      </c>
      <c r="T342" t="s">
        <v>246</v>
      </c>
      <c r="U342" t="s">
        <v>268</v>
      </c>
      <c r="V342" t="s">
        <v>311</v>
      </c>
      <c r="W342" t="s">
        <v>142</v>
      </c>
      <c r="X342" t="s">
        <v>43</v>
      </c>
      <c r="Y342" t="s">
        <v>43</v>
      </c>
      <c r="Z342" t="s">
        <v>43</v>
      </c>
      <c r="AA342" t="s">
        <v>43</v>
      </c>
      <c r="AB342" t="s">
        <v>43</v>
      </c>
      <c r="AC342" t="s">
        <v>168</v>
      </c>
      <c r="AD342" t="s">
        <v>358</v>
      </c>
      <c r="AE342" t="s">
        <v>242</v>
      </c>
      <c r="AF342" t="s">
        <v>168</v>
      </c>
      <c r="AG342" t="s">
        <v>242</v>
      </c>
      <c r="AH342" t="s">
        <v>1221</v>
      </c>
    </row>
    <row r="343" spans="1:34" x14ac:dyDescent="0.25">
      <c r="A343" t="s">
        <v>1227</v>
      </c>
      <c r="B343" t="s">
        <v>891</v>
      </c>
      <c r="C343" t="s">
        <v>137</v>
      </c>
      <c r="D343" t="s">
        <v>185</v>
      </c>
      <c r="E343">
        <v>31</v>
      </c>
      <c r="F343">
        <v>25</v>
      </c>
      <c r="G343" t="s">
        <v>1228</v>
      </c>
      <c r="H343" t="s">
        <v>1229</v>
      </c>
      <c r="I343" t="s">
        <v>126</v>
      </c>
      <c r="J343" t="s">
        <v>44</v>
      </c>
      <c r="K343" t="s">
        <v>142</v>
      </c>
      <c r="L343" t="s">
        <v>126</v>
      </c>
      <c r="M343" t="s">
        <v>43</v>
      </c>
      <c r="N343" t="s">
        <v>43</v>
      </c>
      <c r="O343" t="s">
        <v>114</v>
      </c>
      <c r="P343" t="s">
        <v>43</v>
      </c>
      <c r="Q343" t="s">
        <v>145</v>
      </c>
      <c r="R343" t="s">
        <v>145</v>
      </c>
      <c r="S343" t="s">
        <v>128</v>
      </c>
      <c r="T343" t="s">
        <v>40</v>
      </c>
      <c r="U343" t="s">
        <v>234</v>
      </c>
      <c r="V343" t="s">
        <v>248</v>
      </c>
      <c r="W343" t="s">
        <v>442</v>
      </c>
      <c r="X343" t="s">
        <v>54</v>
      </c>
      <c r="Y343" t="s">
        <v>193</v>
      </c>
      <c r="Z343" t="s">
        <v>51</v>
      </c>
      <c r="AA343" t="s">
        <v>54</v>
      </c>
      <c r="AB343" t="s">
        <v>51</v>
      </c>
      <c r="AC343" t="s">
        <v>215</v>
      </c>
      <c r="AD343" t="s">
        <v>156</v>
      </c>
      <c r="AE343" t="s">
        <v>466</v>
      </c>
      <c r="AF343" t="s">
        <v>215</v>
      </c>
      <c r="AG343" t="s">
        <v>466</v>
      </c>
      <c r="AH343" t="s">
        <v>1221</v>
      </c>
    </row>
    <row r="344" spans="1:34" x14ac:dyDescent="0.25">
      <c r="A344" t="s">
        <v>1230</v>
      </c>
      <c r="B344" t="s">
        <v>360</v>
      </c>
      <c r="C344" t="s">
        <v>36</v>
      </c>
      <c r="D344" t="s">
        <v>272</v>
      </c>
      <c r="E344">
        <v>30</v>
      </c>
      <c r="F344">
        <v>24</v>
      </c>
      <c r="G344" t="s">
        <v>1231</v>
      </c>
      <c r="H344" t="s">
        <v>1232</v>
      </c>
      <c r="I344" t="s">
        <v>43</v>
      </c>
      <c r="J344" t="s">
        <v>44</v>
      </c>
      <c r="K344" t="s">
        <v>44</v>
      </c>
      <c r="L344" t="s">
        <v>43</v>
      </c>
      <c r="M344" t="s">
        <v>43</v>
      </c>
      <c r="N344" t="s">
        <v>43</v>
      </c>
      <c r="O344" t="s">
        <v>40</v>
      </c>
      <c r="P344" t="s">
        <v>44</v>
      </c>
      <c r="Q344" t="s">
        <v>44</v>
      </c>
      <c r="R344" t="s">
        <v>44</v>
      </c>
      <c r="S344" t="s">
        <v>63</v>
      </c>
      <c r="T344" t="s">
        <v>114</v>
      </c>
      <c r="U344" t="s">
        <v>399</v>
      </c>
      <c r="V344" t="s">
        <v>1233</v>
      </c>
      <c r="W344" t="s">
        <v>109</v>
      </c>
      <c r="X344" t="s">
        <v>43</v>
      </c>
      <c r="Y344" t="s">
        <v>193</v>
      </c>
      <c r="Z344" t="s">
        <v>193</v>
      </c>
      <c r="AA344" t="s">
        <v>43</v>
      </c>
      <c r="AB344" t="s">
        <v>193</v>
      </c>
      <c r="AC344" t="s">
        <v>193</v>
      </c>
      <c r="AD344" t="s">
        <v>120</v>
      </c>
      <c r="AE344" t="s">
        <v>118</v>
      </c>
      <c r="AF344" t="s">
        <v>193</v>
      </c>
      <c r="AG344" t="s">
        <v>118</v>
      </c>
      <c r="AH344" t="s">
        <v>1221</v>
      </c>
    </row>
    <row r="345" spans="1:34" x14ac:dyDescent="0.25">
      <c r="A345" t="s">
        <v>1234</v>
      </c>
      <c r="B345" t="s">
        <v>196</v>
      </c>
      <c r="C345" t="s">
        <v>77</v>
      </c>
      <c r="D345" t="s">
        <v>141</v>
      </c>
      <c r="E345">
        <v>21</v>
      </c>
      <c r="F345">
        <v>21</v>
      </c>
      <c r="G345" t="s">
        <v>1235</v>
      </c>
      <c r="H345" t="s">
        <v>185</v>
      </c>
      <c r="I345" t="s">
        <v>43</v>
      </c>
      <c r="J345" t="s">
        <v>43</v>
      </c>
      <c r="K345" t="s">
        <v>43</v>
      </c>
      <c r="L345" t="s">
        <v>43</v>
      </c>
      <c r="M345" t="s">
        <v>43</v>
      </c>
      <c r="N345" t="s">
        <v>43</v>
      </c>
      <c r="O345" t="s">
        <v>114</v>
      </c>
      <c r="P345" t="s">
        <v>43</v>
      </c>
      <c r="Q345" t="s">
        <v>43</v>
      </c>
      <c r="R345" t="s">
        <v>43</v>
      </c>
      <c r="S345" t="s">
        <v>43</v>
      </c>
      <c r="T345" t="s">
        <v>43</v>
      </c>
      <c r="U345" t="s">
        <v>43</v>
      </c>
      <c r="V345" t="s">
        <v>114</v>
      </c>
      <c r="W345" t="s">
        <v>43</v>
      </c>
      <c r="X345" t="s">
        <v>43</v>
      </c>
      <c r="Y345" t="s">
        <v>43</v>
      </c>
      <c r="Z345" t="s">
        <v>43</v>
      </c>
      <c r="AA345" t="s">
        <v>43</v>
      </c>
      <c r="AB345" t="s">
        <v>43</v>
      </c>
      <c r="AC345" t="s">
        <v>43</v>
      </c>
      <c r="AD345" t="s">
        <v>43</v>
      </c>
      <c r="AE345" t="s">
        <v>43</v>
      </c>
      <c r="AF345" t="s">
        <v>43</v>
      </c>
      <c r="AG345" t="s">
        <v>43</v>
      </c>
      <c r="AH345" t="s">
        <v>1221</v>
      </c>
    </row>
    <row r="346" spans="1:34" x14ac:dyDescent="0.25">
      <c r="A346" t="s">
        <v>1236</v>
      </c>
      <c r="B346" t="s">
        <v>57</v>
      </c>
      <c r="C346" t="s">
        <v>58</v>
      </c>
      <c r="D346" t="s">
        <v>140</v>
      </c>
      <c r="E346">
        <v>29</v>
      </c>
      <c r="F346">
        <v>21</v>
      </c>
      <c r="G346" t="s">
        <v>361</v>
      </c>
      <c r="H346" t="s">
        <v>362</v>
      </c>
      <c r="I346" t="s">
        <v>81</v>
      </c>
      <c r="J346" t="s">
        <v>44</v>
      </c>
      <c r="K346" t="s">
        <v>126</v>
      </c>
      <c r="L346" t="s">
        <v>81</v>
      </c>
      <c r="M346" t="s">
        <v>43</v>
      </c>
      <c r="N346" t="s">
        <v>43</v>
      </c>
      <c r="O346" t="s">
        <v>83</v>
      </c>
      <c r="P346" t="s">
        <v>43</v>
      </c>
      <c r="Q346" t="s">
        <v>387</v>
      </c>
      <c r="R346" t="s">
        <v>387</v>
      </c>
      <c r="S346" t="s">
        <v>164</v>
      </c>
      <c r="T346" t="s">
        <v>142</v>
      </c>
      <c r="U346" t="s">
        <v>140</v>
      </c>
      <c r="V346" t="s">
        <v>298</v>
      </c>
      <c r="W346" t="s">
        <v>226</v>
      </c>
      <c r="X346" t="s">
        <v>98</v>
      </c>
      <c r="Y346" t="s">
        <v>168</v>
      </c>
      <c r="Z346" t="s">
        <v>466</v>
      </c>
      <c r="AA346" t="s">
        <v>98</v>
      </c>
      <c r="AB346" t="s">
        <v>466</v>
      </c>
      <c r="AC346" t="s">
        <v>51</v>
      </c>
      <c r="AD346" t="s">
        <v>120</v>
      </c>
      <c r="AE346" t="s">
        <v>97</v>
      </c>
      <c r="AF346" t="s">
        <v>51</v>
      </c>
      <c r="AG346" t="s">
        <v>97</v>
      </c>
      <c r="AH346" t="s">
        <v>1221</v>
      </c>
    </row>
    <row r="347" spans="1:34" x14ac:dyDescent="0.25">
      <c r="A347" t="s">
        <v>1237</v>
      </c>
      <c r="B347" t="s">
        <v>76</v>
      </c>
      <c r="C347" t="s">
        <v>58</v>
      </c>
      <c r="D347" t="s">
        <v>185</v>
      </c>
      <c r="E347">
        <v>31</v>
      </c>
      <c r="F347">
        <v>19</v>
      </c>
      <c r="G347" t="s">
        <v>1238</v>
      </c>
      <c r="H347" t="s">
        <v>198</v>
      </c>
      <c r="I347" t="s">
        <v>41</v>
      </c>
      <c r="J347" t="s">
        <v>114</v>
      </c>
      <c r="K347" t="s">
        <v>276</v>
      </c>
      <c r="L347" t="s">
        <v>81</v>
      </c>
      <c r="M347" t="s">
        <v>83</v>
      </c>
      <c r="N347" t="s">
        <v>81</v>
      </c>
      <c r="O347" t="s">
        <v>63</v>
      </c>
      <c r="P347" t="s">
        <v>43</v>
      </c>
      <c r="Q347" t="s">
        <v>289</v>
      </c>
      <c r="R347" t="s">
        <v>497</v>
      </c>
      <c r="S347" t="s">
        <v>455</v>
      </c>
      <c r="T347" t="s">
        <v>615</v>
      </c>
      <c r="U347" t="s">
        <v>373</v>
      </c>
      <c r="V347" t="s">
        <v>606</v>
      </c>
      <c r="W347" t="s">
        <v>331</v>
      </c>
      <c r="X347" t="s">
        <v>112</v>
      </c>
      <c r="Y347" t="s">
        <v>118</v>
      </c>
      <c r="Z347" t="s">
        <v>711</v>
      </c>
      <c r="AA347" t="s">
        <v>103</v>
      </c>
      <c r="AB347" t="s">
        <v>301</v>
      </c>
      <c r="AC347" t="s">
        <v>711</v>
      </c>
      <c r="AD347" t="s">
        <v>215</v>
      </c>
      <c r="AE347" t="s">
        <v>1157</v>
      </c>
      <c r="AF347" t="s">
        <v>301</v>
      </c>
      <c r="AG347" t="s">
        <v>617</v>
      </c>
      <c r="AH347" t="s">
        <v>1221</v>
      </c>
    </row>
    <row r="348" spans="1:34" x14ac:dyDescent="0.25">
      <c r="A348" t="s">
        <v>1239</v>
      </c>
      <c r="B348" t="s">
        <v>76</v>
      </c>
      <c r="C348" t="s">
        <v>108</v>
      </c>
      <c r="D348" t="s">
        <v>268</v>
      </c>
      <c r="E348">
        <v>24</v>
      </c>
      <c r="F348">
        <v>17</v>
      </c>
      <c r="G348" t="s">
        <v>1240</v>
      </c>
      <c r="H348" t="s">
        <v>561</v>
      </c>
      <c r="I348" t="s">
        <v>43</v>
      </c>
      <c r="J348" t="s">
        <v>43</v>
      </c>
      <c r="K348" t="s">
        <v>43</v>
      </c>
      <c r="L348" t="s">
        <v>43</v>
      </c>
      <c r="M348" t="s">
        <v>43</v>
      </c>
      <c r="N348" t="s">
        <v>43</v>
      </c>
      <c r="O348" t="s">
        <v>83</v>
      </c>
      <c r="P348" t="s">
        <v>43</v>
      </c>
      <c r="Q348" t="s">
        <v>163</v>
      </c>
      <c r="R348" t="s">
        <v>163</v>
      </c>
      <c r="S348" t="s">
        <v>378</v>
      </c>
      <c r="T348" t="s">
        <v>44</v>
      </c>
      <c r="U348" t="s">
        <v>263</v>
      </c>
      <c r="V348" t="s">
        <v>1195</v>
      </c>
      <c r="W348" t="s">
        <v>276</v>
      </c>
      <c r="X348" t="s">
        <v>43</v>
      </c>
      <c r="Y348" t="s">
        <v>43</v>
      </c>
      <c r="Z348" t="s">
        <v>43</v>
      </c>
      <c r="AA348" t="s">
        <v>43</v>
      </c>
      <c r="AB348" t="s">
        <v>43</v>
      </c>
      <c r="AC348" t="s">
        <v>182</v>
      </c>
      <c r="AD348" t="s">
        <v>193</v>
      </c>
      <c r="AE348" t="s">
        <v>168</v>
      </c>
      <c r="AF348" t="s">
        <v>182</v>
      </c>
      <c r="AG348" t="s">
        <v>168</v>
      </c>
      <c r="AH348" t="s">
        <v>1221</v>
      </c>
    </row>
    <row r="349" spans="1:34" x14ac:dyDescent="0.25">
      <c r="A349" t="s">
        <v>1241</v>
      </c>
      <c r="B349" t="s">
        <v>196</v>
      </c>
      <c r="C349" t="s">
        <v>108</v>
      </c>
      <c r="D349" t="s">
        <v>304</v>
      </c>
      <c r="E349">
        <v>27</v>
      </c>
      <c r="F349">
        <v>17</v>
      </c>
      <c r="G349" t="s">
        <v>1242</v>
      </c>
      <c r="H349" t="s">
        <v>1243</v>
      </c>
      <c r="I349" t="s">
        <v>44</v>
      </c>
      <c r="J349" t="s">
        <v>44</v>
      </c>
      <c r="K349" t="s">
        <v>63</v>
      </c>
      <c r="L349" t="s">
        <v>44</v>
      </c>
      <c r="M349" t="s">
        <v>43</v>
      </c>
      <c r="N349" t="s">
        <v>43</v>
      </c>
      <c r="O349" t="s">
        <v>83</v>
      </c>
      <c r="P349" t="s">
        <v>43</v>
      </c>
      <c r="Q349" t="s">
        <v>112</v>
      </c>
      <c r="R349" t="s">
        <v>112</v>
      </c>
      <c r="S349" t="s">
        <v>176</v>
      </c>
      <c r="T349" t="s">
        <v>398</v>
      </c>
      <c r="U349" t="s">
        <v>201</v>
      </c>
      <c r="V349" t="s">
        <v>1244</v>
      </c>
      <c r="W349" t="s">
        <v>346</v>
      </c>
      <c r="X349" t="s">
        <v>169</v>
      </c>
      <c r="Y349" t="s">
        <v>169</v>
      </c>
      <c r="Z349" t="s">
        <v>204</v>
      </c>
      <c r="AA349" t="s">
        <v>169</v>
      </c>
      <c r="AB349" t="s">
        <v>204</v>
      </c>
      <c r="AC349" t="s">
        <v>182</v>
      </c>
      <c r="AD349" t="s">
        <v>358</v>
      </c>
      <c r="AE349" t="s">
        <v>168</v>
      </c>
      <c r="AF349" t="s">
        <v>182</v>
      </c>
      <c r="AG349" t="s">
        <v>168</v>
      </c>
      <c r="AH349" t="s">
        <v>1221</v>
      </c>
    </row>
    <row r="350" spans="1:34" x14ac:dyDescent="0.25">
      <c r="A350" t="s">
        <v>1245</v>
      </c>
      <c r="B350" t="s">
        <v>57</v>
      </c>
      <c r="C350" t="s">
        <v>77</v>
      </c>
      <c r="D350" t="s">
        <v>140</v>
      </c>
      <c r="E350">
        <v>17</v>
      </c>
      <c r="F350">
        <v>17</v>
      </c>
      <c r="G350" t="s">
        <v>1246</v>
      </c>
      <c r="H350" t="s">
        <v>42</v>
      </c>
      <c r="I350" t="s">
        <v>43</v>
      </c>
      <c r="J350" t="s">
        <v>43</v>
      </c>
      <c r="K350" t="s">
        <v>43</v>
      </c>
      <c r="L350" t="s">
        <v>43</v>
      </c>
      <c r="M350" t="s">
        <v>43</v>
      </c>
      <c r="N350" t="s">
        <v>43</v>
      </c>
      <c r="O350" t="s">
        <v>43</v>
      </c>
      <c r="P350" t="s">
        <v>43</v>
      </c>
      <c r="Q350" t="s">
        <v>43</v>
      </c>
      <c r="R350" t="s">
        <v>43</v>
      </c>
      <c r="S350" t="s">
        <v>43</v>
      </c>
      <c r="T350" t="s">
        <v>43</v>
      </c>
      <c r="U350" t="s">
        <v>43</v>
      </c>
      <c r="V350" t="s">
        <v>43</v>
      </c>
      <c r="W350" t="s">
        <v>43</v>
      </c>
      <c r="X350" t="s">
        <v>43</v>
      </c>
      <c r="Y350" t="s">
        <v>43</v>
      </c>
      <c r="Z350" t="s">
        <v>43</v>
      </c>
      <c r="AA350" t="s">
        <v>43</v>
      </c>
      <c r="AB350" t="s">
        <v>43</v>
      </c>
      <c r="AC350" t="s">
        <v>43</v>
      </c>
      <c r="AD350" t="s">
        <v>43</v>
      </c>
      <c r="AE350" t="s">
        <v>43</v>
      </c>
      <c r="AF350" t="s">
        <v>43</v>
      </c>
      <c r="AG350" t="s">
        <v>43</v>
      </c>
      <c r="AH350" t="s">
        <v>1221</v>
      </c>
    </row>
    <row r="351" spans="1:34" x14ac:dyDescent="0.25">
      <c r="A351" t="s">
        <v>1247</v>
      </c>
      <c r="B351" t="s">
        <v>85</v>
      </c>
      <c r="C351" t="s">
        <v>58</v>
      </c>
      <c r="D351" t="s">
        <v>203</v>
      </c>
      <c r="E351">
        <v>27</v>
      </c>
      <c r="F351">
        <v>17</v>
      </c>
      <c r="G351" t="s">
        <v>1248</v>
      </c>
      <c r="H351" t="s">
        <v>1249</v>
      </c>
      <c r="I351" t="s">
        <v>114</v>
      </c>
      <c r="J351" t="s">
        <v>44</v>
      </c>
      <c r="K351" t="s">
        <v>83</v>
      </c>
      <c r="L351" t="s">
        <v>114</v>
      </c>
      <c r="M351" t="s">
        <v>43</v>
      </c>
      <c r="N351" t="s">
        <v>43</v>
      </c>
      <c r="O351" t="s">
        <v>142</v>
      </c>
      <c r="P351" t="s">
        <v>43</v>
      </c>
      <c r="Q351" t="s">
        <v>177</v>
      </c>
      <c r="R351" t="s">
        <v>177</v>
      </c>
      <c r="S351" t="s">
        <v>255</v>
      </c>
      <c r="T351" t="s">
        <v>547</v>
      </c>
      <c r="U351" t="s">
        <v>59</v>
      </c>
      <c r="V351" t="s">
        <v>506</v>
      </c>
      <c r="W351" t="s">
        <v>963</v>
      </c>
      <c r="X351" t="s">
        <v>241</v>
      </c>
      <c r="Y351" t="s">
        <v>181</v>
      </c>
      <c r="Z351" t="s">
        <v>73</v>
      </c>
      <c r="AA351" t="s">
        <v>241</v>
      </c>
      <c r="AB351" t="s">
        <v>73</v>
      </c>
      <c r="AC351" t="s">
        <v>205</v>
      </c>
      <c r="AD351" t="s">
        <v>53</v>
      </c>
      <c r="AE351" t="s">
        <v>51</v>
      </c>
      <c r="AF351" t="s">
        <v>205</v>
      </c>
      <c r="AG351" t="s">
        <v>51</v>
      </c>
      <c r="AH351" t="s">
        <v>1221</v>
      </c>
    </row>
    <row r="352" spans="1:34" x14ac:dyDescent="0.25">
      <c r="A352" t="s">
        <v>1250</v>
      </c>
      <c r="B352" t="s">
        <v>354</v>
      </c>
      <c r="C352" t="s">
        <v>137</v>
      </c>
      <c r="D352" t="s">
        <v>148</v>
      </c>
      <c r="E352">
        <v>19</v>
      </c>
      <c r="F352">
        <v>15</v>
      </c>
      <c r="G352" t="s">
        <v>1251</v>
      </c>
      <c r="H352" t="s">
        <v>1150</v>
      </c>
      <c r="I352" t="s">
        <v>114</v>
      </c>
      <c r="J352" t="s">
        <v>83</v>
      </c>
      <c r="K352" t="s">
        <v>142</v>
      </c>
      <c r="L352" t="s">
        <v>114</v>
      </c>
      <c r="M352" t="s">
        <v>43</v>
      </c>
      <c r="N352" t="s">
        <v>43</v>
      </c>
      <c r="O352" t="s">
        <v>83</v>
      </c>
      <c r="P352" t="s">
        <v>43</v>
      </c>
      <c r="Q352" t="s">
        <v>406</v>
      </c>
      <c r="R352" t="s">
        <v>406</v>
      </c>
      <c r="S352" t="s">
        <v>405</v>
      </c>
      <c r="T352" t="s">
        <v>407</v>
      </c>
      <c r="U352" t="s">
        <v>1252</v>
      </c>
      <c r="V352" t="s">
        <v>94</v>
      </c>
      <c r="W352" t="s">
        <v>1253</v>
      </c>
      <c r="X352" t="s">
        <v>151</v>
      </c>
      <c r="Y352" t="s">
        <v>54</v>
      </c>
      <c r="Z352" t="s">
        <v>318</v>
      </c>
      <c r="AA352" t="s">
        <v>151</v>
      </c>
      <c r="AB352" t="s">
        <v>318</v>
      </c>
      <c r="AC352" t="s">
        <v>134</v>
      </c>
      <c r="AD352" t="s">
        <v>205</v>
      </c>
      <c r="AE352" t="s">
        <v>97</v>
      </c>
      <c r="AF352" t="s">
        <v>134</v>
      </c>
      <c r="AG352" t="s">
        <v>97</v>
      </c>
      <c r="AH352" t="s">
        <v>1221</v>
      </c>
    </row>
    <row r="353" spans="1:34" x14ac:dyDescent="0.25">
      <c r="A353" t="s">
        <v>1254</v>
      </c>
      <c r="B353" t="s">
        <v>411</v>
      </c>
      <c r="C353" t="s">
        <v>137</v>
      </c>
      <c r="D353" t="s">
        <v>203</v>
      </c>
      <c r="E353">
        <v>27</v>
      </c>
      <c r="F353">
        <v>15</v>
      </c>
      <c r="G353" t="s">
        <v>1255</v>
      </c>
      <c r="H353" t="s">
        <v>1249</v>
      </c>
      <c r="I353" t="s">
        <v>126</v>
      </c>
      <c r="J353" t="s">
        <v>43</v>
      </c>
      <c r="K353" t="s">
        <v>126</v>
      </c>
      <c r="L353" t="s">
        <v>126</v>
      </c>
      <c r="M353" t="s">
        <v>43</v>
      </c>
      <c r="N353" t="s">
        <v>43</v>
      </c>
      <c r="O353" t="s">
        <v>44</v>
      </c>
      <c r="P353" t="s">
        <v>43</v>
      </c>
      <c r="Q353" t="s">
        <v>210</v>
      </c>
      <c r="R353" t="s">
        <v>210</v>
      </c>
      <c r="S353" t="s">
        <v>176</v>
      </c>
      <c r="T353" t="s">
        <v>841</v>
      </c>
      <c r="U353" t="s">
        <v>90</v>
      </c>
      <c r="V353" t="s">
        <v>127</v>
      </c>
      <c r="W353" t="s">
        <v>541</v>
      </c>
      <c r="X353" t="s">
        <v>112</v>
      </c>
      <c r="Y353" t="s">
        <v>43</v>
      </c>
      <c r="Z353" t="s">
        <v>112</v>
      </c>
      <c r="AA353" t="s">
        <v>112</v>
      </c>
      <c r="AB353" t="s">
        <v>112</v>
      </c>
      <c r="AC353" t="s">
        <v>163</v>
      </c>
      <c r="AD353" t="s">
        <v>193</v>
      </c>
      <c r="AE353" t="s">
        <v>616</v>
      </c>
      <c r="AF353" t="s">
        <v>163</v>
      </c>
      <c r="AG353" t="s">
        <v>616</v>
      </c>
      <c r="AH353" t="s">
        <v>1221</v>
      </c>
    </row>
    <row r="354" spans="1:34" x14ac:dyDescent="0.25">
      <c r="A354" t="s">
        <v>1256</v>
      </c>
      <c r="B354" t="s">
        <v>418</v>
      </c>
      <c r="C354" t="s">
        <v>36</v>
      </c>
      <c r="D354" t="s">
        <v>62</v>
      </c>
      <c r="E354">
        <v>27</v>
      </c>
      <c r="F354">
        <v>15</v>
      </c>
      <c r="G354" t="s">
        <v>1147</v>
      </c>
      <c r="H354" t="s">
        <v>870</v>
      </c>
      <c r="I354" t="s">
        <v>43</v>
      </c>
      <c r="J354" t="s">
        <v>43</v>
      </c>
      <c r="K354" t="s">
        <v>43</v>
      </c>
      <c r="L354" t="s">
        <v>43</v>
      </c>
      <c r="M354" t="s">
        <v>43</v>
      </c>
      <c r="N354" t="s">
        <v>43</v>
      </c>
      <c r="O354" t="s">
        <v>142</v>
      </c>
      <c r="P354" t="s">
        <v>43</v>
      </c>
      <c r="Q354" t="s">
        <v>259</v>
      </c>
      <c r="R354" t="s">
        <v>259</v>
      </c>
      <c r="S354" t="s">
        <v>163</v>
      </c>
      <c r="T354" t="s">
        <v>254</v>
      </c>
      <c r="U354" t="s">
        <v>62</v>
      </c>
      <c r="V354" t="s">
        <v>248</v>
      </c>
      <c r="W354" t="s">
        <v>41</v>
      </c>
      <c r="X354" t="s">
        <v>43</v>
      </c>
      <c r="Y354" t="s">
        <v>43</v>
      </c>
      <c r="Z354" t="s">
        <v>43</v>
      </c>
      <c r="AA354" t="s">
        <v>43</v>
      </c>
      <c r="AB354" t="s">
        <v>43</v>
      </c>
      <c r="AC354" t="s">
        <v>169</v>
      </c>
      <c r="AD354" t="s">
        <v>182</v>
      </c>
      <c r="AE354" t="s">
        <v>242</v>
      </c>
      <c r="AF354" t="s">
        <v>169</v>
      </c>
      <c r="AG354" t="s">
        <v>242</v>
      </c>
      <c r="AH354" t="s">
        <v>1221</v>
      </c>
    </row>
    <row r="355" spans="1:34" x14ac:dyDescent="0.25">
      <c r="A355" t="s">
        <v>1257</v>
      </c>
      <c r="B355" t="s">
        <v>551</v>
      </c>
      <c r="C355" t="s">
        <v>108</v>
      </c>
      <c r="D355" t="s">
        <v>268</v>
      </c>
      <c r="E355">
        <v>19</v>
      </c>
      <c r="F355">
        <v>15</v>
      </c>
      <c r="G355" t="s">
        <v>1258</v>
      </c>
      <c r="H355" t="s">
        <v>1220</v>
      </c>
      <c r="I355" t="s">
        <v>63</v>
      </c>
      <c r="J355" t="s">
        <v>114</v>
      </c>
      <c r="K355" t="s">
        <v>81</v>
      </c>
      <c r="L355" t="s">
        <v>63</v>
      </c>
      <c r="M355" t="s">
        <v>43</v>
      </c>
      <c r="N355" t="s">
        <v>43</v>
      </c>
      <c r="O355" t="s">
        <v>83</v>
      </c>
      <c r="P355" t="s">
        <v>43</v>
      </c>
      <c r="Q355" t="s">
        <v>44</v>
      </c>
      <c r="R355" t="s">
        <v>44</v>
      </c>
      <c r="S355" t="s">
        <v>406</v>
      </c>
      <c r="T355" t="s">
        <v>283</v>
      </c>
      <c r="U355" t="s">
        <v>233</v>
      </c>
      <c r="V355" t="s">
        <v>373</v>
      </c>
      <c r="W355" t="s">
        <v>383</v>
      </c>
      <c r="X355" t="s">
        <v>218</v>
      </c>
      <c r="Y355" t="s">
        <v>103</v>
      </c>
      <c r="Z355" t="s">
        <v>250</v>
      </c>
      <c r="AA355" t="s">
        <v>218</v>
      </c>
      <c r="AB355" t="s">
        <v>250</v>
      </c>
      <c r="AC355" t="s">
        <v>181</v>
      </c>
      <c r="AD355" t="s">
        <v>50</v>
      </c>
      <c r="AE355" t="s">
        <v>466</v>
      </c>
      <c r="AF355" t="s">
        <v>181</v>
      </c>
      <c r="AG355" t="s">
        <v>466</v>
      </c>
      <c r="AH355" t="s">
        <v>1221</v>
      </c>
    </row>
    <row r="356" spans="1:34" x14ac:dyDescent="0.25">
      <c r="A356" t="s">
        <v>1259</v>
      </c>
      <c r="B356" t="s">
        <v>57</v>
      </c>
      <c r="C356" t="s">
        <v>108</v>
      </c>
      <c r="D356" t="s">
        <v>123</v>
      </c>
      <c r="E356">
        <v>15</v>
      </c>
      <c r="F356">
        <v>13</v>
      </c>
      <c r="G356" t="s">
        <v>1260</v>
      </c>
      <c r="H356" t="s">
        <v>386</v>
      </c>
      <c r="I356" t="s">
        <v>43</v>
      </c>
      <c r="J356" t="s">
        <v>43</v>
      </c>
      <c r="K356" t="s">
        <v>43</v>
      </c>
      <c r="L356" t="s">
        <v>43</v>
      </c>
      <c r="M356" t="s">
        <v>43</v>
      </c>
      <c r="N356" t="s">
        <v>43</v>
      </c>
      <c r="O356" t="s">
        <v>63</v>
      </c>
      <c r="P356" t="s">
        <v>43</v>
      </c>
      <c r="Q356" t="s">
        <v>112</v>
      </c>
      <c r="R356" t="s">
        <v>112</v>
      </c>
      <c r="S356" t="s">
        <v>82</v>
      </c>
      <c r="T356" t="s">
        <v>70</v>
      </c>
      <c r="U356" t="s">
        <v>167</v>
      </c>
      <c r="V356" t="s">
        <v>1017</v>
      </c>
      <c r="W356" t="s">
        <v>63</v>
      </c>
      <c r="X356" t="s">
        <v>43</v>
      </c>
      <c r="Y356" t="s">
        <v>43</v>
      </c>
      <c r="Z356" t="s">
        <v>43</v>
      </c>
      <c r="AA356" t="s">
        <v>43</v>
      </c>
      <c r="AB356" t="s">
        <v>43</v>
      </c>
      <c r="AC356" t="s">
        <v>358</v>
      </c>
      <c r="AD356" t="s">
        <v>119</v>
      </c>
      <c r="AE356" t="s">
        <v>168</v>
      </c>
      <c r="AF356" t="s">
        <v>358</v>
      </c>
      <c r="AG356" t="s">
        <v>168</v>
      </c>
      <c r="AH356" t="s">
        <v>1221</v>
      </c>
    </row>
    <row r="357" spans="1:34" x14ac:dyDescent="0.25">
      <c r="A357" t="s">
        <v>1261</v>
      </c>
      <c r="B357" t="s">
        <v>57</v>
      </c>
      <c r="C357" t="s">
        <v>86</v>
      </c>
      <c r="D357" t="s">
        <v>147</v>
      </c>
      <c r="E357">
        <v>25</v>
      </c>
      <c r="F357">
        <v>13</v>
      </c>
      <c r="G357" t="s">
        <v>1262</v>
      </c>
      <c r="H357" t="s">
        <v>662</v>
      </c>
      <c r="I357" t="s">
        <v>43</v>
      </c>
      <c r="J357" t="s">
        <v>44</v>
      </c>
      <c r="K357" t="s">
        <v>44</v>
      </c>
      <c r="L357" t="s">
        <v>43</v>
      </c>
      <c r="M357" t="s">
        <v>43</v>
      </c>
      <c r="N357" t="s">
        <v>43</v>
      </c>
      <c r="O357" t="s">
        <v>63</v>
      </c>
      <c r="P357" t="s">
        <v>43</v>
      </c>
      <c r="Q357" t="s">
        <v>259</v>
      </c>
      <c r="R357" t="s">
        <v>259</v>
      </c>
      <c r="S357" t="s">
        <v>164</v>
      </c>
      <c r="T357" t="s">
        <v>199</v>
      </c>
      <c r="U357" t="s">
        <v>41</v>
      </c>
      <c r="V357" t="s">
        <v>399</v>
      </c>
      <c r="W357" t="s">
        <v>49</v>
      </c>
      <c r="X357" t="s">
        <v>43</v>
      </c>
      <c r="Y357" t="s">
        <v>204</v>
      </c>
      <c r="Z357" t="s">
        <v>204</v>
      </c>
      <c r="AA357" t="s">
        <v>43</v>
      </c>
      <c r="AB357" t="s">
        <v>204</v>
      </c>
      <c r="AC357" t="s">
        <v>120</v>
      </c>
      <c r="AD357" t="s">
        <v>151</v>
      </c>
      <c r="AE357" t="s">
        <v>98</v>
      </c>
      <c r="AF357" t="s">
        <v>120</v>
      </c>
      <c r="AG357" t="s">
        <v>98</v>
      </c>
      <c r="AH357" t="s">
        <v>1221</v>
      </c>
    </row>
    <row r="358" spans="1:34" x14ac:dyDescent="0.25">
      <c r="A358" t="s">
        <v>1263</v>
      </c>
      <c r="B358" t="s">
        <v>57</v>
      </c>
      <c r="C358" t="s">
        <v>172</v>
      </c>
      <c r="D358" t="s">
        <v>225</v>
      </c>
      <c r="E358">
        <v>15</v>
      </c>
      <c r="F358">
        <v>11</v>
      </c>
      <c r="G358" t="s">
        <v>1264</v>
      </c>
      <c r="H358" t="s">
        <v>388</v>
      </c>
      <c r="I358" t="s">
        <v>43</v>
      </c>
      <c r="J358" t="s">
        <v>63</v>
      </c>
      <c r="K358" t="s">
        <v>63</v>
      </c>
      <c r="L358" t="s">
        <v>43</v>
      </c>
      <c r="M358" t="s">
        <v>43</v>
      </c>
      <c r="N358" t="s">
        <v>43</v>
      </c>
      <c r="O358" t="s">
        <v>114</v>
      </c>
      <c r="P358" t="s">
        <v>43</v>
      </c>
      <c r="Q358" t="s">
        <v>163</v>
      </c>
      <c r="R358" t="s">
        <v>163</v>
      </c>
      <c r="S358" t="s">
        <v>255</v>
      </c>
      <c r="T358" t="s">
        <v>63</v>
      </c>
      <c r="U358" t="s">
        <v>89</v>
      </c>
      <c r="V358" t="s">
        <v>963</v>
      </c>
      <c r="W358" t="s">
        <v>425</v>
      </c>
      <c r="X358" t="s">
        <v>43</v>
      </c>
      <c r="Y358" t="s">
        <v>402</v>
      </c>
      <c r="Z358" t="s">
        <v>402</v>
      </c>
      <c r="AA358" t="s">
        <v>43</v>
      </c>
      <c r="AB358" t="s">
        <v>402</v>
      </c>
      <c r="AC358" t="s">
        <v>358</v>
      </c>
      <c r="AD358" t="s">
        <v>134</v>
      </c>
      <c r="AE358" t="s">
        <v>54</v>
      </c>
      <c r="AF358" t="s">
        <v>358</v>
      </c>
      <c r="AG358" t="s">
        <v>54</v>
      </c>
      <c r="AH358" t="s">
        <v>1221</v>
      </c>
    </row>
    <row r="359" spans="1:34" x14ac:dyDescent="0.25">
      <c r="A359" t="s">
        <v>1265</v>
      </c>
      <c r="B359" t="s">
        <v>523</v>
      </c>
      <c r="C359" t="s">
        <v>644</v>
      </c>
      <c r="D359" t="s">
        <v>272</v>
      </c>
      <c r="E359">
        <v>19</v>
      </c>
      <c r="F359">
        <v>10</v>
      </c>
      <c r="G359" t="s">
        <v>1266</v>
      </c>
      <c r="H359" t="s">
        <v>521</v>
      </c>
      <c r="I359" t="s">
        <v>43</v>
      </c>
      <c r="J359" t="s">
        <v>114</v>
      </c>
      <c r="K359" t="s">
        <v>114</v>
      </c>
      <c r="L359" t="s">
        <v>43</v>
      </c>
      <c r="M359" t="s">
        <v>43</v>
      </c>
      <c r="N359" t="s">
        <v>43</v>
      </c>
      <c r="O359" t="s">
        <v>114</v>
      </c>
      <c r="P359" t="s">
        <v>43</v>
      </c>
      <c r="Q359" t="s">
        <v>112</v>
      </c>
      <c r="R359" t="s">
        <v>112</v>
      </c>
      <c r="S359" t="s">
        <v>200</v>
      </c>
      <c r="T359" t="s">
        <v>164</v>
      </c>
      <c r="U359" t="s">
        <v>399</v>
      </c>
      <c r="V359" t="s">
        <v>42</v>
      </c>
      <c r="W359" t="s">
        <v>94</v>
      </c>
      <c r="X359" t="s">
        <v>43</v>
      </c>
      <c r="Y359" t="s">
        <v>163</v>
      </c>
      <c r="Z359" t="s">
        <v>163</v>
      </c>
      <c r="AA359" t="s">
        <v>43</v>
      </c>
      <c r="AB359" t="s">
        <v>163</v>
      </c>
      <c r="AC359" t="s">
        <v>193</v>
      </c>
      <c r="AD359" t="s">
        <v>53</v>
      </c>
      <c r="AE359" t="s">
        <v>205</v>
      </c>
      <c r="AF359" t="s">
        <v>193</v>
      </c>
      <c r="AG359" t="s">
        <v>205</v>
      </c>
      <c r="AH359" t="s">
        <v>1221</v>
      </c>
    </row>
    <row r="360" spans="1:34" x14ac:dyDescent="0.25">
      <c r="A360" t="s">
        <v>1267</v>
      </c>
      <c r="B360" t="s">
        <v>57</v>
      </c>
      <c r="C360" t="s">
        <v>108</v>
      </c>
      <c r="D360" t="s">
        <v>203</v>
      </c>
      <c r="E360">
        <v>12</v>
      </c>
      <c r="F360">
        <v>8</v>
      </c>
      <c r="G360" t="s">
        <v>1268</v>
      </c>
      <c r="H360" t="s">
        <v>1269</v>
      </c>
      <c r="I360" t="s">
        <v>114</v>
      </c>
      <c r="J360" t="s">
        <v>43</v>
      </c>
      <c r="K360" t="s">
        <v>114</v>
      </c>
      <c r="L360" t="s">
        <v>114</v>
      </c>
      <c r="M360" t="s">
        <v>43</v>
      </c>
      <c r="N360" t="s">
        <v>43</v>
      </c>
      <c r="O360" t="s">
        <v>44</v>
      </c>
      <c r="P360" t="s">
        <v>43</v>
      </c>
      <c r="Q360" t="s">
        <v>175</v>
      </c>
      <c r="R360" t="s">
        <v>175</v>
      </c>
      <c r="S360" t="s">
        <v>378</v>
      </c>
      <c r="T360" t="s">
        <v>199</v>
      </c>
      <c r="U360" t="s">
        <v>167</v>
      </c>
      <c r="V360" t="s">
        <v>62</v>
      </c>
      <c r="W360" t="s">
        <v>227</v>
      </c>
      <c r="X360" t="s">
        <v>100</v>
      </c>
      <c r="Y360" t="s">
        <v>43</v>
      </c>
      <c r="Z360" t="s">
        <v>100</v>
      </c>
      <c r="AA360" t="s">
        <v>100</v>
      </c>
      <c r="AB360" t="s">
        <v>100</v>
      </c>
      <c r="AC360" t="s">
        <v>194</v>
      </c>
      <c r="AD360" t="s">
        <v>181</v>
      </c>
      <c r="AE360" t="s">
        <v>73</v>
      </c>
      <c r="AF360" t="s">
        <v>194</v>
      </c>
      <c r="AG360" t="s">
        <v>73</v>
      </c>
      <c r="AH360" t="s">
        <v>1221</v>
      </c>
    </row>
    <row r="361" spans="1:34" x14ac:dyDescent="0.25">
      <c r="A361" t="s">
        <v>1270</v>
      </c>
      <c r="B361" t="s">
        <v>57</v>
      </c>
      <c r="C361" t="s">
        <v>709</v>
      </c>
      <c r="D361" t="s">
        <v>78</v>
      </c>
      <c r="E361">
        <v>7</v>
      </c>
      <c r="F361">
        <v>7</v>
      </c>
      <c r="G361" t="s">
        <v>1271</v>
      </c>
      <c r="H361" t="s">
        <v>407</v>
      </c>
      <c r="I361" t="s">
        <v>114</v>
      </c>
      <c r="J361" t="s">
        <v>44</v>
      </c>
      <c r="K361" t="s">
        <v>83</v>
      </c>
      <c r="L361" t="s">
        <v>114</v>
      </c>
      <c r="M361" t="s">
        <v>43</v>
      </c>
      <c r="N361" t="s">
        <v>43</v>
      </c>
      <c r="O361" t="s">
        <v>44</v>
      </c>
      <c r="P361" t="s">
        <v>43</v>
      </c>
      <c r="Q361" t="s">
        <v>63</v>
      </c>
      <c r="R361" t="s">
        <v>63</v>
      </c>
      <c r="S361" t="s">
        <v>44</v>
      </c>
      <c r="T361" t="s">
        <v>224</v>
      </c>
      <c r="U361" t="s">
        <v>232</v>
      </c>
      <c r="V361" t="s">
        <v>201</v>
      </c>
      <c r="W361" t="s">
        <v>298</v>
      </c>
      <c r="X361" t="s">
        <v>374</v>
      </c>
      <c r="Y361" t="s">
        <v>205</v>
      </c>
      <c r="Z361" t="s">
        <v>99</v>
      </c>
      <c r="AA361" t="s">
        <v>374</v>
      </c>
      <c r="AB361" t="s">
        <v>99</v>
      </c>
      <c r="AC361" t="s">
        <v>466</v>
      </c>
      <c r="AD361" t="s">
        <v>205</v>
      </c>
      <c r="AE361" t="s">
        <v>451</v>
      </c>
      <c r="AF361" t="s">
        <v>466</v>
      </c>
      <c r="AG361" t="s">
        <v>451</v>
      </c>
      <c r="AH361" t="s">
        <v>1221</v>
      </c>
    </row>
    <row r="362" spans="1:34" x14ac:dyDescent="0.25">
      <c r="A362" t="s">
        <v>1272</v>
      </c>
      <c r="B362" t="s">
        <v>508</v>
      </c>
      <c r="C362" t="s">
        <v>524</v>
      </c>
      <c r="D362" t="s">
        <v>201</v>
      </c>
      <c r="E362">
        <v>17</v>
      </c>
      <c r="F362">
        <v>6</v>
      </c>
      <c r="G362" t="s">
        <v>1273</v>
      </c>
      <c r="H362" t="s">
        <v>924</v>
      </c>
      <c r="I362" t="s">
        <v>43</v>
      </c>
      <c r="J362" t="s">
        <v>43</v>
      </c>
      <c r="K362" t="s">
        <v>43</v>
      </c>
      <c r="L362" t="s">
        <v>43</v>
      </c>
      <c r="M362" t="s">
        <v>43</v>
      </c>
      <c r="N362" t="s">
        <v>43</v>
      </c>
      <c r="O362" t="s">
        <v>63</v>
      </c>
      <c r="P362" t="s">
        <v>43</v>
      </c>
      <c r="Q362" t="s">
        <v>70</v>
      </c>
      <c r="R362" t="s">
        <v>70</v>
      </c>
      <c r="S362" t="s">
        <v>259</v>
      </c>
      <c r="T362" t="s">
        <v>222</v>
      </c>
      <c r="U362" t="s">
        <v>231</v>
      </c>
      <c r="V362" t="s">
        <v>59</v>
      </c>
      <c r="W362" t="s">
        <v>148</v>
      </c>
      <c r="X362" t="s">
        <v>43</v>
      </c>
      <c r="Y362" t="s">
        <v>43</v>
      </c>
      <c r="Z362" t="s">
        <v>43</v>
      </c>
      <c r="AA362" t="s">
        <v>43</v>
      </c>
      <c r="AB362" t="s">
        <v>43</v>
      </c>
      <c r="AC362" t="s">
        <v>242</v>
      </c>
      <c r="AD362" t="s">
        <v>204</v>
      </c>
      <c r="AE362" t="s">
        <v>241</v>
      </c>
      <c r="AF362" t="s">
        <v>242</v>
      </c>
      <c r="AG362" t="s">
        <v>241</v>
      </c>
      <c r="AH362" t="s">
        <v>1221</v>
      </c>
    </row>
    <row r="363" spans="1:34" x14ac:dyDescent="0.25">
      <c r="A363" t="s">
        <v>1274</v>
      </c>
      <c r="B363" t="s">
        <v>262</v>
      </c>
      <c r="C363" t="s">
        <v>36</v>
      </c>
      <c r="D363" t="s">
        <v>37</v>
      </c>
      <c r="E363">
        <v>9</v>
      </c>
      <c r="F363">
        <v>6</v>
      </c>
      <c r="G363" t="s">
        <v>1275</v>
      </c>
      <c r="H363" t="s">
        <v>81</v>
      </c>
      <c r="I363" t="s">
        <v>43</v>
      </c>
      <c r="J363" t="s">
        <v>44</v>
      </c>
      <c r="K363" t="s">
        <v>44</v>
      </c>
      <c r="L363" t="s">
        <v>43</v>
      </c>
      <c r="M363" t="s">
        <v>43</v>
      </c>
      <c r="N363" t="s">
        <v>43</v>
      </c>
      <c r="O363" t="s">
        <v>44</v>
      </c>
      <c r="P363" t="s">
        <v>44</v>
      </c>
      <c r="Q363" t="s">
        <v>241</v>
      </c>
      <c r="R363" t="s">
        <v>241</v>
      </c>
      <c r="S363" t="s">
        <v>398</v>
      </c>
      <c r="T363" t="s">
        <v>254</v>
      </c>
      <c r="U363" t="s">
        <v>83</v>
      </c>
      <c r="V363" t="s">
        <v>89</v>
      </c>
      <c r="W363" t="s">
        <v>126</v>
      </c>
      <c r="X363" t="s">
        <v>43</v>
      </c>
      <c r="Y363" t="s">
        <v>241</v>
      </c>
      <c r="Z363" t="s">
        <v>241</v>
      </c>
      <c r="AA363" t="s">
        <v>43</v>
      </c>
      <c r="AB363" t="s">
        <v>241</v>
      </c>
      <c r="AC363" t="s">
        <v>193</v>
      </c>
      <c r="AD363" t="s">
        <v>151</v>
      </c>
      <c r="AE363" t="s">
        <v>103</v>
      </c>
      <c r="AF363" t="s">
        <v>193</v>
      </c>
      <c r="AG363" t="s">
        <v>103</v>
      </c>
      <c r="AH363" t="s">
        <v>1221</v>
      </c>
    </row>
    <row r="364" spans="1:34" x14ac:dyDescent="0.25">
      <c r="A364" t="s">
        <v>1276</v>
      </c>
      <c r="B364" t="s">
        <v>689</v>
      </c>
      <c r="C364" t="s">
        <v>86</v>
      </c>
      <c r="D364" t="s">
        <v>62</v>
      </c>
      <c r="E364">
        <v>12</v>
      </c>
      <c r="F364">
        <v>5</v>
      </c>
      <c r="G364" t="s">
        <v>969</v>
      </c>
      <c r="H364" t="s">
        <v>387</v>
      </c>
      <c r="I364" t="s">
        <v>43</v>
      </c>
      <c r="J364" t="s">
        <v>63</v>
      </c>
      <c r="K364" t="s">
        <v>63</v>
      </c>
      <c r="L364" t="s">
        <v>43</v>
      </c>
      <c r="M364" t="s">
        <v>43</v>
      </c>
      <c r="N364" t="s">
        <v>43</v>
      </c>
      <c r="O364" t="s">
        <v>63</v>
      </c>
      <c r="P364" t="s">
        <v>43</v>
      </c>
      <c r="Q364" t="s">
        <v>162</v>
      </c>
      <c r="R364" t="s">
        <v>162</v>
      </c>
      <c r="S364" t="s">
        <v>164</v>
      </c>
      <c r="T364" t="s">
        <v>730</v>
      </c>
      <c r="U364" t="s">
        <v>123</v>
      </c>
      <c r="V364" t="s">
        <v>185</v>
      </c>
      <c r="W364" t="s">
        <v>78</v>
      </c>
      <c r="X364" t="s">
        <v>43</v>
      </c>
      <c r="Y364" t="s">
        <v>510</v>
      </c>
      <c r="Z364" t="s">
        <v>510</v>
      </c>
      <c r="AA364" t="s">
        <v>43</v>
      </c>
      <c r="AB364" t="s">
        <v>510</v>
      </c>
      <c r="AC364" t="s">
        <v>98</v>
      </c>
      <c r="AD364" t="s">
        <v>466</v>
      </c>
      <c r="AE364" t="s">
        <v>74</v>
      </c>
      <c r="AF364" t="s">
        <v>98</v>
      </c>
      <c r="AG364" t="s">
        <v>74</v>
      </c>
      <c r="AH364" t="s">
        <v>1221</v>
      </c>
    </row>
    <row r="365" spans="1:34" x14ac:dyDescent="0.25">
      <c r="A365" t="s">
        <v>1277</v>
      </c>
      <c r="B365" t="s">
        <v>35</v>
      </c>
      <c r="C365" t="s">
        <v>86</v>
      </c>
      <c r="D365" t="s">
        <v>141</v>
      </c>
      <c r="E365">
        <v>19</v>
      </c>
      <c r="F365">
        <v>3</v>
      </c>
      <c r="G365" t="s">
        <v>1278</v>
      </c>
      <c r="H365" t="s">
        <v>337</v>
      </c>
      <c r="I365" t="s">
        <v>63</v>
      </c>
      <c r="J365" t="s">
        <v>43</v>
      </c>
      <c r="K365" t="s">
        <v>63</v>
      </c>
      <c r="L365" t="s">
        <v>63</v>
      </c>
      <c r="M365" t="s">
        <v>43</v>
      </c>
      <c r="N365" t="s">
        <v>43</v>
      </c>
      <c r="O365" t="s">
        <v>63</v>
      </c>
      <c r="P365" t="s">
        <v>43</v>
      </c>
      <c r="Q365" t="s">
        <v>267</v>
      </c>
      <c r="R365" t="s">
        <v>267</v>
      </c>
      <c r="S365" t="s">
        <v>259</v>
      </c>
      <c r="T365" t="s">
        <v>547</v>
      </c>
      <c r="U365" t="s">
        <v>167</v>
      </c>
      <c r="V365" t="s">
        <v>123</v>
      </c>
      <c r="W365" t="s">
        <v>248</v>
      </c>
      <c r="X365" t="s">
        <v>301</v>
      </c>
      <c r="Y365" t="s">
        <v>43</v>
      </c>
      <c r="Z365" t="s">
        <v>301</v>
      </c>
      <c r="AA365" t="s">
        <v>301</v>
      </c>
      <c r="AB365" t="s">
        <v>301</v>
      </c>
      <c r="AC365" t="s">
        <v>74</v>
      </c>
      <c r="AD365" t="s">
        <v>218</v>
      </c>
      <c r="AE365" t="s">
        <v>274</v>
      </c>
      <c r="AF365" t="s">
        <v>74</v>
      </c>
      <c r="AG365" t="s">
        <v>274</v>
      </c>
      <c r="AH365" t="s">
        <v>1221</v>
      </c>
    </row>
    <row r="366" spans="1:34" x14ac:dyDescent="0.25">
      <c r="A366" t="s">
        <v>1279</v>
      </c>
      <c r="B366" t="s">
        <v>85</v>
      </c>
      <c r="C366" t="s">
        <v>644</v>
      </c>
      <c r="D366" t="s">
        <v>62</v>
      </c>
      <c r="E366">
        <v>6</v>
      </c>
      <c r="F366">
        <v>3</v>
      </c>
      <c r="G366" t="s">
        <v>1280</v>
      </c>
      <c r="H366" t="s">
        <v>267</v>
      </c>
      <c r="I366" t="s">
        <v>43</v>
      </c>
      <c r="J366" t="s">
        <v>43</v>
      </c>
      <c r="K366" t="s">
        <v>43</v>
      </c>
      <c r="L366" t="s">
        <v>43</v>
      </c>
      <c r="M366" t="s">
        <v>43</v>
      </c>
      <c r="N366" t="s">
        <v>43</v>
      </c>
      <c r="O366" t="s">
        <v>44</v>
      </c>
      <c r="P366" t="s">
        <v>43</v>
      </c>
      <c r="Q366" t="s">
        <v>241</v>
      </c>
      <c r="R366" t="s">
        <v>241</v>
      </c>
      <c r="S366" t="s">
        <v>241</v>
      </c>
      <c r="T366" t="s">
        <v>112</v>
      </c>
      <c r="U366" t="s">
        <v>40</v>
      </c>
      <c r="V366" t="s">
        <v>232</v>
      </c>
      <c r="W366" t="s">
        <v>141</v>
      </c>
      <c r="X366" t="s">
        <v>43</v>
      </c>
      <c r="Y366" t="s">
        <v>43</v>
      </c>
      <c r="Z366" t="s">
        <v>43</v>
      </c>
      <c r="AA366" t="s">
        <v>43</v>
      </c>
      <c r="AB366" t="s">
        <v>43</v>
      </c>
      <c r="AC366" t="s">
        <v>168</v>
      </c>
      <c r="AD366" t="s">
        <v>181</v>
      </c>
      <c r="AE366" t="s">
        <v>118</v>
      </c>
      <c r="AF366" t="s">
        <v>168</v>
      </c>
      <c r="AG366" t="s">
        <v>118</v>
      </c>
      <c r="AH366" t="s">
        <v>1221</v>
      </c>
    </row>
    <row r="367" spans="1:34" x14ac:dyDescent="0.25">
      <c r="A367" t="s">
        <v>1281</v>
      </c>
      <c r="B367" t="s">
        <v>57</v>
      </c>
      <c r="C367" t="s">
        <v>108</v>
      </c>
      <c r="D367" t="s">
        <v>141</v>
      </c>
      <c r="E367">
        <v>4</v>
      </c>
      <c r="F367">
        <v>1</v>
      </c>
      <c r="G367" t="s">
        <v>408</v>
      </c>
      <c r="H367" t="s">
        <v>162</v>
      </c>
      <c r="I367" t="s">
        <v>43</v>
      </c>
      <c r="J367" t="s">
        <v>43</v>
      </c>
      <c r="K367" t="s">
        <v>43</v>
      </c>
      <c r="L367" t="s">
        <v>43</v>
      </c>
      <c r="M367" t="s">
        <v>43</v>
      </c>
      <c r="N367" t="s">
        <v>43</v>
      </c>
      <c r="O367" t="s">
        <v>43</v>
      </c>
      <c r="P367" t="s">
        <v>43</v>
      </c>
      <c r="Q367" t="s">
        <v>43</v>
      </c>
      <c r="R367" t="s">
        <v>43</v>
      </c>
      <c r="S367" t="s">
        <v>43</v>
      </c>
      <c r="T367" t="s">
        <v>43</v>
      </c>
      <c r="U367" t="s">
        <v>41</v>
      </c>
      <c r="V367" t="s">
        <v>83</v>
      </c>
      <c r="W367" t="s">
        <v>41</v>
      </c>
      <c r="X367" t="s">
        <v>43</v>
      </c>
      <c r="Y367" t="s">
        <v>43</v>
      </c>
      <c r="Z367" t="s">
        <v>43</v>
      </c>
      <c r="AA367" t="s">
        <v>43</v>
      </c>
      <c r="AB367" t="s">
        <v>43</v>
      </c>
      <c r="AC367" t="s">
        <v>43</v>
      </c>
      <c r="AD367" t="s">
        <v>43</v>
      </c>
      <c r="AE367" t="s">
        <v>43</v>
      </c>
      <c r="AF367" t="s">
        <v>43</v>
      </c>
      <c r="AG367" t="s">
        <v>43</v>
      </c>
      <c r="AH367" t="s">
        <v>1221</v>
      </c>
    </row>
    <row r="368" spans="1:34" x14ac:dyDescent="0.25">
      <c r="A368" t="s">
        <v>1282</v>
      </c>
      <c r="B368" t="s">
        <v>411</v>
      </c>
      <c r="C368" t="s">
        <v>137</v>
      </c>
      <c r="D368" t="s">
        <v>203</v>
      </c>
      <c r="E368">
        <v>3</v>
      </c>
      <c r="F368">
        <v>1</v>
      </c>
      <c r="G368" t="s">
        <v>190</v>
      </c>
      <c r="H368" t="s">
        <v>378</v>
      </c>
      <c r="I368" t="s">
        <v>43</v>
      </c>
      <c r="J368" t="s">
        <v>43</v>
      </c>
      <c r="K368" t="s">
        <v>43</v>
      </c>
      <c r="L368" t="s">
        <v>43</v>
      </c>
      <c r="M368" t="s">
        <v>43</v>
      </c>
      <c r="N368" t="s">
        <v>43</v>
      </c>
      <c r="O368" t="s">
        <v>44</v>
      </c>
      <c r="P368" t="s">
        <v>43</v>
      </c>
      <c r="Q368" t="s">
        <v>82</v>
      </c>
      <c r="R368" t="s">
        <v>82</v>
      </c>
      <c r="S368" t="s">
        <v>43</v>
      </c>
      <c r="T368" t="s">
        <v>82</v>
      </c>
      <c r="U368" t="s">
        <v>43</v>
      </c>
      <c r="V368" t="s">
        <v>43</v>
      </c>
      <c r="W368" t="s">
        <v>43</v>
      </c>
      <c r="X368" t="s">
        <v>43</v>
      </c>
      <c r="Y368" t="s">
        <v>43</v>
      </c>
      <c r="Z368" t="s">
        <v>43</v>
      </c>
      <c r="AA368" t="s">
        <v>43</v>
      </c>
      <c r="AB368" t="s">
        <v>43</v>
      </c>
      <c r="AC368" t="s">
        <v>242</v>
      </c>
      <c r="AD368" t="s">
        <v>43</v>
      </c>
      <c r="AE368" t="s">
        <v>242</v>
      </c>
      <c r="AF368" t="s">
        <v>242</v>
      </c>
      <c r="AG368" t="s">
        <v>242</v>
      </c>
      <c r="AH368" t="s">
        <v>1221</v>
      </c>
    </row>
    <row r="369" spans="1:34" x14ac:dyDescent="0.25">
      <c r="A369" t="s">
        <v>1283</v>
      </c>
      <c r="B369" t="s">
        <v>57</v>
      </c>
      <c r="C369" t="s">
        <v>709</v>
      </c>
      <c r="D369" t="s">
        <v>62</v>
      </c>
      <c r="E369">
        <v>5</v>
      </c>
      <c r="F369">
        <v>0</v>
      </c>
      <c r="G369" t="s">
        <v>494</v>
      </c>
      <c r="H369" t="s">
        <v>112</v>
      </c>
      <c r="I369" t="s">
        <v>43</v>
      </c>
      <c r="J369" t="s">
        <v>43</v>
      </c>
      <c r="K369" t="s">
        <v>43</v>
      </c>
      <c r="L369" t="s">
        <v>43</v>
      </c>
      <c r="M369" t="s">
        <v>43</v>
      </c>
      <c r="N369" t="s">
        <v>43</v>
      </c>
      <c r="O369" t="s">
        <v>44</v>
      </c>
      <c r="P369" t="s">
        <v>43</v>
      </c>
      <c r="Q369" t="s">
        <v>43</v>
      </c>
      <c r="R369" t="s">
        <v>43</v>
      </c>
      <c r="S369" t="s">
        <v>82</v>
      </c>
      <c r="T369" t="s">
        <v>82</v>
      </c>
      <c r="U369" t="s">
        <v>44</v>
      </c>
      <c r="V369" t="s">
        <v>63</v>
      </c>
      <c r="W369" t="s">
        <v>63</v>
      </c>
      <c r="X369" t="s">
        <v>43</v>
      </c>
      <c r="Y369" t="s">
        <v>43</v>
      </c>
      <c r="Z369" t="s">
        <v>43</v>
      </c>
      <c r="AA369" t="s">
        <v>43</v>
      </c>
      <c r="AB369" t="s">
        <v>43</v>
      </c>
      <c r="AC369" t="s">
        <v>168</v>
      </c>
      <c r="AD369" t="s">
        <v>118</v>
      </c>
      <c r="AE369" t="s">
        <v>194</v>
      </c>
      <c r="AF369" t="s">
        <v>168</v>
      </c>
      <c r="AG369" t="s">
        <v>194</v>
      </c>
      <c r="AH369" t="s">
        <v>1221</v>
      </c>
    </row>
    <row r="370" spans="1:34" x14ac:dyDescent="0.25">
      <c r="A370" t="s">
        <v>1284</v>
      </c>
      <c r="B370" t="s">
        <v>493</v>
      </c>
      <c r="C370" t="s">
        <v>108</v>
      </c>
      <c r="D370" t="s">
        <v>141</v>
      </c>
      <c r="E370">
        <v>37</v>
      </c>
      <c r="F370">
        <v>37</v>
      </c>
      <c r="G370" t="s">
        <v>1285</v>
      </c>
      <c r="H370" t="s">
        <v>225</v>
      </c>
      <c r="I370" t="s">
        <v>44</v>
      </c>
      <c r="J370" t="s">
        <v>43</v>
      </c>
      <c r="K370" t="s">
        <v>44</v>
      </c>
      <c r="L370" t="s">
        <v>44</v>
      </c>
      <c r="M370" t="s">
        <v>43</v>
      </c>
      <c r="N370" t="s">
        <v>43</v>
      </c>
      <c r="O370" t="s">
        <v>81</v>
      </c>
      <c r="P370" t="s">
        <v>43</v>
      </c>
      <c r="Q370" t="s">
        <v>254</v>
      </c>
      <c r="R370" t="s">
        <v>254</v>
      </c>
      <c r="S370" t="s">
        <v>112</v>
      </c>
      <c r="T370" t="s">
        <v>416</v>
      </c>
      <c r="U370" t="s">
        <v>201</v>
      </c>
      <c r="V370" t="s">
        <v>1126</v>
      </c>
      <c r="W370" t="s">
        <v>44</v>
      </c>
      <c r="X370" t="s">
        <v>358</v>
      </c>
      <c r="Y370" t="s">
        <v>43</v>
      </c>
      <c r="Z370" t="s">
        <v>358</v>
      </c>
      <c r="AA370" t="s">
        <v>358</v>
      </c>
      <c r="AB370" t="s">
        <v>358</v>
      </c>
      <c r="AC370" t="s">
        <v>358</v>
      </c>
      <c r="AD370" t="s">
        <v>119</v>
      </c>
      <c r="AE370" t="s">
        <v>193</v>
      </c>
      <c r="AF370" t="s">
        <v>358</v>
      </c>
      <c r="AG370" t="s">
        <v>193</v>
      </c>
      <c r="AH370" t="s">
        <v>1286</v>
      </c>
    </row>
    <row r="371" spans="1:34" x14ac:dyDescent="0.25">
      <c r="A371" t="s">
        <v>1287</v>
      </c>
      <c r="B371" t="s">
        <v>57</v>
      </c>
      <c r="C371" t="s">
        <v>137</v>
      </c>
      <c r="D371" t="s">
        <v>268</v>
      </c>
      <c r="E371">
        <v>38</v>
      </c>
      <c r="F371">
        <v>37</v>
      </c>
      <c r="G371" t="s">
        <v>1288</v>
      </c>
      <c r="H371" t="s">
        <v>1289</v>
      </c>
      <c r="I371" t="s">
        <v>62</v>
      </c>
      <c r="J371" t="s">
        <v>114</v>
      </c>
      <c r="K371" t="s">
        <v>272</v>
      </c>
      <c r="L371" t="s">
        <v>42</v>
      </c>
      <c r="M371" t="s">
        <v>63</v>
      </c>
      <c r="N371" t="s">
        <v>114</v>
      </c>
      <c r="O371" t="s">
        <v>114</v>
      </c>
      <c r="P371" t="s">
        <v>43</v>
      </c>
      <c r="Q371" t="s">
        <v>1290</v>
      </c>
      <c r="R371" t="s">
        <v>221</v>
      </c>
      <c r="S371" t="s">
        <v>114</v>
      </c>
      <c r="T371" t="s">
        <v>678</v>
      </c>
      <c r="U371" t="s">
        <v>582</v>
      </c>
      <c r="V371" t="s">
        <v>704</v>
      </c>
      <c r="W371" t="s">
        <v>848</v>
      </c>
      <c r="X371" t="s">
        <v>617</v>
      </c>
      <c r="Y371" t="s">
        <v>242</v>
      </c>
      <c r="Z371" t="s">
        <v>70</v>
      </c>
      <c r="AA371" t="s">
        <v>315</v>
      </c>
      <c r="AB371" t="s">
        <v>482</v>
      </c>
      <c r="AC371" t="s">
        <v>711</v>
      </c>
      <c r="AD371" t="s">
        <v>242</v>
      </c>
      <c r="AE371" t="s">
        <v>106</v>
      </c>
      <c r="AF371" t="s">
        <v>451</v>
      </c>
      <c r="AG371" t="s">
        <v>320</v>
      </c>
      <c r="AH371" t="s">
        <v>1286</v>
      </c>
    </row>
    <row r="372" spans="1:34" x14ac:dyDescent="0.25">
      <c r="A372" t="s">
        <v>1291</v>
      </c>
      <c r="B372" t="s">
        <v>360</v>
      </c>
      <c r="C372" t="s">
        <v>36</v>
      </c>
      <c r="D372" t="s">
        <v>123</v>
      </c>
      <c r="E372">
        <v>37</v>
      </c>
      <c r="F372">
        <v>35</v>
      </c>
      <c r="G372" t="s">
        <v>1292</v>
      </c>
      <c r="H372" t="s">
        <v>1293</v>
      </c>
      <c r="I372" t="s">
        <v>43</v>
      </c>
      <c r="J372" t="s">
        <v>81</v>
      </c>
      <c r="K372" t="s">
        <v>81</v>
      </c>
      <c r="L372" t="s">
        <v>43</v>
      </c>
      <c r="M372" t="s">
        <v>43</v>
      </c>
      <c r="N372" t="s">
        <v>43</v>
      </c>
      <c r="O372" t="s">
        <v>126</v>
      </c>
      <c r="P372" t="s">
        <v>43</v>
      </c>
      <c r="Q372" t="s">
        <v>327</v>
      </c>
      <c r="R372" t="s">
        <v>327</v>
      </c>
      <c r="S372" t="s">
        <v>363</v>
      </c>
      <c r="T372" t="s">
        <v>761</v>
      </c>
      <c r="U372" t="s">
        <v>704</v>
      </c>
      <c r="V372" t="s">
        <v>1294</v>
      </c>
      <c r="W372" t="s">
        <v>400</v>
      </c>
      <c r="X372" t="s">
        <v>43</v>
      </c>
      <c r="Y372" t="s">
        <v>156</v>
      </c>
      <c r="Z372" t="s">
        <v>156</v>
      </c>
      <c r="AA372" t="s">
        <v>43</v>
      </c>
      <c r="AB372" t="s">
        <v>156</v>
      </c>
      <c r="AC372" t="s">
        <v>181</v>
      </c>
      <c r="AD372" t="s">
        <v>215</v>
      </c>
      <c r="AE372" t="s">
        <v>54</v>
      </c>
      <c r="AF372" t="s">
        <v>181</v>
      </c>
      <c r="AG372" t="s">
        <v>54</v>
      </c>
      <c r="AH372" t="s">
        <v>1286</v>
      </c>
    </row>
    <row r="373" spans="1:34" x14ac:dyDescent="0.25">
      <c r="A373" t="s">
        <v>1295</v>
      </c>
      <c r="B373" t="s">
        <v>76</v>
      </c>
      <c r="C373" t="s">
        <v>77</v>
      </c>
      <c r="D373" t="s">
        <v>165</v>
      </c>
      <c r="E373">
        <v>32</v>
      </c>
      <c r="F373">
        <v>32</v>
      </c>
      <c r="G373" t="s">
        <v>472</v>
      </c>
      <c r="H373" t="s">
        <v>140</v>
      </c>
      <c r="I373" t="s">
        <v>43</v>
      </c>
      <c r="J373" t="s">
        <v>43</v>
      </c>
      <c r="K373" t="s">
        <v>43</v>
      </c>
      <c r="L373" t="s">
        <v>43</v>
      </c>
      <c r="M373" t="s">
        <v>43</v>
      </c>
      <c r="N373" t="s">
        <v>43</v>
      </c>
      <c r="O373" t="s">
        <v>81</v>
      </c>
      <c r="P373" t="s">
        <v>43</v>
      </c>
      <c r="Q373" t="s">
        <v>43</v>
      </c>
      <c r="R373" t="s">
        <v>43</v>
      </c>
      <c r="S373" t="s">
        <v>43</v>
      </c>
      <c r="T373" t="s">
        <v>43</v>
      </c>
      <c r="U373" t="s">
        <v>43</v>
      </c>
      <c r="V373" t="s">
        <v>43</v>
      </c>
      <c r="W373" t="s">
        <v>43</v>
      </c>
      <c r="X373" t="s">
        <v>43</v>
      </c>
      <c r="Y373" t="s">
        <v>43</v>
      </c>
      <c r="Z373" t="s">
        <v>43</v>
      </c>
      <c r="AA373" t="s">
        <v>43</v>
      </c>
      <c r="AB373" t="s">
        <v>43</v>
      </c>
      <c r="AC373" t="s">
        <v>43</v>
      </c>
      <c r="AD373" t="s">
        <v>43</v>
      </c>
      <c r="AE373" t="s">
        <v>43</v>
      </c>
      <c r="AF373" t="s">
        <v>43</v>
      </c>
      <c r="AG373" t="s">
        <v>43</v>
      </c>
      <c r="AH373" t="s">
        <v>1286</v>
      </c>
    </row>
    <row r="374" spans="1:34" x14ac:dyDescent="0.25">
      <c r="A374" t="s">
        <v>1296</v>
      </c>
      <c r="B374" t="s">
        <v>57</v>
      </c>
      <c r="C374" t="s">
        <v>36</v>
      </c>
      <c r="D374" t="s">
        <v>148</v>
      </c>
      <c r="E374">
        <v>33</v>
      </c>
      <c r="F374">
        <v>32</v>
      </c>
      <c r="G374" t="s">
        <v>1297</v>
      </c>
      <c r="H374" t="s">
        <v>304</v>
      </c>
      <c r="I374" t="s">
        <v>43</v>
      </c>
      <c r="J374" t="s">
        <v>114</v>
      </c>
      <c r="K374" t="s">
        <v>114</v>
      </c>
      <c r="L374" t="s">
        <v>43</v>
      </c>
      <c r="M374" t="s">
        <v>43</v>
      </c>
      <c r="N374" t="s">
        <v>43</v>
      </c>
      <c r="O374" t="s">
        <v>81</v>
      </c>
      <c r="P374" t="s">
        <v>44</v>
      </c>
      <c r="Q374" t="s">
        <v>112</v>
      </c>
      <c r="R374" t="s">
        <v>112</v>
      </c>
      <c r="S374" t="s">
        <v>145</v>
      </c>
      <c r="T374" t="s">
        <v>210</v>
      </c>
      <c r="U374" t="s">
        <v>272</v>
      </c>
      <c r="V374" t="s">
        <v>1298</v>
      </c>
      <c r="W374" t="s">
        <v>127</v>
      </c>
      <c r="X374" t="s">
        <v>43</v>
      </c>
      <c r="Y374" t="s">
        <v>82</v>
      </c>
      <c r="Z374" t="s">
        <v>82</v>
      </c>
      <c r="AA374" t="s">
        <v>43</v>
      </c>
      <c r="AB374" t="s">
        <v>82</v>
      </c>
      <c r="AC374" t="s">
        <v>119</v>
      </c>
      <c r="AD374" t="s">
        <v>218</v>
      </c>
      <c r="AE374" t="s">
        <v>156</v>
      </c>
      <c r="AF374" t="s">
        <v>119</v>
      </c>
      <c r="AG374" t="s">
        <v>156</v>
      </c>
      <c r="AH374" t="s">
        <v>1286</v>
      </c>
    </row>
    <row r="375" spans="1:34" x14ac:dyDescent="0.25">
      <c r="A375" t="s">
        <v>1299</v>
      </c>
      <c r="B375" t="s">
        <v>85</v>
      </c>
      <c r="C375" t="s">
        <v>108</v>
      </c>
      <c r="D375" t="s">
        <v>148</v>
      </c>
      <c r="E375">
        <v>31</v>
      </c>
      <c r="F375">
        <v>26</v>
      </c>
      <c r="G375" t="s">
        <v>1300</v>
      </c>
      <c r="H375" t="s">
        <v>1301</v>
      </c>
      <c r="I375" t="s">
        <v>83</v>
      </c>
      <c r="J375" t="s">
        <v>81</v>
      </c>
      <c r="K375" t="s">
        <v>41</v>
      </c>
      <c r="L375" t="s">
        <v>83</v>
      </c>
      <c r="M375" t="s">
        <v>43</v>
      </c>
      <c r="N375" t="s">
        <v>43</v>
      </c>
      <c r="O375" t="s">
        <v>90</v>
      </c>
      <c r="P375" t="s">
        <v>43</v>
      </c>
      <c r="Q375" t="s">
        <v>63</v>
      </c>
      <c r="R375" t="s">
        <v>63</v>
      </c>
      <c r="S375" t="s">
        <v>164</v>
      </c>
      <c r="T375" t="s">
        <v>128</v>
      </c>
      <c r="U375" t="s">
        <v>304</v>
      </c>
      <c r="V375" t="s">
        <v>489</v>
      </c>
      <c r="W375" t="s">
        <v>83</v>
      </c>
      <c r="X375" t="s">
        <v>205</v>
      </c>
      <c r="Y375" t="s">
        <v>241</v>
      </c>
      <c r="Z375" t="s">
        <v>250</v>
      </c>
      <c r="AA375" t="s">
        <v>205</v>
      </c>
      <c r="AB375" t="s">
        <v>250</v>
      </c>
      <c r="AC375" t="s">
        <v>242</v>
      </c>
      <c r="AD375" t="s">
        <v>181</v>
      </c>
      <c r="AE375" t="s">
        <v>156</v>
      </c>
      <c r="AF375" t="s">
        <v>242</v>
      </c>
      <c r="AG375" t="s">
        <v>156</v>
      </c>
      <c r="AH375" t="s">
        <v>1286</v>
      </c>
    </row>
    <row r="376" spans="1:34" x14ac:dyDescent="0.25">
      <c r="A376" t="s">
        <v>1302</v>
      </c>
      <c r="B376" t="s">
        <v>196</v>
      </c>
      <c r="C376" t="s">
        <v>86</v>
      </c>
      <c r="D376" t="s">
        <v>201</v>
      </c>
      <c r="E376">
        <v>32</v>
      </c>
      <c r="F376">
        <v>26</v>
      </c>
      <c r="G376" t="s">
        <v>1303</v>
      </c>
      <c r="H376" t="s">
        <v>1304</v>
      </c>
      <c r="I376" t="s">
        <v>142</v>
      </c>
      <c r="J376" t="s">
        <v>44</v>
      </c>
      <c r="K376" t="s">
        <v>40</v>
      </c>
      <c r="L376" t="s">
        <v>142</v>
      </c>
      <c r="M376" t="s">
        <v>43</v>
      </c>
      <c r="N376" t="s">
        <v>43</v>
      </c>
      <c r="O376" t="s">
        <v>81</v>
      </c>
      <c r="P376" t="s">
        <v>43</v>
      </c>
      <c r="Q376" t="s">
        <v>407</v>
      </c>
      <c r="R376" t="s">
        <v>407</v>
      </c>
      <c r="S376" t="s">
        <v>175</v>
      </c>
      <c r="T376" t="s">
        <v>787</v>
      </c>
      <c r="U376" t="s">
        <v>490</v>
      </c>
      <c r="V376" t="s">
        <v>248</v>
      </c>
      <c r="W376" t="s">
        <v>1176</v>
      </c>
      <c r="X376" t="s">
        <v>72</v>
      </c>
      <c r="Y376" t="s">
        <v>168</v>
      </c>
      <c r="Z376" t="s">
        <v>510</v>
      </c>
      <c r="AA376" t="s">
        <v>72</v>
      </c>
      <c r="AB376" t="s">
        <v>510</v>
      </c>
      <c r="AC376" t="s">
        <v>236</v>
      </c>
      <c r="AD376" t="s">
        <v>120</v>
      </c>
      <c r="AE376" t="s">
        <v>510</v>
      </c>
      <c r="AF376" t="s">
        <v>236</v>
      </c>
      <c r="AG376" t="s">
        <v>510</v>
      </c>
      <c r="AH376" t="s">
        <v>1286</v>
      </c>
    </row>
    <row r="377" spans="1:34" x14ac:dyDescent="0.25">
      <c r="A377" t="s">
        <v>1305</v>
      </c>
      <c r="B377" t="s">
        <v>57</v>
      </c>
      <c r="C377" t="s">
        <v>108</v>
      </c>
      <c r="D377" t="s">
        <v>140</v>
      </c>
      <c r="E377">
        <v>28</v>
      </c>
      <c r="F377">
        <v>25</v>
      </c>
      <c r="G377" t="s">
        <v>1306</v>
      </c>
      <c r="H377" t="s">
        <v>326</v>
      </c>
      <c r="I377" t="s">
        <v>43</v>
      </c>
      <c r="J377" t="s">
        <v>63</v>
      </c>
      <c r="K377" t="s">
        <v>63</v>
      </c>
      <c r="L377" t="s">
        <v>43</v>
      </c>
      <c r="M377" t="s">
        <v>43</v>
      </c>
      <c r="N377" t="s">
        <v>43</v>
      </c>
      <c r="O377" t="s">
        <v>126</v>
      </c>
      <c r="P377" t="s">
        <v>43</v>
      </c>
      <c r="Q377" t="s">
        <v>82</v>
      </c>
      <c r="R377" t="s">
        <v>82</v>
      </c>
      <c r="S377" t="s">
        <v>222</v>
      </c>
      <c r="T377" t="s">
        <v>162</v>
      </c>
      <c r="U377" t="s">
        <v>201</v>
      </c>
      <c r="V377" t="s">
        <v>427</v>
      </c>
      <c r="W377" t="s">
        <v>123</v>
      </c>
      <c r="X377" t="s">
        <v>43</v>
      </c>
      <c r="Y377" t="s">
        <v>242</v>
      </c>
      <c r="Z377" t="s">
        <v>242</v>
      </c>
      <c r="AA377" t="s">
        <v>43</v>
      </c>
      <c r="AB377" t="s">
        <v>242</v>
      </c>
      <c r="AC377" t="s">
        <v>43</v>
      </c>
      <c r="AD377" t="s">
        <v>168</v>
      </c>
      <c r="AE377" t="s">
        <v>169</v>
      </c>
      <c r="AF377" t="s">
        <v>43</v>
      </c>
      <c r="AG377" t="s">
        <v>169</v>
      </c>
      <c r="AH377" t="s">
        <v>1286</v>
      </c>
    </row>
    <row r="378" spans="1:34" x14ac:dyDescent="0.25">
      <c r="A378" t="s">
        <v>1307</v>
      </c>
      <c r="B378" t="s">
        <v>57</v>
      </c>
      <c r="C378" t="s">
        <v>137</v>
      </c>
      <c r="D378" t="s">
        <v>201</v>
      </c>
      <c r="E378">
        <v>30</v>
      </c>
      <c r="F378">
        <v>25</v>
      </c>
      <c r="G378" t="s">
        <v>1308</v>
      </c>
      <c r="H378" t="s">
        <v>1309</v>
      </c>
      <c r="I378" t="s">
        <v>114</v>
      </c>
      <c r="J378" t="s">
        <v>83</v>
      </c>
      <c r="K378" t="s">
        <v>142</v>
      </c>
      <c r="L378" t="s">
        <v>114</v>
      </c>
      <c r="M378" t="s">
        <v>43</v>
      </c>
      <c r="N378" t="s">
        <v>43</v>
      </c>
      <c r="O378" t="s">
        <v>114</v>
      </c>
      <c r="P378" t="s">
        <v>43</v>
      </c>
      <c r="Q378" t="s">
        <v>46</v>
      </c>
      <c r="R378" t="s">
        <v>46</v>
      </c>
      <c r="S378" t="s">
        <v>600</v>
      </c>
      <c r="T378" t="s">
        <v>1070</v>
      </c>
      <c r="U378" t="s">
        <v>641</v>
      </c>
      <c r="V378" t="s">
        <v>921</v>
      </c>
      <c r="W378" t="s">
        <v>1310</v>
      </c>
      <c r="X378" t="s">
        <v>118</v>
      </c>
      <c r="Y378" t="s">
        <v>215</v>
      </c>
      <c r="Z378" t="s">
        <v>163</v>
      </c>
      <c r="AA378" t="s">
        <v>118</v>
      </c>
      <c r="AB378" t="s">
        <v>163</v>
      </c>
      <c r="AC378" t="s">
        <v>215</v>
      </c>
      <c r="AD378" t="s">
        <v>103</v>
      </c>
      <c r="AE378" t="s">
        <v>105</v>
      </c>
      <c r="AF378" t="s">
        <v>215</v>
      </c>
      <c r="AG378" t="s">
        <v>105</v>
      </c>
      <c r="AH378" t="s">
        <v>1286</v>
      </c>
    </row>
    <row r="379" spans="1:34" x14ac:dyDescent="0.25">
      <c r="A379" t="s">
        <v>1311</v>
      </c>
      <c r="B379" t="s">
        <v>523</v>
      </c>
      <c r="C379" t="s">
        <v>137</v>
      </c>
      <c r="D379" t="s">
        <v>59</v>
      </c>
      <c r="E379">
        <v>33</v>
      </c>
      <c r="F379">
        <v>25</v>
      </c>
      <c r="G379" t="s">
        <v>1312</v>
      </c>
      <c r="H379" t="s">
        <v>336</v>
      </c>
      <c r="I379" t="s">
        <v>40</v>
      </c>
      <c r="J379" t="s">
        <v>63</v>
      </c>
      <c r="K379" t="s">
        <v>231</v>
      </c>
      <c r="L379" t="s">
        <v>40</v>
      </c>
      <c r="M379" t="s">
        <v>43</v>
      </c>
      <c r="N379" t="s">
        <v>43</v>
      </c>
      <c r="O379" t="s">
        <v>126</v>
      </c>
      <c r="P379" t="s">
        <v>43</v>
      </c>
      <c r="Q379" t="s">
        <v>210</v>
      </c>
      <c r="R379" t="s">
        <v>210</v>
      </c>
      <c r="S379" t="s">
        <v>730</v>
      </c>
      <c r="T379" t="s">
        <v>723</v>
      </c>
      <c r="U379" t="s">
        <v>427</v>
      </c>
      <c r="V379" t="s">
        <v>94</v>
      </c>
      <c r="W379" t="s">
        <v>1313</v>
      </c>
      <c r="X379" t="s">
        <v>616</v>
      </c>
      <c r="Y379" t="s">
        <v>120</v>
      </c>
      <c r="Z379" t="s">
        <v>500</v>
      </c>
      <c r="AA379" t="s">
        <v>616</v>
      </c>
      <c r="AB379" t="s">
        <v>500</v>
      </c>
      <c r="AC379" t="s">
        <v>241</v>
      </c>
      <c r="AD379" t="s">
        <v>218</v>
      </c>
      <c r="AE379" t="s">
        <v>616</v>
      </c>
      <c r="AF379" t="s">
        <v>241</v>
      </c>
      <c r="AG379" t="s">
        <v>616</v>
      </c>
      <c r="AH379" t="s">
        <v>1286</v>
      </c>
    </row>
    <row r="380" spans="1:34" x14ac:dyDescent="0.25">
      <c r="A380" t="s">
        <v>1314</v>
      </c>
      <c r="B380" t="s">
        <v>334</v>
      </c>
      <c r="C380" t="s">
        <v>108</v>
      </c>
      <c r="D380" t="s">
        <v>62</v>
      </c>
      <c r="E380">
        <v>28</v>
      </c>
      <c r="F380">
        <v>22</v>
      </c>
      <c r="G380" t="s">
        <v>1315</v>
      </c>
      <c r="H380" t="s">
        <v>1316</v>
      </c>
      <c r="I380" t="s">
        <v>43</v>
      </c>
      <c r="J380" t="s">
        <v>44</v>
      </c>
      <c r="K380" t="s">
        <v>44</v>
      </c>
      <c r="L380" t="s">
        <v>43</v>
      </c>
      <c r="M380" t="s">
        <v>43</v>
      </c>
      <c r="N380" t="s">
        <v>43</v>
      </c>
      <c r="O380" t="s">
        <v>83</v>
      </c>
      <c r="P380" t="s">
        <v>44</v>
      </c>
      <c r="Q380" t="s">
        <v>200</v>
      </c>
      <c r="R380" t="s">
        <v>200</v>
      </c>
      <c r="S380" t="s">
        <v>259</v>
      </c>
      <c r="T380" t="s">
        <v>63</v>
      </c>
      <c r="U380" t="s">
        <v>178</v>
      </c>
      <c r="V380" t="s">
        <v>298</v>
      </c>
      <c r="W380" t="s">
        <v>67</v>
      </c>
      <c r="X380" t="s">
        <v>43</v>
      </c>
      <c r="Y380" t="s">
        <v>168</v>
      </c>
      <c r="Z380" t="s">
        <v>168</v>
      </c>
      <c r="AA380" t="s">
        <v>43</v>
      </c>
      <c r="AB380" t="s">
        <v>168</v>
      </c>
      <c r="AC380" t="s">
        <v>169</v>
      </c>
      <c r="AD380" t="s">
        <v>193</v>
      </c>
      <c r="AE380" t="s">
        <v>120</v>
      </c>
      <c r="AF380" t="s">
        <v>169</v>
      </c>
      <c r="AG380" t="s">
        <v>120</v>
      </c>
      <c r="AH380" t="s">
        <v>1286</v>
      </c>
    </row>
    <row r="381" spans="1:34" x14ac:dyDescent="0.25">
      <c r="A381" t="s">
        <v>1317</v>
      </c>
      <c r="B381" t="s">
        <v>57</v>
      </c>
      <c r="C381" t="s">
        <v>108</v>
      </c>
      <c r="D381" t="s">
        <v>201</v>
      </c>
      <c r="E381">
        <v>23</v>
      </c>
      <c r="F381">
        <v>17</v>
      </c>
      <c r="G381" t="s">
        <v>1318</v>
      </c>
      <c r="H381" t="s">
        <v>1089</v>
      </c>
      <c r="I381" t="s">
        <v>43</v>
      </c>
      <c r="J381" t="s">
        <v>44</v>
      </c>
      <c r="K381" t="s">
        <v>44</v>
      </c>
      <c r="L381" t="s">
        <v>43</v>
      </c>
      <c r="M381" t="s">
        <v>43</v>
      </c>
      <c r="N381" t="s">
        <v>43</v>
      </c>
      <c r="O381" t="s">
        <v>63</v>
      </c>
      <c r="P381" t="s">
        <v>43</v>
      </c>
      <c r="Q381" t="s">
        <v>163</v>
      </c>
      <c r="R381" t="s">
        <v>163</v>
      </c>
      <c r="S381" t="s">
        <v>200</v>
      </c>
      <c r="T381" t="s">
        <v>223</v>
      </c>
      <c r="U381" t="s">
        <v>127</v>
      </c>
      <c r="V381" t="s">
        <v>703</v>
      </c>
      <c r="W381" t="s">
        <v>123</v>
      </c>
      <c r="X381" t="s">
        <v>43</v>
      </c>
      <c r="Y381" t="s">
        <v>169</v>
      </c>
      <c r="Z381" t="s">
        <v>169</v>
      </c>
      <c r="AA381" t="s">
        <v>43</v>
      </c>
      <c r="AB381" t="s">
        <v>169</v>
      </c>
      <c r="AC381" t="s">
        <v>182</v>
      </c>
      <c r="AD381" t="s">
        <v>181</v>
      </c>
      <c r="AE381" t="s">
        <v>120</v>
      </c>
      <c r="AF381" t="s">
        <v>182</v>
      </c>
      <c r="AG381" t="s">
        <v>120</v>
      </c>
      <c r="AH381" t="s">
        <v>1286</v>
      </c>
    </row>
    <row r="382" spans="1:34" x14ac:dyDescent="0.25">
      <c r="A382" t="s">
        <v>1319</v>
      </c>
      <c r="B382" t="s">
        <v>804</v>
      </c>
      <c r="C382" t="s">
        <v>36</v>
      </c>
      <c r="D382" t="s">
        <v>37</v>
      </c>
      <c r="E382">
        <v>29</v>
      </c>
      <c r="F382">
        <v>13</v>
      </c>
      <c r="G382" t="s">
        <v>1320</v>
      </c>
      <c r="H382" t="s">
        <v>308</v>
      </c>
      <c r="I382" t="s">
        <v>63</v>
      </c>
      <c r="J382" t="s">
        <v>63</v>
      </c>
      <c r="K382" t="s">
        <v>83</v>
      </c>
      <c r="L382" t="s">
        <v>63</v>
      </c>
      <c r="M382" t="s">
        <v>43</v>
      </c>
      <c r="N382" t="s">
        <v>43</v>
      </c>
      <c r="O382" t="s">
        <v>114</v>
      </c>
      <c r="P382" t="s">
        <v>44</v>
      </c>
      <c r="Q382" t="s">
        <v>199</v>
      </c>
      <c r="R382" t="s">
        <v>199</v>
      </c>
      <c r="S382" t="s">
        <v>730</v>
      </c>
      <c r="T382" t="s">
        <v>290</v>
      </c>
      <c r="U382" t="s">
        <v>272</v>
      </c>
      <c r="V382" t="s">
        <v>273</v>
      </c>
      <c r="W382" t="s">
        <v>190</v>
      </c>
      <c r="X382" t="s">
        <v>118</v>
      </c>
      <c r="Y382" t="s">
        <v>118</v>
      </c>
      <c r="Z382" t="s">
        <v>73</v>
      </c>
      <c r="AA382" t="s">
        <v>118</v>
      </c>
      <c r="AB382" t="s">
        <v>73</v>
      </c>
      <c r="AC382" t="s">
        <v>205</v>
      </c>
      <c r="AD382" t="s">
        <v>134</v>
      </c>
      <c r="AE382" t="s">
        <v>250</v>
      </c>
      <c r="AF382" t="s">
        <v>205</v>
      </c>
      <c r="AG382" t="s">
        <v>250</v>
      </c>
      <c r="AH382" t="s">
        <v>1286</v>
      </c>
    </row>
    <row r="383" spans="1:34" x14ac:dyDescent="0.25">
      <c r="A383" t="s">
        <v>1321</v>
      </c>
      <c r="B383" t="s">
        <v>57</v>
      </c>
      <c r="C383" t="s">
        <v>108</v>
      </c>
      <c r="D383" t="s">
        <v>59</v>
      </c>
      <c r="E383">
        <v>20</v>
      </c>
      <c r="F383">
        <v>13</v>
      </c>
      <c r="G383" t="s">
        <v>1322</v>
      </c>
      <c r="H383" t="s">
        <v>1323</v>
      </c>
      <c r="I383" t="s">
        <v>43</v>
      </c>
      <c r="J383" t="s">
        <v>44</v>
      </c>
      <c r="K383" t="s">
        <v>44</v>
      </c>
      <c r="L383" t="s">
        <v>43</v>
      </c>
      <c r="M383" t="s">
        <v>43</v>
      </c>
      <c r="N383" t="s">
        <v>43</v>
      </c>
      <c r="O383" t="s">
        <v>44</v>
      </c>
      <c r="P383" t="s">
        <v>43</v>
      </c>
      <c r="Q383" t="s">
        <v>43</v>
      </c>
      <c r="R383" t="s">
        <v>43</v>
      </c>
      <c r="S383" t="s">
        <v>259</v>
      </c>
      <c r="T383" t="s">
        <v>398</v>
      </c>
      <c r="U383" t="s">
        <v>272</v>
      </c>
      <c r="V383" t="s">
        <v>372</v>
      </c>
      <c r="W383" t="s">
        <v>148</v>
      </c>
      <c r="X383" t="s">
        <v>43</v>
      </c>
      <c r="Y383" t="s">
        <v>181</v>
      </c>
      <c r="Z383" t="s">
        <v>181</v>
      </c>
      <c r="AA383" t="s">
        <v>43</v>
      </c>
      <c r="AB383" t="s">
        <v>181</v>
      </c>
      <c r="AC383" t="s">
        <v>43</v>
      </c>
      <c r="AD383" t="s">
        <v>169</v>
      </c>
      <c r="AE383" t="s">
        <v>169</v>
      </c>
      <c r="AF383" t="s">
        <v>43</v>
      </c>
      <c r="AG383" t="s">
        <v>169</v>
      </c>
      <c r="AH383" t="s">
        <v>1286</v>
      </c>
    </row>
    <row r="384" spans="1:34" x14ac:dyDescent="0.25">
      <c r="A384" t="s">
        <v>1324</v>
      </c>
      <c r="B384" t="s">
        <v>978</v>
      </c>
      <c r="C384" t="s">
        <v>709</v>
      </c>
      <c r="D384" t="s">
        <v>185</v>
      </c>
      <c r="E384">
        <v>30</v>
      </c>
      <c r="F384">
        <v>12</v>
      </c>
      <c r="G384" t="s">
        <v>1325</v>
      </c>
      <c r="H384" t="s">
        <v>1323</v>
      </c>
      <c r="I384" t="s">
        <v>44</v>
      </c>
      <c r="J384" t="s">
        <v>63</v>
      </c>
      <c r="K384" t="s">
        <v>114</v>
      </c>
      <c r="L384" t="s">
        <v>44</v>
      </c>
      <c r="M384" t="s">
        <v>43</v>
      </c>
      <c r="N384" t="s">
        <v>43</v>
      </c>
      <c r="O384" t="s">
        <v>114</v>
      </c>
      <c r="P384" t="s">
        <v>43</v>
      </c>
      <c r="Q384" t="s">
        <v>113</v>
      </c>
      <c r="R384" t="s">
        <v>113</v>
      </c>
      <c r="S384" t="s">
        <v>416</v>
      </c>
      <c r="T384" t="s">
        <v>45</v>
      </c>
      <c r="U384" t="s">
        <v>233</v>
      </c>
      <c r="V384" t="s">
        <v>147</v>
      </c>
      <c r="W384" t="s">
        <v>735</v>
      </c>
      <c r="X384" t="s">
        <v>181</v>
      </c>
      <c r="Y384" t="s">
        <v>156</v>
      </c>
      <c r="Z384" t="s">
        <v>103</v>
      </c>
      <c r="AA384" t="s">
        <v>181</v>
      </c>
      <c r="AB384" t="s">
        <v>103</v>
      </c>
      <c r="AC384" t="s">
        <v>194</v>
      </c>
      <c r="AD384" t="s">
        <v>204</v>
      </c>
      <c r="AE384" t="s">
        <v>163</v>
      </c>
      <c r="AF384" t="s">
        <v>194</v>
      </c>
      <c r="AG384" t="s">
        <v>163</v>
      </c>
      <c r="AH384" t="s">
        <v>1286</v>
      </c>
    </row>
    <row r="385" spans="1:34" x14ac:dyDescent="0.25">
      <c r="A385" t="s">
        <v>1326</v>
      </c>
      <c r="B385" t="s">
        <v>57</v>
      </c>
      <c r="C385" t="s">
        <v>36</v>
      </c>
      <c r="D385" t="s">
        <v>62</v>
      </c>
      <c r="E385">
        <v>23</v>
      </c>
      <c r="F385">
        <v>11</v>
      </c>
      <c r="G385" t="s">
        <v>1327</v>
      </c>
      <c r="H385" t="s">
        <v>130</v>
      </c>
      <c r="I385" t="s">
        <v>44</v>
      </c>
      <c r="J385" t="s">
        <v>44</v>
      </c>
      <c r="K385" t="s">
        <v>63</v>
      </c>
      <c r="L385" t="s">
        <v>44</v>
      </c>
      <c r="M385" t="s">
        <v>43</v>
      </c>
      <c r="N385" t="s">
        <v>43</v>
      </c>
      <c r="O385" t="s">
        <v>114</v>
      </c>
      <c r="P385" t="s">
        <v>43</v>
      </c>
      <c r="Q385" t="s">
        <v>378</v>
      </c>
      <c r="R385" t="s">
        <v>378</v>
      </c>
      <c r="S385" t="s">
        <v>164</v>
      </c>
      <c r="T385" t="s">
        <v>177</v>
      </c>
      <c r="U385" t="s">
        <v>201</v>
      </c>
      <c r="V385" t="s">
        <v>248</v>
      </c>
      <c r="W385" t="s">
        <v>147</v>
      </c>
      <c r="X385" t="s">
        <v>120</v>
      </c>
      <c r="Y385" t="s">
        <v>120</v>
      </c>
      <c r="Z385" t="s">
        <v>151</v>
      </c>
      <c r="AA385" t="s">
        <v>120</v>
      </c>
      <c r="AB385" t="s">
        <v>151</v>
      </c>
      <c r="AC385" t="s">
        <v>169</v>
      </c>
      <c r="AD385" t="s">
        <v>156</v>
      </c>
      <c r="AE385" t="s">
        <v>103</v>
      </c>
      <c r="AF385" t="s">
        <v>169</v>
      </c>
      <c r="AG385" t="s">
        <v>103</v>
      </c>
      <c r="AH385" t="s">
        <v>1286</v>
      </c>
    </row>
    <row r="386" spans="1:34" x14ac:dyDescent="0.25">
      <c r="A386" t="s">
        <v>1328</v>
      </c>
      <c r="B386" t="s">
        <v>287</v>
      </c>
      <c r="C386" t="s">
        <v>58</v>
      </c>
      <c r="D386" t="s">
        <v>201</v>
      </c>
      <c r="E386">
        <v>20</v>
      </c>
      <c r="F386">
        <v>7</v>
      </c>
      <c r="G386" t="s">
        <v>1329</v>
      </c>
      <c r="H386" t="s">
        <v>723</v>
      </c>
      <c r="I386" t="s">
        <v>63</v>
      </c>
      <c r="J386" t="s">
        <v>63</v>
      </c>
      <c r="K386" t="s">
        <v>83</v>
      </c>
      <c r="L386" t="s">
        <v>63</v>
      </c>
      <c r="M386" t="s">
        <v>43</v>
      </c>
      <c r="N386" t="s">
        <v>43</v>
      </c>
      <c r="O386" t="s">
        <v>43</v>
      </c>
      <c r="P386" t="s">
        <v>43</v>
      </c>
      <c r="Q386" t="s">
        <v>199</v>
      </c>
      <c r="R386" t="s">
        <v>199</v>
      </c>
      <c r="S386" t="s">
        <v>177</v>
      </c>
      <c r="T386" t="s">
        <v>81</v>
      </c>
      <c r="U386" t="s">
        <v>955</v>
      </c>
      <c r="V386" t="s">
        <v>227</v>
      </c>
      <c r="W386" t="s">
        <v>1244</v>
      </c>
      <c r="X386" t="s">
        <v>73</v>
      </c>
      <c r="Y386" t="s">
        <v>73</v>
      </c>
      <c r="Z386" t="s">
        <v>52</v>
      </c>
      <c r="AA386" t="s">
        <v>73</v>
      </c>
      <c r="AB386" t="s">
        <v>52</v>
      </c>
      <c r="AC386" t="s">
        <v>72</v>
      </c>
      <c r="AD386" t="s">
        <v>100</v>
      </c>
      <c r="AE386" t="s">
        <v>313</v>
      </c>
      <c r="AF386" t="s">
        <v>72</v>
      </c>
      <c r="AG386" t="s">
        <v>313</v>
      </c>
      <c r="AH386" t="s">
        <v>1286</v>
      </c>
    </row>
    <row r="387" spans="1:34" x14ac:dyDescent="0.25">
      <c r="A387" t="s">
        <v>1330</v>
      </c>
      <c r="B387" t="s">
        <v>432</v>
      </c>
      <c r="C387" t="s">
        <v>108</v>
      </c>
      <c r="D387" t="s">
        <v>268</v>
      </c>
      <c r="E387">
        <v>10</v>
      </c>
      <c r="F387">
        <v>6</v>
      </c>
      <c r="G387" t="s">
        <v>1331</v>
      </c>
      <c r="H387" t="s">
        <v>924</v>
      </c>
      <c r="I387" t="s">
        <v>43</v>
      </c>
      <c r="J387" t="s">
        <v>44</v>
      </c>
      <c r="K387" t="s">
        <v>44</v>
      </c>
      <c r="L387" t="s">
        <v>43</v>
      </c>
      <c r="M387" t="s">
        <v>43</v>
      </c>
      <c r="N387" t="s">
        <v>43</v>
      </c>
      <c r="O387" t="s">
        <v>63</v>
      </c>
      <c r="P387" t="s">
        <v>43</v>
      </c>
      <c r="Q387" t="s">
        <v>82</v>
      </c>
      <c r="R387" t="s">
        <v>82</v>
      </c>
      <c r="S387" t="s">
        <v>112</v>
      </c>
      <c r="T387" t="s">
        <v>176</v>
      </c>
      <c r="U387" t="s">
        <v>83</v>
      </c>
      <c r="V387" t="s">
        <v>268</v>
      </c>
      <c r="W387" t="s">
        <v>44</v>
      </c>
      <c r="X387" t="s">
        <v>43</v>
      </c>
      <c r="Y387" t="s">
        <v>156</v>
      </c>
      <c r="Z387" t="s">
        <v>156</v>
      </c>
      <c r="AA387" t="s">
        <v>43</v>
      </c>
      <c r="AB387" t="s">
        <v>156</v>
      </c>
      <c r="AC387" t="s">
        <v>119</v>
      </c>
      <c r="AD387" t="s">
        <v>169</v>
      </c>
      <c r="AE387" t="s">
        <v>181</v>
      </c>
      <c r="AF387" t="s">
        <v>119</v>
      </c>
      <c r="AG387" t="s">
        <v>181</v>
      </c>
      <c r="AH387" t="s">
        <v>1286</v>
      </c>
    </row>
    <row r="388" spans="1:34" x14ac:dyDescent="0.25">
      <c r="A388" t="s">
        <v>1332</v>
      </c>
      <c r="B388" t="s">
        <v>411</v>
      </c>
      <c r="C388" t="s">
        <v>77</v>
      </c>
      <c r="D388" t="s">
        <v>201</v>
      </c>
      <c r="E388">
        <v>4</v>
      </c>
      <c r="F388">
        <v>4</v>
      </c>
      <c r="G388" t="s">
        <v>1333</v>
      </c>
      <c r="H388" t="s">
        <v>83</v>
      </c>
      <c r="I388" t="s">
        <v>43</v>
      </c>
      <c r="J388" t="s">
        <v>43</v>
      </c>
      <c r="K388" t="s">
        <v>43</v>
      </c>
      <c r="L388" t="s">
        <v>43</v>
      </c>
      <c r="M388" t="s">
        <v>43</v>
      </c>
      <c r="N388" t="s">
        <v>43</v>
      </c>
      <c r="O388" t="s">
        <v>43</v>
      </c>
      <c r="P388" t="s">
        <v>43</v>
      </c>
      <c r="Q388" t="s">
        <v>43</v>
      </c>
      <c r="R388" t="s">
        <v>43</v>
      </c>
      <c r="S388" t="s">
        <v>43</v>
      </c>
      <c r="T388" t="s">
        <v>43</v>
      </c>
      <c r="U388" t="s">
        <v>43</v>
      </c>
      <c r="V388" t="s">
        <v>43</v>
      </c>
      <c r="W388" t="s">
        <v>43</v>
      </c>
      <c r="X388" t="s">
        <v>43</v>
      </c>
      <c r="Y388" t="s">
        <v>43</v>
      </c>
      <c r="Z388" t="s">
        <v>43</v>
      </c>
      <c r="AA388" t="s">
        <v>43</v>
      </c>
      <c r="AB388" t="s">
        <v>43</v>
      </c>
      <c r="AC388" t="s">
        <v>43</v>
      </c>
      <c r="AD388" t="s">
        <v>43</v>
      </c>
      <c r="AE388" t="s">
        <v>43</v>
      </c>
      <c r="AF388" t="s">
        <v>43</v>
      </c>
      <c r="AG388" t="s">
        <v>43</v>
      </c>
      <c r="AH388" t="s">
        <v>1286</v>
      </c>
    </row>
    <row r="389" spans="1:34" x14ac:dyDescent="0.25">
      <c r="A389" t="s">
        <v>1334</v>
      </c>
      <c r="B389" t="s">
        <v>57</v>
      </c>
      <c r="C389" t="s">
        <v>36</v>
      </c>
      <c r="D389" t="s">
        <v>123</v>
      </c>
      <c r="E389">
        <v>11</v>
      </c>
      <c r="F389">
        <v>3</v>
      </c>
      <c r="G389" t="s">
        <v>1335</v>
      </c>
      <c r="H389" t="s">
        <v>145</v>
      </c>
      <c r="I389" t="s">
        <v>43</v>
      </c>
      <c r="J389" t="s">
        <v>43</v>
      </c>
      <c r="K389" t="s">
        <v>43</v>
      </c>
      <c r="L389" t="s">
        <v>43</v>
      </c>
      <c r="M389" t="s">
        <v>43</v>
      </c>
      <c r="N389" t="s">
        <v>43</v>
      </c>
      <c r="O389" t="s">
        <v>43</v>
      </c>
      <c r="P389" t="s">
        <v>43</v>
      </c>
      <c r="Q389" t="s">
        <v>82</v>
      </c>
      <c r="R389" t="s">
        <v>82</v>
      </c>
      <c r="S389" t="s">
        <v>241</v>
      </c>
      <c r="T389" t="s">
        <v>163</v>
      </c>
      <c r="U389" t="s">
        <v>126</v>
      </c>
      <c r="V389" t="s">
        <v>141</v>
      </c>
      <c r="W389" t="s">
        <v>114</v>
      </c>
      <c r="X389" t="s">
        <v>43</v>
      </c>
      <c r="Y389" t="s">
        <v>43</v>
      </c>
      <c r="Z389" t="s">
        <v>43</v>
      </c>
      <c r="AA389" t="s">
        <v>43</v>
      </c>
      <c r="AB389" t="s">
        <v>43</v>
      </c>
      <c r="AC389" t="s">
        <v>182</v>
      </c>
      <c r="AD389" t="s">
        <v>169</v>
      </c>
      <c r="AE389" t="s">
        <v>242</v>
      </c>
      <c r="AF389" t="s">
        <v>182</v>
      </c>
      <c r="AG389" t="s">
        <v>242</v>
      </c>
      <c r="AH389" t="s">
        <v>1286</v>
      </c>
    </row>
    <row r="390" spans="1:34" x14ac:dyDescent="0.25">
      <c r="A390" t="s">
        <v>1336</v>
      </c>
      <c r="B390" t="s">
        <v>1337</v>
      </c>
      <c r="C390" t="s">
        <v>58</v>
      </c>
      <c r="D390" t="s">
        <v>148</v>
      </c>
      <c r="E390">
        <v>16</v>
      </c>
      <c r="F390">
        <v>2</v>
      </c>
      <c r="G390" t="s">
        <v>1338</v>
      </c>
      <c r="H390" t="s">
        <v>297</v>
      </c>
      <c r="I390" t="s">
        <v>63</v>
      </c>
      <c r="J390" t="s">
        <v>63</v>
      </c>
      <c r="K390" t="s">
        <v>83</v>
      </c>
      <c r="L390" t="s">
        <v>63</v>
      </c>
      <c r="M390" t="s">
        <v>43</v>
      </c>
      <c r="N390" t="s">
        <v>43</v>
      </c>
      <c r="O390" t="s">
        <v>44</v>
      </c>
      <c r="P390" t="s">
        <v>43</v>
      </c>
      <c r="Q390" t="s">
        <v>224</v>
      </c>
      <c r="R390" t="s">
        <v>224</v>
      </c>
      <c r="S390" t="s">
        <v>44</v>
      </c>
      <c r="T390" t="s">
        <v>46</v>
      </c>
      <c r="U390" t="s">
        <v>83</v>
      </c>
      <c r="V390" t="s">
        <v>142</v>
      </c>
      <c r="W390" t="s">
        <v>123</v>
      </c>
      <c r="X390" t="s">
        <v>320</v>
      </c>
      <c r="Y390" t="s">
        <v>320</v>
      </c>
      <c r="Z390" t="s">
        <v>254</v>
      </c>
      <c r="AA390" t="s">
        <v>320</v>
      </c>
      <c r="AB390" t="s">
        <v>254</v>
      </c>
      <c r="AC390" t="s">
        <v>259</v>
      </c>
      <c r="AD390" t="s">
        <v>51</v>
      </c>
      <c r="AE390" t="s">
        <v>1339</v>
      </c>
      <c r="AF390" t="s">
        <v>259</v>
      </c>
      <c r="AG390" t="s">
        <v>1339</v>
      </c>
      <c r="AH390" t="s">
        <v>1286</v>
      </c>
    </row>
    <row r="391" spans="1:34" x14ac:dyDescent="0.25">
      <c r="A391" t="s">
        <v>1340</v>
      </c>
      <c r="B391" t="s">
        <v>432</v>
      </c>
      <c r="C391" t="s">
        <v>58</v>
      </c>
      <c r="D391" t="s">
        <v>148</v>
      </c>
      <c r="E391">
        <v>13</v>
      </c>
      <c r="F391">
        <v>2</v>
      </c>
      <c r="G391" t="s">
        <v>1341</v>
      </c>
      <c r="H391" t="s">
        <v>188</v>
      </c>
      <c r="I391" t="s">
        <v>44</v>
      </c>
      <c r="J391" t="s">
        <v>44</v>
      </c>
      <c r="K391" t="s">
        <v>63</v>
      </c>
      <c r="L391" t="s">
        <v>44</v>
      </c>
      <c r="M391" t="s">
        <v>43</v>
      </c>
      <c r="N391" t="s">
        <v>43</v>
      </c>
      <c r="O391" t="s">
        <v>44</v>
      </c>
      <c r="P391" t="s">
        <v>43</v>
      </c>
      <c r="Q391" t="s">
        <v>531</v>
      </c>
      <c r="R391" t="s">
        <v>531</v>
      </c>
      <c r="S391" t="s">
        <v>44</v>
      </c>
      <c r="T391" t="s">
        <v>730</v>
      </c>
      <c r="U391" t="s">
        <v>40</v>
      </c>
      <c r="V391" t="s">
        <v>185</v>
      </c>
      <c r="W391" t="s">
        <v>37</v>
      </c>
      <c r="X391" t="s">
        <v>466</v>
      </c>
      <c r="Y391" t="s">
        <v>466</v>
      </c>
      <c r="Z391" t="s">
        <v>313</v>
      </c>
      <c r="AA391" t="s">
        <v>466</v>
      </c>
      <c r="AB391" t="s">
        <v>313</v>
      </c>
      <c r="AC391" t="s">
        <v>378</v>
      </c>
      <c r="AD391" t="s">
        <v>72</v>
      </c>
      <c r="AE391" t="s">
        <v>155</v>
      </c>
      <c r="AF391" t="s">
        <v>378</v>
      </c>
      <c r="AG391" t="s">
        <v>155</v>
      </c>
      <c r="AH391" t="s">
        <v>1286</v>
      </c>
    </row>
    <row r="392" spans="1:34" x14ac:dyDescent="0.25">
      <c r="A392" t="s">
        <v>1342</v>
      </c>
      <c r="B392" t="s">
        <v>813</v>
      </c>
      <c r="C392" t="s">
        <v>77</v>
      </c>
      <c r="D392" t="s">
        <v>148</v>
      </c>
      <c r="E392">
        <v>2</v>
      </c>
      <c r="F392">
        <v>2</v>
      </c>
      <c r="G392" t="s">
        <v>96</v>
      </c>
      <c r="H392" t="s">
        <v>63</v>
      </c>
      <c r="I392" t="s">
        <v>43</v>
      </c>
      <c r="J392" t="s">
        <v>43</v>
      </c>
      <c r="K392" t="s">
        <v>43</v>
      </c>
      <c r="L392" t="s">
        <v>43</v>
      </c>
      <c r="M392" t="s">
        <v>43</v>
      </c>
      <c r="N392" t="s">
        <v>43</v>
      </c>
      <c r="O392" t="s">
        <v>43</v>
      </c>
      <c r="P392" t="s">
        <v>43</v>
      </c>
      <c r="Q392" t="s">
        <v>43</v>
      </c>
      <c r="R392" t="s">
        <v>43</v>
      </c>
      <c r="S392" t="s">
        <v>43</v>
      </c>
      <c r="T392" t="s">
        <v>43</v>
      </c>
      <c r="U392" t="s">
        <v>43</v>
      </c>
      <c r="V392" t="s">
        <v>43</v>
      </c>
      <c r="W392" t="s">
        <v>43</v>
      </c>
      <c r="X392" t="s">
        <v>43</v>
      </c>
      <c r="Y392" t="s">
        <v>43</v>
      </c>
      <c r="Z392" t="s">
        <v>43</v>
      </c>
      <c r="AA392" t="s">
        <v>43</v>
      </c>
      <c r="AB392" t="s">
        <v>43</v>
      </c>
      <c r="AC392" t="s">
        <v>43</v>
      </c>
      <c r="AD392" t="s">
        <v>43</v>
      </c>
      <c r="AE392" t="s">
        <v>43</v>
      </c>
      <c r="AF392" t="s">
        <v>43</v>
      </c>
      <c r="AG392" t="s">
        <v>43</v>
      </c>
      <c r="AH392" t="s">
        <v>1286</v>
      </c>
    </row>
    <row r="393" spans="1:34" x14ac:dyDescent="0.25">
      <c r="A393" t="s">
        <v>1343</v>
      </c>
      <c r="B393" t="s">
        <v>57</v>
      </c>
      <c r="C393" t="s">
        <v>137</v>
      </c>
      <c r="D393" t="s">
        <v>59</v>
      </c>
      <c r="E393">
        <v>3</v>
      </c>
      <c r="F393">
        <v>2</v>
      </c>
      <c r="G393" t="s">
        <v>339</v>
      </c>
      <c r="H393" t="s">
        <v>164</v>
      </c>
      <c r="I393" t="s">
        <v>43</v>
      </c>
      <c r="J393" t="s">
        <v>43</v>
      </c>
      <c r="K393" t="s">
        <v>43</v>
      </c>
      <c r="L393" t="s">
        <v>43</v>
      </c>
      <c r="M393" t="s">
        <v>43</v>
      </c>
      <c r="N393" t="s">
        <v>43</v>
      </c>
      <c r="O393" t="s">
        <v>44</v>
      </c>
      <c r="P393" t="s">
        <v>43</v>
      </c>
      <c r="Q393" t="s">
        <v>82</v>
      </c>
      <c r="R393" t="s">
        <v>82</v>
      </c>
      <c r="S393" t="s">
        <v>43</v>
      </c>
      <c r="T393" t="s">
        <v>82</v>
      </c>
      <c r="U393" t="s">
        <v>63</v>
      </c>
      <c r="V393" t="s">
        <v>40</v>
      </c>
      <c r="W393" t="s">
        <v>41</v>
      </c>
      <c r="X393" t="s">
        <v>43</v>
      </c>
      <c r="Y393" t="s">
        <v>43</v>
      </c>
      <c r="Z393" t="s">
        <v>43</v>
      </c>
      <c r="AA393" t="s">
        <v>43</v>
      </c>
      <c r="AB393" t="s">
        <v>43</v>
      </c>
      <c r="AC393" t="s">
        <v>193</v>
      </c>
      <c r="AD393" t="s">
        <v>43</v>
      </c>
      <c r="AE393" t="s">
        <v>193</v>
      </c>
      <c r="AF393" t="s">
        <v>193</v>
      </c>
      <c r="AG393" t="s">
        <v>193</v>
      </c>
      <c r="AH393" t="s">
        <v>1286</v>
      </c>
    </row>
    <row r="394" spans="1:34" x14ac:dyDescent="0.25">
      <c r="A394" t="s">
        <v>1344</v>
      </c>
      <c r="B394" t="s">
        <v>1073</v>
      </c>
      <c r="C394" t="s">
        <v>36</v>
      </c>
      <c r="D394" t="s">
        <v>201</v>
      </c>
      <c r="E394">
        <v>3</v>
      </c>
      <c r="F394">
        <v>1</v>
      </c>
      <c r="G394" t="s">
        <v>1252</v>
      </c>
      <c r="H394" t="s">
        <v>222</v>
      </c>
      <c r="I394" t="s">
        <v>43</v>
      </c>
      <c r="J394" t="s">
        <v>43</v>
      </c>
      <c r="K394" t="s">
        <v>43</v>
      </c>
      <c r="L394" t="s">
        <v>43</v>
      </c>
      <c r="M394" t="s">
        <v>43</v>
      </c>
      <c r="N394" t="s">
        <v>43</v>
      </c>
      <c r="O394" t="s">
        <v>43</v>
      </c>
      <c r="P394" t="s">
        <v>43</v>
      </c>
      <c r="Q394" t="s">
        <v>43</v>
      </c>
      <c r="R394" t="s">
        <v>43</v>
      </c>
      <c r="S394" t="s">
        <v>82</v>
      </c>
      <c r="T394" t="s">
        <v>82</v>
      </c>
      <c r="U394" t="s">
        <v>83</v>
      </c>
      <c r="V394" t="s">
        <v>81</v>
      </c>
      <c r="W394" t="s">
        <v>44</v>
      </c>
      <c r="X394" t="s">
        <v>43</v>
      </c>
      <c r="Y394" t="s">
        <v>43</v>
      </c>
      <c r="Z394" t="s">
        <v>43</v>
      </c>
      <c r="AA394" t="s">
        <v>43</v>
      </c>
      <c r="AB394" t="s">
        <v>43</v>
      </c>
      <c r="AC394" t="s">
        <v>43</v>
      </c>
      <c r="AD394" t="s">
        <v>169</v>
      </c>
      <c r="AE394" t="s">
        <v>169</v>
      </c>
      <c r="AF394" t="s">
        <v>43</v>
      </c>
      <c r="AG394" t="s">
        <v>169</v>
      </c>
      <c r="AH394" t="s">
        <v>1286</v>
      </c>
    </row>
    <row r="395" spans="1:34" x14ac:dyDescent="0.25">
      <c r="A395" t="s">
        <v>1345</v>
      </c>
      <c r="B395" t="s">
        <v>57</v>
      </c>
      <c r="C395" t="s">
        <v>108</v>
      </c>
      <c r="D395" t="s">
        <v>185</v>
      </c>
      <c r="E395">
        <v>5</v>
      </c>
      <c r="F395">
        <v>1</v>
      </c>
      <c r="G395" t="s">
        <v>47</v>
      </c>
      <c r="H395" t="s">
        <v>259</v>
      </c>
      <c r="I395" t="s">
        <v>43</v>
      </c>
      <c r="J395" t="s">
        <v>43</v>
      </c>
      <c r="K395" t="s">
        <v>43</v>
      </c>
      <c r="L395" t="s">
        <v>43</v>
      </c>
      <c r="M395" t="s">
        <v>43</v>
      </c>
      <c r="N395" t="s">
        <v>43</v>
      </c>
      <c r="O395" t="s">
        <v>43</v>
      </c>
      <c r="P395" t="s">
        <v>43</v>
      </c>
      <c r="Q395" t="s">
        <v>43</v>
      </c>
      <c r="R395" t="s">
        <v>43</v>
      </c>
      <c r="S395" t="s">
        <v>43</v>
      </c>
      <c r="T395" t="s">
        <v>43</v>
      </c>
      <c r="U395" t="s">
        <v>43</v>
      </c>
      <c r="V395" t="s">
        <v>81</v>
      </c>
      <c r="W395" t="s">
        <v>44</v>
      </c>
      <c r="X395" t="s">
        <v>43</v>
      </c>
      <c r="Y395" t="s">
        <v>43</v>
      </c>
      <c r="Z395" t="s">
        <v>43</v>
      </c>
      <c r="AA395" t="s">
        <v>43</v>
      </c>
      <c r="AB395" t="s">
        <v>43</v>
      </c>
      <c r="AC395" t="s">
        <v>43</v>
      </c>
      <c r="AD395" t="s">
        <v>43</v>
      </c>
      <c r="AE395" t="s">
        <v>43</v>
      </c>
      <c r="AF395" t="s">
        <v>43</v>
      </c>
      <c r="AG395" t="s">
        <v>43</v>
      </c>
      <c r="AH395" t="s">
        <v>1286</v>
      </c>
    </row>
    <row r="396" spans="1:34" x14ac:dyDescent="0.25">
      <c r="A396" t="s">
        <v>1346</v>
      </c>
      <c r="B396" t="s">
        <v>432</v>
      </c>
      <c r="C396" t="s">
        <v>58</v>
      </c>
      <c r="D396" t="s">
        <v>263</v>
      </c>
      <c r="E396">
        <v>8</v>
      </c>
      <c r="F396">
        <v>0</v>
      </c>
      <c r="G396" t="s">
        <v>771</v>
      </c>
      <c r="H396" t="s">
        <v>200</v>
      </c>
      <c r="I396" t="s">
        <v>44</v>
      </c>
      <c r="J396" t="s">
        <v>43</v>
      </c>
      <c r="K396" t="s">
        <v>44</v>
      </c>
      <c r="L396" t="s">
        <v>44</v>
      </c>
      <c r="M396" t="s">
        <v>43</v>
      </c>
      <c r="N396" t="s">
        <v>43</v>
      </c>
      <c r="O396" t="s">
        <v>43</v>
      </c>
      <c r="P396" t="s">
        <v>43</v>
      </c>
      <c r="Q396" t="s">
        <v>416</v>
      </c>
      <c r="R396" t="s">
        <v>416</v>
      </c>
      <c r="S396" t="s">
        <v>241</v>
      </c>
      <c r="T396" t="s">
        <v>164</v>
      </c>
      <c r="U396" t="s">
        <v>63</v>
      </c>
      <c r="V396" t="s">
        <v>83</v>
      </c>
      <c r="W396" t="s">
        <v>127</v>
      </c>
      <c r="X396" t="s">
        <v>568</v>
      </c>
      <c r="Y396" t="s">
        <v>43</v>
      </c>
      <c r="Z396" t="s">
        <v>568</v>
      </c>
      <c r="AA396" t="s">
        <v>568</v>
      </c>
      <c r="AB396" t="s">
        <v>568</v>
      </c>
      <c r="AC396" t="s">
        <v>1347</v>
      </c>
      <c r="AD396" t="s">
        <v>241</v>
      </c>
      <c r="AE396" t="s">
        <v>1348</v>
      </c>
      <c r="AF396" t="s">
        <v>1347</v>
      </c>
      <c r="AG396" t="s">
        <v>1348</v>
      </c>
      <c r="AH396" t="s">
        <v>1286</v>
      </c>
    </row>
    <row r="397" spans="1:34" x14ac:dyDescent="0.25">
      <c r="A397" t="s">
        <v>1349</v>
      </c>
      <c r="B397" t="s">
        <v>891</v>
      </c>
      <c r="C397" t="s">
        <v>36</v>
      </c>
      <c r="D397" t="s">
        <v>59</v>
      </c>
      <c r="E397">
        <v>3</v>
      </c>
      <c r="F397">
        <v>0</v>
      </c>
      <c r="G397" t="s">
        <v>233</v>
      </c>
      <c r="H397" t="s">
        <v>176</v>
      </c>
      <c r="I397" t="s">
        <v>43</v>
      </c>
      <c r="J397" t="s">
        <v>43</v>
      </c>
      <c r="K397" t="s">
        <v>43</v>
      </c>
      <c r="L397" t="s">
        <v>43</v>
      </c>
      <c r="M397" t="s">
        <v>43</v>
      </c>
      <c r="N397" t="s">
        <v>43</v>
      </c>
      <c r="O397" t="s">
        <v>43</v>
      </c>
      <c r="P397" t="s">
        <v>43</v>
      </c>
      <c r="Q397" t="s">
        <v>241</v>
      </c>
      <c r="R397" t="s">
        <v>241</v>
      </c>
      <c r="S397" t="s">
        <v>43</v>
      </c>
      <c r="T397" t="s">
        <v>241</v>
      </c>
      <c r="U397" t="s">
        <v>63</v>
      </c>
      <c r="V397" t="s">
        <v>114</v>
      </c>
      <c r="W397" t="s">
        <v>83</v>
      </c>
      <c r="X397" t="s">
        <v>43</v>
      </c>
      <c r="Y397" t="s">
        <v>43</v>
      </c>
      <c r="Z397" t="s">
        <v>43</v>
      </c>
      <c r="AA397" t="s">
        <v>43</v>
      </c>
      <c r="AB397" t="s">
        <v>43</v>
      </c>
      <c r="AC397" t="s">
        <v>616</v>
      </c>
      <c r="AD397" t="s">
        <v>181</v>
      </c>
      <c r="AE397" t="s">
        <v>251</v>
      </c>
      <c r="AF397" t="s">
        <v>616</v>
      </c>
      <c r="AG397" t="s">
        <v>251</v>
      </c>
      <c r="AH397" t="s">
        <v>1286</v>
      </c>
    </row>
    <row r="398" spans="1:34" x14ac:dyDescent="0.25">
      <c r="A398" t="s">
        <v>1350</v>
      </c>
      <c r="B398" t="s">
        <v>376</v>
      </c>
      <c r="C398" t="s">
        <v>86</v>
      </c>
      <c r="D398" t="s">
        <v>268</v>
      </c>
      <c r="E398">
        <v>5</v>
      </c>
      <c r="F398">
        <v>0</v>
      </c>
      <c r="G398" t="s">
        <v>801</v>
      </c>
      <c r="H398" t="s">
        <v>176</v>
      </c>
      <c r="I398" t="s">
        <v>43</v>
      </c>
      <c r="J398" t="s">
        <v>43</v>
      </c>
      <c r="K398" t="s">
        <v>43</v>
      </c>
      <c r="L398" t="s">
        <v>43</v>
      </c>
      <c r="M398" t="s">
        <v>43</v>
      </c>
      <c r="N398" t="s">
        <v>43</v>
      </c>
      <c r="O398" t="s">
        <v>44</v>
      </c>
      <c r="P398" t="s">
        <v>43</v>
      </c>
      <c r="Q398" t="s">
        <v>241</v>
      </c>
      <c r="R398" t="s">
        <v>241</v>
      </c>
      <c r="S398" t="s">
        <v>43</v>
      </c>
      <c r="T398" t="s">
        <v>241</v>
      </c>
      <c r="U398" t="s">
        <v>83</v>
      </c>
      <c r="V398" t="s">
        <v>81</v>
      </c>
      <c r="W398" t="s">
        <v>83</v>
      </c>
      <c r="X398" t="s">
        <v>43</v>
      </c>
      <c r="Y398" t="s">
        <v>43</v>
      </c>
      <c r="Z398" t="s">
        <v>43</v>
      </c>
      <c r="AA398" t="s">
        <v>43</v>
      </c>
      <c r="AB398" t="s">
        <v>43</v>
      </c>
      <c r="AC398" t="s">
        <v>616</v>
      </c>
      <c r="AD398" t="s">
        <v>43</v>
      </c>
      <c r="AE398" t="s">
        <v>616</v>
      </c>
      <c r="AF398" t="s">
        <v>616</v>
      </c>
      <c r="AG398" t="s">
        <v>616</v>
      </c>
      <c r="AH398" t="s">
        <v>1286</v>
      </c>
    </row>
    <row r="399" spans="1:34" x14ac:dyDescent="0.25">
      <c r="A399" t="s">
        <v>1351</v>
      </c>
      <c r="B399" t="s">
        <v>57</v>
      </c>
      <c r="C399" t="s">
        <v>137</v>
      </c>
      <c r="D399" t="s">
        <v>62</v>
      </c>
      <c r="E399">
        <v>1</v>
      </c>
      <c r="F399">
        <v>0</v>
      </c>
      <c r="G399" t="s">
        <v>44</v>
      </c>
      <c r="H399" t="s">
        <v>43</v>
      </c>
      <c r="I399" t="s">
        <v>43</v>
      </c>
      <c r="J399" t="s">
        <v>43</v>
      </c>
      <c r="K399" t="s">
        <v>43</v>
      </c>
      <c r="L399" t="s">
        <v>43</v>
      </c>
      <c r="M399" t="s">
        <v>43</v>
      </c>
      <c r="N399" t="s">
        <v>43</v>
      </c>
      <c r="O399" t="s">
        <v>43</v>
      </c>
      <c r="P399" t="s">
        <v>43</v>
      </c>
      <c r="Q399" t="s">
        <v>43</v>
      </c>
      <c r="R399" t="s">
        <v>43</v>
      </c>
      <c r="S399" t="s">
        <v>43</v>
      </c>
      <c r="T399" t="s">
        <v>43</v>
      </c>
      <c r="U399" t="s">
        <v>43</v>
      </c>
      <c r="V399" t="s">
        <v>43</v>
      </c>
      <c r="W399" t="s">
        <v>43</v>
      </c>
      <c r="X399" t="s">
        <v>43</v>
      </c>
      <c r="Y399" t="s">
        <v>43</v>
      </c>
      <c r="Z399" t="s">
        <v>43</v>
      </c>
      <c r="AA399" t="s">
        <v>43</v>
      </c>
      <c r="AB399" t="s">
        <v>43</v>
      </c>
      <c r="AC399" t="s">
        <v>43</v>
      </c>
      <c r="AD399" t="s">
        <v>43</v>
      </c>
      <c r="AE399" t="s">
        <v>43</v>
      </c>
      <c r="AF399" t="s">
        <v>43</v>
      </c>
      <c r="AG399" t="s">
        <v>43</v>
      </c>
      <c r="AH399" t="s">
        <v>1286</v>
      </c>
    </row>
    <row r="400" spans="1:34" x14ac:dyDescent="0.25">
      <c r="A400" t="s">
        <v>1352</v>
      </c>
      <c r="B400" t="s">
        <v>57</v>
      </c>
      <c r="C400" t="s">
        <v>108</v>
      </c>
      <c r="D400" t="s">
        <v>148</v>
      </c>
      <c r="E400">
        <v>38</v>
      </c>
      <c r="F400">
        <v>38</v>
      </c>
      <c r="G400" t="s">
        <v>437</v>
      </c>
      <c r="H400" t="s">
        <v>227</v>
      </c>
      <c r="I400" t="s">
        <v>63</v>
      </c>
      <c r="J400" t="s">
        <v>43</v>
      </c>
      <c r="K400" t="s">
        <v>63</v>
      </c>
      <c r="L400" t="s">
        <v>63</v>
      </c>
      <c r="M400" t="s">
        <v>43</v>
      </c>
      <c r="N400" t="s">
        <v>43</v>
      </c>
      <c r="O400" t="s">
        <v>142</v>
      </c>
      <c r="P400" t="s">
        <v>43</v>
      </c>
      <c r="Q400" t="s">
        <v>255</v>
      </c>
      <c r="R400" t="s">
        <v>255</v>
      </c>
      <c r="S400" t="s">
        <v>162</v>
      </c>
      <c r="T400" t="s">
        <v>730</v>
      </c>
      <c r="U400" t="s">
        <v>272</v>
      </c>
      <c r="V400" t="s">
        <v>470</v>
      </c>
      <c r="W400" t="s">
        <v>81</v>
      </c>
      <c r="X400" t="s">
        <v>168</v>
      </c>
      <c r="Y400" t="s">
        <v>43</v>
      </c>
      <c r="Z400" t="s">
        <v>168</v>
      </c>
      <c r="AA400" t="s">
        <v>168</v>
      </c>
      <c r="AB400" t="s">
        <v>168</v>
      </c>
      <c r="AC400" t="s">
        <v>168</v>
      </c>
      <c r="AD400" t="s">
        <v>193</v>
      </c>
      <c r="AE400" t="s">
        <v>242</v>
      </c>
      <c r="AF400" t="s">
        <v>168</v>
      </c>
      <c r="AG400" t="s">
        <v>242</v>
      </c>
      <c r="AH400" t="s">
        <v>1353</v>
      </c>
    </row>
    <row r="401" spans="1:34" x14ac:dyDescent="0.25">
      <c r="A401" t="s">
        <v>1354</v>
      </c>
      <c r="B401" t="s">
        <v>122</v>
      </c>
      <c r="C401" t="s">
        <v>172</v>
      </c>
      <c r="D401" t="s">
        <v>78</v>
      </c>
      <c r="E401">
        <v>36</v>
      </c>
      <c r="F401">
        <v>36</v>
      </c>
      <c r="G401" t="s">
        <v>1355</v>
      </c>
      <c r="H401" t="s">
        <v>445</v>
      </c>
      <c r="I401" t="s">
        <v>43</v>
      </c>
      <c r="J401" t="s">
        <v>44</v>
      </c>
      <c r="K401" t="s">
        <v>44</v>
      </c>
      <c r="L401" t="s">
        <v>43</v>
      </c>
      <c r="M401" t="s">
        <v>43</v>
      </c>
      <c r="N401" t="s">
        <v>43</v>
      </c>
      <c r="O401" t="s">
        <v>231</v>
      </c>
      <c r="P401" t="s">
        <v>44</v>
      </c>
      <c r="Q401" t="s">
        <v>222</v>
      </c>
      <c r="R401" t="s">
        <v>222</v>
      </c>
      <c r="S401" t="s">
        <v>164</v>
      </c>
      <c r="T401" t="s">
        <v>114</v>
      </c>
      <c r="U401" t="s">
        <v>95</v>
      </c>
      <c r="V401" t="s">
        <v>664</v>
      </c>
      <c r="W401" t="s">
        <v>774</v>
      </c>
      <c r="X401" t="s">
        <v>43</v>
      </c>
      <c r="Y401" t="s">
        <v>358</v>
      </c>
      <c r="Z401" t="s">
        <v>358</v>
      </c>
      <c r="AA401" t="s">
        <v>43</v>
      </c>
      <c r="AB401" t="s">
        <v>358</v>
      </c>
      <c r="AC401" t="s">
        <v>193</v>
      </c>
      <c r="AD401" t="s">
        <v>168</v>
      </c>
      <c r="AE401" t="s">
        <v>120</v>
      </c>
      <c r="AF401" t="s">
        <v>193</v>
      </c>
      <c r="AG401" t="s">
        <v>120</v>
      </c>
      <c r="AH401" t="s">
        <v>1353</v>
      </c>
    </row>
    <row r="402" spans="1:34" x14ac:dyDescent="0.25">
      <c r="A402" t="s">
        <v>1356</v>
      </c>
      <c r="B402" t="s">
        <v>122</v>
      </c>
      <c r="C402" t="s">
        <v>77</v>
      </c>
      <c r="D402" t="s">
        <v>263</v>
      </c>
      <c r="E402">
        <v>35</v>
      </c>
      <c r="F402">
        <v>35</v>
      </c>
      <c r="G402" t="s">
        <v>1357</v>
      </c>
      <c r="H402" t="s">
        <v>1358</v>
      </c>
      <c r="I402" t="s">
        <v>43</v>
      </c>
      <c r="J402" t="s">
        <v>44</v>
      </c>
      <c r="K402" t="s">
        <v>44</v>
      </c>
      <c r="L402" t="s">
        <v>43</v>
      </c>
      <c r="M402" t="s">
        <v>43</v>
      </c>
      <c r="N402" t="s">
        <v>43</v>
      </c>
      <c r="O402" t="s">
        <v>44</v>
      </c>
      <c r="P402" t="s">
        <v>43</v>
      </c>
      <c r="Q402" t="s">
        <v>43</v>
      </c>
      <c r="R402" t="s">
        <v>43</v>
      </c>
      <c r="S402" t="s">
        <v>43</v>
      </c>
      <c r="T402" t="s">
        <v>43</v>
      </c>
      <c r="U402" t="s">
        <v>43</v>
      </c>
      <c r="V402" t="s">
        <v>44</v>
      </c>
      <c r="W402" t="s">
        <v>43</v>
      </c>
      <c r="X402" t="s">
        <v>43</v>
      </c>
      <c r="Y402" t="s">
        <v>358</v>
      </c>
      <c r="Z402" t="s">
        <v>358</v>
      </c>
      <c r="AA402" t="s">
        <v>43</v>
      </c>
      <c r="AB402" t="s">
        <v>358</v>
      </c>
      <c r="AC402" t="s">
        <v>43</v>
      </c>
      <c r="AD402" t="s">
        <v>43</v>
      </c>
      <c r="AE402" t="s">
        <v>43</v>
      </c>
      <c r="AF402" t="s">
        <v>43</v>
      </c>
      <c r="AG402" t="s">
        <v>43</v>
      </c>
      <c r="AH402" t="s">
        <v>1353</v>
      </c>
    </row>
    <row r="403" spans="1:34" x14ac:dyDescent="0.25">
      <c r="A403" t="s">
        <v>1359</v>
      </c>
      <c r="B403" t="s">
        <v>1360</v>
      </c>
      <c r="C403" t="s">
        <v>36</v>
      </c>
      <c r="D403" t="s">
        <v>78</v>
      </c>
      <c r="E403">
        <v>35</v>
      </c>
      <c r="F403">
        <v>34</v>
      </c>
      <c r="G403" t="s">
        <v>1361</v>
      </c>
      <c r="H403" t="s">
        <v>109</v>
      </c>
      <c r="I403" t="s">
        <v>83</v>
      </c>
      <c r="J403" t="s">
        <v>44</v>
      </c>
      <c r="K403" t="s">
        <v>81</v>
      </c>
      <c r="L403" t="s">
        <v>83</v>
      </c>
      <c r="M403" t="s">
        <v>43</v>
      </c>
      <c r="N403" t="s">
        <v>43</v>
      </c>
      <c r="O403" t="s">
        <v>276</v>
      </c>
      <c r="P403" t="s">
        <v>44</v>
      </c>
      <c r="Q403" t="s">
        <v>210</v>
      </c>
      <c r="R403" t="s">
        <v>210</v>
      </c>
      <c r="S403" t="s">
        <v>416</v>
      </c>
      <c r="T403" t="s">
        <v>407</v>
      </c>
      <c r="U403" t="s">
        <v>140</v>
      </c>
      <c r="V403" t="s">
        <v>47</v>
      </c>
      <c r="W403" t="s">
        <v>816</v>
      </c>
      <c r="X403" t="s">
        <v>53</v>
      </c>
      <c r="Y403" t="s">
        <v>358</v>
      </c>
      <c r="Z403" t="s">
        <v>156</v>
      </c>
      <c r="AA403" t="s">
        <v>53</v>
      </c>
      <c r="AB403" t="s">
        <v>156</v>
      </c>
      <c r="AC403" t="s">
        <v>218</v>
      </c>
      <c r="AD403" t="s">
        <v>168</v>
      </c>
      <c r="AE403" t="s">
        <v>194</v>
      </c>
      <c r="AF403" t="s">
        <v>218</v>
      </c>
      <c r="AG403" t="s">
        <v>194</v>
      </c>
      <c r="AH403" t="s">
        <v>1353</v>
      </c>
    </row>
    <row r="404" spans="1:34" x14ac:dyDescent="0.25">
      <c r="A404" t="s">
        <v>1362</v>
      </c>
      <c r="B404" t="s">
        <v>76</v>
      </c>
      <c r="C404" t="s">
        <v>36</v>
      </c>
      <c r="D404" t="s">
        <v>272</v>
      </c>
      <c r="E404">
        <v>34</v>
      </c>
      <c r="F404">
        <v>32</v>
      </c>
      <c r="G404" t="s">
        <v>1363</v>
      </c>
      <c r="H404" t="s">
        <v>88</v>
      </c>
      <c r="I404" t="s">
        <v>63</v>
      </c>
      <c r="J404" t="s">
        <v>44</v>
      </c>
      <c r="K404" t="s">
        <v>114</v>
      </c>
      <c r="L404" t="s">
        <v>63</v>
      </c>
      <c r="M404" t="s">
        <v>43</v>
      </c>
      <c r="N404" t="s">
        <v>43</v>
      </c>
      <c r="O404" t="s">
        <v>89</v>
      </c>
      <c r="P404" t="s">
        <v>43</v>
      </c>
      <c r="Q404" t="s">
        <v>164</v>
      </c>
      <c r="R404" t="s">
        <v>164</v>
      </c>
      <c r="S404" t="s">
        <v>254</v>
      </c>
      <c r="T404" t="s">
        <v>282</v>
      </c>
      <c r="U404" t="s">
        <v>123</v>
      </c>
      <c r="V404" t="s">
        <v>357</v>
      </c>
      <c r="W404" t="s">
        <v>298</v>
      </c>
      <c r="X404" t="s">
        <v>181</v>
      </c>
      <c r="Y404" t="s">
        <v>358</v>
      </c>
      <c r="Z404" t="s">
        <v>82</v>
      </c>
      <c r="AA404" t="s">
        <v>181</v>
      </c>
      <c r="AB404" t="s">
        <v>82</v>
      </c>
      <c r="AC404" t="s">
        <v>169</v>
      </c>
      <c r="AD404" t="s">
        <v>193</v>
      </c>
      <c r="AE404" t="s">
        <v>82</v>
      </c>
      <c r="AF404" t="s">
        <v>169</v>
      </c>
      <c r="AG404" t="s">
        <v>82</v>
      </c>
      <c r="AH404" t="s">
        <v>1353</v>
      </c>
    </row>
    <row r="405" spans="1:34" x14ac:dyDescent="0.25">
      <c r="A405" t="s">
        <v>1364</v>
      </c>
      <c r="B405" t="s">
        <v>122</v>
      </c>
      <c r="C405" t="s">
        <v>108</v>
      </c>
      <c r="D405" t="s">
        <v>201</v>
      </c>
      <c r="E405">
        <v>35</v>
      </c>
      <c r="F405">
        <v>31</v>
      </c>
      <c r="G405" t="s">
        <v>1365</v>
      </c>
      <c r="H405" t="s">
        <v>1366</v>
      </c>
      <c r="I405" t="s">
        <v>44</v>
      </c>
      <c r="J405" t="s">
        <v>114</v>
      </c>
      <c r="K405" t="s">
        <v>83</v>
      </c>
      <c r="L405" t="s">
        <v>44</v>
      </c>
      <c r="M405" t="s">
        <v>43</v>
      </c>
      <c r="N405" t="s">
        <v>43</v>
      </c>
      <c r="O405" t="s">
        <v>142</v>
      </c>
      <c r="P405" t="s">
        <v>43</v>
      </c>
      <c r="Q405" t="s">
        <v>223</v>
      </c>
      <c r="R405" t="s">
        <v>223</v>
      </c>
      <c r="S405" t="s">
        <v>200</v>
      </c>
      <c r="T405" t="s">
        <v>282</v>
      </c>
      <c r="U405" t="s">
        <v>272</v>
      </c>
      <c r="V405" t="s">
        <v>641</v>
      </c>
      <c r="W405" t="s">
        <v>89</v>
      </c>
      <c r="X405" t="s">
        <v>358</v>
      </c>
      <c r="Y405" t="s">
        <v>82</v>
      </c>
      <c r="Z405" t="s">
        <v>118</v>
      </c>
      <c r="AA405" t="s">
        <v>358</v>
      </c>
      <c r="AB405" t="s">
        <v>118</v>
      </c>
      <c r="AC405" t="s">
        <v>168</v>
      </c>
      <c r="AD405" t="s">
        <v>193</v>
      </c>
      <c r="AE405" t="s">
        <v>120</v>
      </c>
      <c r="AF405" t="s">
        <v>168</v>
      </c>
      <c r="AG405" t="s">
        <v>120</v>
      </c>
      <c r="AH405" t="s">
        <v>1353</v>
      </c>
    </row>
    <row r="406" spans="1:34" x14ac:dyDescent="0.25">
      <c r="A406" t="s">
        <v>1367</v>
      </c>
      <c r="B406" t="s">
        <v>76</v>
      </c>
      <c r="C406" t="s">
        <v>58</v>
      </c>
      <c r="D406" t="s">
        <v>201</v>
      </c>
      <c r="E406">
        <v>32</v>
      </c>
      <c r="F406">
        <v>29</v>
      </c>
      <c r="G406" t="s">
        <v>1368</v>
      </c>
      <c r="H406" t="s">
        <v>1369</v>
      </c>
      <c r="I406" t="s">
        <v>276</v>
      </c>
      <c r="J406" t="s">
        <v>142</v>
      </c>
      <c r="K406" t="s">
        <v>62</v>
      </c>
      <c r="L406" t="s">
        <v>89</v>
      </c>
      <c r="M406" t="s">
        <v>44</v>
      </c>
      <c r="N406" t="s">
        <v>44</v>
      </c>
      <c r="O406" t="s">
        <v>41</v>
      </c>
      <c r="P406" t="s">
        <v>43</v>
      </c>
      <c r="Q406" t="s">
        <v>329</v>
      </c>
      <c r="R406" t="s">
        <v>420</v>
      </c>
      <c r="S406" t="s">
        <v>730</v>
      </c>
      <c r="T406" t="s">
        <v>289</v>
      </c>
      <c r="U406" t="s">
        <v>1195</v>
      </c>
      <c r="V406" t="s">
        <v>247</v>
      </c>
      <c r="W406" t="s">
        <v>607</v>
      </c>
      <c r="X406" t="s">
        <v>102</v>
      </c>
      <c r="Y406" t="s">
        <v>73</v>
      </c>
      <c r="Z406" t="s">
        <v>378</v>
      </c>
      <c r="AA406" t="s">
        <v>251</v>
      </c>
      <c r="AB406" t="s">
        <v>104</v>
      </c>
      <c r="AC406" t="s">
        <v>301</v>
      </c>
      <c r="AD406" t="s">
        <v>53</v>
      </c>
      <c r="AE406" t="s">
        <v>451</v>
      </c>
      <c r="AF406" t="s">
        <v>466</v>
      </c>
      <c r="AG406" t="s">
        <v>102</v>
      </c>
      <c r="AH406" t="s">
        <v>1353</v>
      </c>
    </row>
    <row r="407" spans="1:34" x14ac:dyDescent="0.25">
      <c r="A407" t="s">
        <v>1370</v>
      </c>
      <c r="B407" t="s">
        <v>1032</v>
      </c>
      <c r="C407" t="s">
        <v>172</v>
      </c>
      <c r="D407" t="s">
        <v>272</v>
      </c>
      <c r="E407">
        <v>33</v>
      </c>
      <c r="F407">
        <v>29</v>
      </c>
      <c r="G407" t="s">
        <v>1371</v>
      </c>
      <c r="H407" t="s">
        <v>187</v>
      </c>
      <c r="I407" t="s">
        <v>63</v>
      </c>
      <c r="J407" t="s">
        <v>44</v>
      </c>
      <c r="K407" t="s">
        <v>114</v>
      </c>
      <c r="L407" t="s">
        <v>63</v>
      </c>
      <c r="M407" t="s">
        <v>43</v>
      </c>
      <c r="N407" t="s">
        <v>43</v>
      </c>
      <c r="O407" t="s">
        <v>142</v>
      </c>
      <c r="P407" t="s">
        <v>43</v>
      </c>
      <c r="Q407" t="s">
        <v>382</v>
      </c>
      <c r="R407" t="s">
        <v>382</v>
      </c>
      <c r="S407" t="s">
        <v>177</v>
      </c>
      <c r="T407" t="s">
        <v>811</v>
      </c>
      <c r="U407" t="s">
        <v>394</v>
      </c>
      <c r="V407" t="s">
        <v>479</v>
      </c>
      <c r="W407" t="s">
        <v>479</v>
      </c>
      <c r="X407" t="s">
        <v>242</v>
      </c>
      <c r="Y407" t="s">
        <v>193</v>
      </c>
      <c r="Z407" t="s">
        <v>53</v>
      </c>
      <c r="AA407" t="s">
        <v>242</v>
      </c>
      <c r="AB407" t="s">
        <v>53</v>
      </c>
      <c r="AC407" t="s">
        <v>118</v>
      </c>
      <c r="AD407" t="s">
        <v>120</v>
      </c>
      <c r="AE407" t="s">
        <v>103</v>
      </c>
      <c r="AF407" t="s">
        <v>118</v>
      </c>
      <c r="AG407" t="s">
        <v>103</v>
      </c>
      <c r="AH407" t="s">
        <v>1353</v>
      </c>
    </row>
    <row r="408" spans="1:34" x14ac:dyDescent="0.25">
      <c r="A408" t="s">
        <v>1372</v>
      </c>
      <c r="B408" t="s">
        <v>57</v>
      </c>
      <c r="C408" t="s">
        <v>108</v>
      </c>
      <c r="D408" t="s">
        <v>109</v>
      </c>
      <c r="E408">
        <v>25</v>
      </c>
      <c r="F408">
        <v>25</v>
      </c>
      <c r="G408" t="s">
        <v>580</v>
      </c>
      <c r="H408" t="s">
        <v>581</v>
      </c>
      <c r="I408" t="s">
        <v>44</v>
      </c>
      <c r="J408" t="s">
        <v>44</v>
      </c>
      <c r="K408" t="s">
        <v>63</v>
      </c>
      <c r="L408" t="s">
        <v>44</v>
      </c>
      <c r="M408" t="s">
        <v>43</v>
      </c>
      <c r="N408" t="s">
        <v>43</v>
      </c>
      <c r="O408" t="s">
        <v>142</v>
      </c>
      <c r="P408" t="s">
        <v>43</v>
      </c>
      <c r="Q408" t="s">
        <v>416</v>
      </c>
      <c r="R408" t="s">
        <v>416</v>
      </c>
      <c r="S408" t="s">
        <v>162</v>
      </c>
      <c r="T408" t="s">
        <v>224</v>
      </c>
      <c r="U408" t="s">
        <v>44</v>
      </c>
      <c r="V408" t="s">
        <v>816</v>
      </c>
      <c r="W408" t="s">
        <v>83</v>
      </c>
      <c r="X408" t="s">
        <v>193</v>
      </c>
      <c r="Y408" t="s">
        <v>193</v>
      </c>
      <c r="Z408" t="s">
        <v>242</v>
      </c>
      <c r="AA408" t="s">
        <v>193</v>
      </c>
      <c r="AB408" t="s">
        <v>242</v>
      </c>
      <c r="AC408" t="s">
        <v>169</v>
      </c>
      <c r="AD408" t="s">
        <v>169</v>
      </c>
      <c r="AE408" t="s">
        <v>53</v>
      </c>
      <c r="AF408" t="s">
        <v>169</v>
      </c>
      <c r="AG408" t="s">
        <v>53</v>
      </c>
      <c r="AH408" t="s">
        <v>1353</v>
      </c>
    </row>
    <row r="409" spans="1:34" x14ac:dyDescent="0.25">
      <c r="A409" t="s">
        <v>1373</v>
      </c>
      <c r="B409" t="s">
        <v>751</v>
      </c>
      <c r="C409" t="s">
        <v>58</v>
      </c>
      <c r="D409" t="s">
        <v>37</v>
      </c>
      <c r="E409">
        <v>29</v>
      </c>
      <c r="F409">
        <v>25</v>
      </c>
      <c r="G409" t="s">
        <v>1374</v>
      </c>
      <c r="H409" t="s">
        <v>1309</v>
      </c>
      <c r="I409" t="s">
        <v>276</v>
      </c>
      <c r="J409" t="s">
        <v>114</v>
      </c>
      <c r="K409" t="s">
        <v>127</v>
      </c>
      <c r="L409" t="s">
        <v>89</v>
      </c>
      <c r="M409" t="s">
        <v>44</v>
      </c>
      <c r="N409" t="s">
        <v>44</v>
      </c>
      <c r="O409" t="s">
        <v>126</v>
      </c>
      <c r="P409" t="s">
        <v>43</v>
      </c>
      <c r="Q409" t="s">
        <v>761</v>
      </c>
      <c r="R409" t="s">
        <v>924</v>
      </c>
      <c r="S409" t="s">
        <v>114</v>
      </c>
      <c r="T409" t="s">
        <v>1375</v>
      </c>
      <c r="U409" t="s">
        <v>225</v>
      </c>
      <c r="V409" t="s">
        <v>225</v>
      </c>
      <c r="W409" t="s">
        <v>591</v>
      </c>
      <c r="X409" t="s">
        <v>617</v>
      </c>
      <c r="Y409" t="s">
        <v>118</v>
      </c>
      <c r="Z409" t="s">
        <v>313</v>
      </c>
      <c r="AA409" t="s">
        <v>451</v>
      </c>
      <c r="AB409" t="s">
        <v>74</v>
      </c>
      <c r="AC409" t="s">
        <v>72</v>
      </c>
      <c r="AD409" t="s">
        <v>118</v>
      </c>
      <c r="AE409" t="s">
        <v>216</v>
      </c>
      <c r="AF409" t="s">
        <v>236</v>
      </c>
      <c r="AG409" t="s">
        <v>318</v>
      </c>
      <c r="AH409" t="s">
        <v>1353</v>
      </c>
    </row>
    <row r="410" spans="1:34" x14ac:dyDescent="0.25">
      <c r="A410" t="s">
        <v>1376</v>
      </c>
      <c r="B410" t="s">
        <v>35</v>
      </c>
      <c r="C410" t="s">
        <v>86</v>
      </c>
      <c r="D410" t="s">
        <v>304</v>
      </c>
      <c r="E410">
        <v>30</v>
      </c>
      <c r="F410">
        <v>20</v>
      </c>
      <c r="G410" t="s">
        <v>1377</v>
      </c>
      <c r="H410" t="s">
        <v>1378</v>
      </c>
      <c r="I410" t="s">
        <v>83</v>
      </c>
      <c r="J410" t="s">
        <v>142</v>
      </c>
      <c r="K410" t="s">
        <v>89</v>
      </c>
      <c r="L410" t="s">
        <v>63</v>
      </c>
      <c r="M410" t="s">
        <v>63</v>
      </c>
      <c r="N410" t="s">
        <v>63</v>
      </c>
      <c r="O410" t="s">
        <v>81</v>
      </c>
      <c r="P410" t="s">
        <v>43</v>
      </c>
      <c r="Q410" t="s">
        <v>993</v>
      </c>
      <c r="R410" t="s">
        <v>46</v>
      </c>
      <c r="S410" t="s">
        <v>702</v>
      </c>
      <c r="T410" t="s">
        <v>1379</v>
      </c>
      <c r="U410" t="s">
        <v>801</v>
      </c>
      <c r="V410" t="s">
        <v>1126</v>
      </c>
      <c r="W410" t="s">
        <v>292</v>
      </c>
      <c r="X410" t="s">
        <v>134</v>
      </c>
      <c r="Y410" t="s">
        <v>250</v>
      </c>
      <c r="Z410" t="s">
        <v>481</v>
      </c>
      <c r="AA410" t="s">
        <v>82</v>
      </c>
      <c r="AB410" t="s">
        <v>315</v>
      </c>
      <c r="AC410" t="s">
        <v>51</v>
      </c>
      <c r="AD410" t="s">
        <v>163</v>
      </c>
      <c r="AE410" t="s">
        <v>74</v>
      </c>
      <c r="AF410" t="s">
        <v>241</v>
      </c>
      <c r="AG410" t="s">
        <v>176</v>
      </c>
      <c r="AH410" t="s">
        <v>1353</v>
      </c>
    </row>
    <row r="411" spans="1:34" x14ac:dyDescent="0.25">
      <c r="A411" t="s">
        <v>1380</v>
      </c>
      <c r="B411" t="s">
        <v>122</v>
      </c>
      <c r="C411" t="s">
        <v>58</v>
      </c>
      <c r="D411" t="s">
        <v>59</v>
      </c>
      <c r="E411">
        <v>20</v>
      </c>
      <c r="F411">
        <v>18</v>
      </c>
      <c r="G411" t="s">
        <v>1381</v>
      </c>
      <c r="H411" t="s">
        <v>910</v>
      </c>
      <c r="I411" t="s">
        <v>63</v>
      </c>
      <c r="J411" t="s">
        <v>41</v>
      </c>
      <c r="K411" t="s">
        <v>89</v>
      </c>
      <c r="L411" t="s">
        <v>63</v>
      </c>
      <c r="M411" t="s">
        <v>43</v>
      </c>
      <c r="N411" t="s">
        <v>43</v>
      </c>
      <c r="O411" t="s">
        <v>83</v>
      </c>
      <c r="P411" t="s">
        <v>43</v>
      </c>
      <c r="Q411" t="s">
        <v>406</v>
      </c>
      <c r="R411" t="s">
        <v>406</v>
      </c>
      <c r="S411" t="s">
        <v>283</v>
      </c>
      <c r="T411" t="s">
        <v>497</v>
      </c>
      <c r="U411" t="s">
        <v>310</v>
      </c>
      <c r="V411" t="s">
        <v>346</v>
      </c>
      <c r="W411" t="s">
        <v>871</v>
      </c>
      <c r="X411" t="s">
        <v>53</v>
      </c>
      <c r="Y411" t="s">
        <v>711</v>
      </c>
      <c r="Z411" t="s">
        <v>99</v>
      </c>
      <c r="AA411" t="s">
        <v>53</v>
      </c>
      <c r="AB411" t="s">
        <v>99</v>
      </c>
      <c r="AC411" t="s">
        <v>134</v>
      </c>
      <c r="AD411" t="s">
        <v>73</v>
      </c>
      <c r="AE411" t="s">
        <v>451</v>
      </c>
      <c r="AF411" t="s">
        <v>134</v>
      </c>
      <c r="AG411" t="s">
        <v>451</v>
      </c>
      <c r="AH411" t="s">
        <v>1353</v>
      </c>
    </row>
    <row r="412" spans="1:34" x14ac:dyDescent="0.25">
      <c r="A412" t="s">
        <v>1382</v>
      </c>
      <c r="B412" t="s">
        <v>57</v>
      </c>
      <c r="C412" t="s">
        <v>36</v>
      </c>
      <c r="D412" t="s">
        <v>185</v>
      </c>
      <c r="E412">
        <v>26</v>
      </c>
      <c r="F412">
        <v>11</v>
      </c>
      <c r="G412" t="s">
        <v>1383</v>
      </c>
      <c r="H412" t="s">
        <v>230</v>
      </c>
      <c r="I412" t="s">
        <v>43</v>
      </c>
      <c r="J412" t="s">
        <v>43</v>
      </c>
      <c r="K412" t="s">
        <v>43</v>
      </c>
      <c r="L412" t="s">
        <v>43</v>
      </c>
      <c r="M412" t="s">
        <v>43</v>
      </c>
      <c r="N412" t="s">
        <v>43</v>
      </c>
      <c r="O412" t="s">
        <v>63</v>
      </c>
      <c r="P412" t="s">
        <v>43</v>
      </c>
      <c r="Q412" t="s">
        <v>112</v>
      </c>
      <c r="R412" t="s">
        <v>112</v>
      </c>
      <c r="S412" t="s">
        <v>112</v>
      </c>
      <c r="T412" t="s">
        <v>398</v>
      </c>
      <c r="U412" t="s">
        <v>185</v>
      </c>
      <c r="V412" t="s">
        <v>1384</v>
      </c>
      <c r="W412" t="s">
        <v>42</v>
      </c>
      <c r="X412" t="s">
        <v>43</v>
      </c>
      <c r="Y412" t="s">
        <v>43</v>
      </c>
      <c r="Z412" t="s">
        <v>43</v>
      </c>
      <c r="AA412" t="s">
        <v>43</v>
      </c>
      <c r="AB412" t="s">
        <v>43</v>
      </c>
      <c r="AC412" t="s">
        <v>358</v>
      </c>
      <c r="AD412" t="s">
        <v>358</v>
      </c>
      <c r="AE412" t="s">
        <v>169</v>
      </c>
      <c r="AF412" t="s">
        <v>358</v>
      </c>
      <c r="AG412" t="s">
        <v>169</v>
      </c>
      <c r="AH412" t="s">
        <v>1353</v>
      </c>
    </row>
    <row r="413" spans="1:34" x14ac:dyDescent="0.25">
      <c r="A413" t="s">
        <v>1385</v>
      </c>
      <c r="B413" t="s">
        <v>376</v>
      </c>
      <c r="C413" t="s">
        <v>86</v>
      </c>
      <c r="D413" t="s">
        <v>268</v>
      </c>
      <c r="E413">
        <v>22</v>
      </c>
      <c r="F413">
        <v>10</v>
      </c>
      <c r="G413" t="s">
        <v>1386</v>
      </c>
      <c r="H413" t="s">
        <v>620</v>
      </c>
      <c r="I413" t="s">
        <v>63</v>
      </c>
      <c r="J413" t="s">
        <v>44</v>
      </c>
      <c r="K413" t="s">
        <v>114</v>
      </c>
      <c r="L413" t="s">
        <v>63</v>
      </c>
      <c r="M413" t="s">
        <v>43</v>
      </c>
      <c r="N413" t="s">
        <v>43</v>
      </c>
      <c r="O413" t="s">
        <v>43</v>
      </c>
      <c r="P413" t="s">
        <v>44</v>
      </c>
      <c r="Q413" t="s">
        <v>223</v>
      </c>
      <c r="R413" t="s">
        <v>223</v>
      </c>
      <c r="S413" t="s">
        <v>44</v>
      </c>
      <c r="T413" t="s">
        <v>199</v>
      </c>
      <c r="U413" t="s">
        <v>263</v>
      </c>
      <c r="V413" t="s">
        <v>399</v>
      </c>
      <c r="W413" t="s">
        <v>816</v>
      </c>
      <c r="X413" t="s">
        <v>194</v>
      </c>
      <c r="Y413" t="s">
        <v>120</v>
      </c>
      <c r="Z413" t="s">
        <v>51</v>
      </c>
      <c r="AA413" t="s">
        <v>194</v>
      </c>
      <c r="AB413" t="s">
        <v>51</v>
      </c>
      <c r="AC413" t="s">
        <v>156</v>
      </c>
      <c r="AD413" t="s">
        <v>120</v>
      </c>
      <c r="AE413" t="s">
        <v>54</v>
      </c>
      <c r="AF413" t="s">
        <v>156</v>
      </c>
      <c r="AG413" t="s">
        <v>54</v>
      </c>
      <c r="AH413" t="s">
        <v>1353</v>
      </c>
    </row>
    <row r="414" spans="1:34" x14ac:dyDescent="0.25">
      <c r="A414" t="s">
        <v>1387</v>
      </c>
      <c r="B414" t="s">
        <v>411</v>
      </c>
      <c r="C414" t="s">
        <v>172</v>
      </c>
      <c r="D414" t="s">
        <v>304</v>
      </c>
      <c r="E414">
        <v>30</v>
      </c>
      <c r="F414">
        <v>9</v>
      </c>
      <c r="G414" t="s">
        <v>1388</v>
      </c>
      <c r="H414" t="s">
        <v>513</v>
      </c>
      <c r="I414" t="s">
        <v>44</v>
      </c>
      <c r="J414" t="s">
        <v>43</v>
      </c>
      <c r="K414" t="s">
        <v>44</v>
      </c>
      <c r="L414" t="s">
        <v>44</v>
      </c>
      <c r="M414" t="s">
        <v>43</v>
      </c>
      <c r="N414" t="s">
        <v>43</v>
      </c>
      <c r="O414" t="s">
        <v>63</v>
      </c>
      <c r="P414" t="s">
        <v>43</v>
      </c>
      <c r="Q414" t="s">
        <v>259</v>
      </c>
      <c r="R414" t="s">
        <v>259</v>
      </c>
      <c r="S414" t="s">
        <v>222</v>
      </c>
      <c r="T414" t="s">
        <v>531</v>
      </c>
      <c r="U414" t="s">
        <v>276</v>
      </c>
      <c r="V414" t="s">
        <v>304</v>
      </c>
      <c r="W414" t="s">
        <v>94</v>
      </c>
      <c r="X414" t="s">
        <v>242</v>
      </c>
      <c r="Y414" t="s">
        <v>43</v>
      </c>
      <c r="Z414" t="s">
        <v>242</v>
      </c>
      <c r="AA414" t="s">
        <v>242</v>
      </c>
      <c r="AB414" t="s">
        <v>242</v>
      </c>
      <c r="AC414" t="s">
        <v>181</v>
      </c>
      <c r="AD414" t="s">
        <v>82</v>
      </c>
      <c r="AE414" t="s">
        <v>215</v>
      </c>
      <c r="AF414" t="s">
        <v>181</v>
      </c>
      <c r="AG414" t="s">
        <v>215</v>
      </c>
      <c r="AH414" t="s">
        <v>1353</v>
      </c>
    </row>
    <row r="415" spans="1:34" x14ac:dyDescent="0.25">
      <c r="A415" t="s">
        <v>1389</v>
      </c>
      <c r="B415" t="s">
        <v>342</v>
      </c>
      <c r="C415" t="s">
        <v>108</v>
      </c>
      <c r="D415" t="s">
        <v>201</v>
      </c>
      <c r="E415">
        <v>12</v>
      </c>
      <c r="F415">
        <v>9</v>
      </c>
      <c r="G415" t="s">
        <v>1390</v>
      </c>
      <c r="H415" t="s">
        <v>1070</v>
      </c>
      <c r="I415" t="s">
        <v>43</v>
      </c>
      <c r="J415" t="s">
        <v>43</v>
      </c>
      <c r="K415" t="s">
        <v>43</v>
      </c>
      <c r="L415" t="s">
        <v>43</v>
      </c>
      <c r="M415" t="s">
        <v>43</v>
      </c>
      <c r="N415" t="s">
        <v>43</v>
      </c>
      <c r="O415" t="s">
        <v>44</v>
      </c>
      <c r="P415" t="s">
        <v>43</v>
      </c>
      <c r="Q415" t="s">
        <v>43</v>
      </c>
      <c r="R415" t="s">
        <v>43</v>
      </c>
      <c r="S415" t="s">
        <v>82</v>
      </c>
      <c r="T415" t="s">
        <v>82</v>
      </c>
      <c r="U415" t="s">
        <v>114</v>
      </c>
      <c r="V415" t="s">
        <v>89</v>
      </c>
      <c r="W415" t="s">
        <v>63</v>
      </c>
      <c r="X415" t="s">
        <v>43</v>
      </c>
      <c r="Y415" t="s">
        <v>43</v>
      </c>
      <c r="Z415" t="s">
        <v>43</v>
      </c>
      <c r="AA415" t="s">
        <v>43</v>
      </c>
      <c r="AB415" t="s">
        <v>43</v>
      </c>
      <c r="AC415" t="s">
        <v>43</v>
      </c>
      <c r="AD415" t="s">
        <v>119</v>
      </c>
      <c r="AE415" t="s">
        <v>119</v>
      </c>
      <c r="AF415" t="s">
        <v>43</v>
      </c>
      <c r="AG415" t="s">
        <v>119</v>
      </c>
      <c r="AH415" t="s">
        <v>1353</v>
      </c>
    </row>
    <row r="416" spans="1:34" x14ac:dyDescent="0.25">
      <c r="A416" t="s">
        <v>1391</v>
      </c>
      <c r="B416" t="s">
        <v>781</v>
      </c>
      <c r="C416" t="s">
        <v>36</v>
      </c>
      <c r="D416" t="s">
        <v>185</v>
      </c>
      <c r="E416">
        <v>24</v>
      </c>
      <c r="F416">
        <v>7</v>
      </c>
      <c r="G416" t="s">
        <v>1392</v>
      </c>
      <c r="H416" t="s">
        <v>1070</v>
      </c>
      <c r="I416" t="s">
        <v>43</v>
      </c>
      <c r="J416" t="s">
        <v>43</v>
      </c>
      <c r="K416" t="s">
        <v>43</v>
      </c>
      <c r="L416" t="s">
        <v>43</v>
      </c>
      <c r="M416" t="s">
        <v>43</v>
      </c>
      <c r="N416" t="s">
        <v>43</v>
      </c>
      <c r="O416" t="s">
        <v>83</v>
      </c>
      <c r="P416" t="s">
        <v>43</v>
      </c>
      <c r="Q416" t="s">
        <v>163</v>
      </c>
      <c r="R416" t="s">
        <v>163</v>
      </c>
      <c r="S416" t="s">
        <v>112</v>
      </c>
      <c r="T416" t="s">
        <v>378</v>
      </c>
      <c r="U416" t="s">
        <v>41</v>
      </c>
      <c r="V416" t="s">
        <v>78</v>
      </c>
      <c r="W416" t="s">
        <v>127</v>
      </c>
      <c r="X416" t="s">
        <v>43</v>
      </c>
      <c r="Y416" t="s">
        <v>43</v>
      </c>
      <c r="Z416" t="s">
        <v>43</v>
      </c>
      <c r="AA416" t="s">
        <v>43</v>
      </c>
      <c r="AB416" t="s">
        <v>43</v>
      </c>
      <c r="AC416" t="s">
        <v>358</v>
      </c>
      <c r="AD416" t="s">
        <v>193</v>
      </c>
      <c r="AE416" t="s">
        <v>181</v>
      </c>
      <c r="AF416" t="s">
        <v>358</v>
      </c>
      <c r="AG416" t="s">
        <v>181</v>
      </c>
      <c r="AH416" t="s">
        <v>1353</v>
      </c>
    </row>
    <row r="417" spans="1:34" x14ac:dyDescent="0.25">
      <c r="A417" t="s">
        <v>1393</v>
      </c>
      <c r="B417" t="s">
        <v>35</v>
      </c>
      <c r="C417" t="s">
        <v>172</v>
      </c>
      <c r="D417" t="s">
        <v>141</v>
      </c>
      <c r="E417">
        <v>22</v>
      </c>
      <c r="F417">
        <v>7</v>
      </c>
      <c r="G417" t="s">
        <v>1394</v>
      </c>
      <c r="H417" t="s">
        <v>687</v>
      </c>
      <c r="I417" t="s">
        <v>43</v>
      </c>
      <c r="J417" t="s">
        <v>43</v>
      </c>
      <c r="K417" t="s">
        <v>43</v>
      </c>
      <c r="L417" t="s">
        <v>43</v>
      </c>
      <c r="M417" t="s">
        <v>43</v>
      </c>
      <c r="N417" t="s">
        <v>43</v>
      </c>
      <c r="O417" t="s">
        <v>44</v>
      </c>
      <c r="P417" t="s">
        <v>43</v>
      </c>
      <c r="Q417" t="s">
        <v>163</v>
      </c>
      <c r="R417" t="s">
        <v>163</v>
      </c>
      <c r="S417" t="s">
        <v>259</v>
      </c>
      <c r="T417" t="s">
        <v>44</v>
      </c>
      <c r="U417" t="s">
        <v>272</v>
      </c>
      <c r="V417" t="s">
        <v>40</v>
      </c>
      <c r="W417" t="s">
        <v>494</v>
      </c>
      <c r="X417" t="s">
        <v>43</v>
      </c>
      <c r="Y417" t="s">
        <v>43</v>
      </c>
      <c r="Z417" t="s">
        <v>43</v>
      </c>
      <c r="AA417" t="s">
        <v>43</v>
      </c>
      <c r="AB417" t="s">
        <v>43</v>
      </c>
      <c r="AC417" t="s">
        <v>358</v>
      </c>
      <c r="AD417" t="s">
        <v>120</v>
      </c>
      <c r="AE417" t="s">
        <v>118</v>
      </c>
      <c r="AF417" t="s">
        <v>358</v>
      </c>
      <c r="AG417" t="s">
        <v>118</v>
      </c>
      <c r="AH417" t="s">
        <v>1353</v>
      </c>
    </row>
    <row r="418" spans="1:34" x14ac:dyDescent="0.25">
      <c r="A418" t="s">
        <v>1395</v>
      </c>
      <c r="B418" t="s">
        <v>57</v>
      </c>
      <c r="C418" t="s">
        <v>77</v>
      </c>
      <c r="D418" t="s">
        <v>263</v>
      </c>
      <c r="E418">
        <v>5</v>
      </c>
      <c r="F418">
        <v>3</v>
      </c>
      <c r="G418" t="s">
        <v>1396</v>
      </c>
      <c r="H418" t="s">
        <v>145</v>
      </c>
      <c r="I418" t="s">
        <v>43</v>
      </c>
      <c r="J418" t="s">
        <v>43</v>
      </c>
      <c r="K418" t="s">
        <v>43</v>
      </c>
      <c r="L418" t="s">
        <v>43</v>
      </c>
      <c r="M418" t="s">
        <v>43</v>
      </c>
      <c r="N418" t="s">
        <v>43</v>
      </c>
      <c r="O418" t="s">
        <v>43</v>
      </c>
      <c r="P418" t="s">
        <v>43</v>
      </c>
      <c r="Q418" t="s">
        <v>43</v>
      </c>
      <c r="R418" t="s">
        <v>43</v>
      </c>
      <c r="S418" t="s">
        <v>43</v>
      </c>
      <c r="T418" t="s">
        <v>43</v>
      </c>
      <c r="U418" t="s">
        <v>43</v>
      </c>
      <c r="V418" t="s">
        <v>43</v>
      </c>
      <c r="W418" t="s">
        <v>43</v>
      </c>
      <c r="X418" t="s">
        <v>43</v>
      </c>
      <c r="Y418" t="s">
        <v>43</v>
      </c>
      <c r="Z418" t="s">
        <v>43</v>
      </c>
      <c r="AA418" t="s">
        <v>43</v>
      </c>
      <c r="AB418" t="s">
        <v>43</v>
      </c>
      <c r="AC418" t="s">
        <v>43</v>
      </c>
      <c r="AD418" t="s">
        <v>43</v>
      </c>
      <c r="AE418" t="s">
        <v>43</v>
      </c>
      <c r="AF418" t="s">
        <v>43</v>
      </c>
      <c r="AG418" t="s">
        <v>43</v>
      </c>
      <c r="AH418" t="s">
        <v>1353</v>
      </c>
    </row>
    <row r="419" spans="1:34" x14ac:dyDescent="0.25">
      <c r="A419" t="s">
        <v>1397</v>
      </c>
      <c r="B419" t="s">
        <v>122</v>
      </c>
      <c r="C419" t="s">
        <v>137</v>
      </c>
      <c r="D419" t="s">
        <v>185</v>
      </c>
      <c r="E419">
        <v>8</v>
      </c>
      <c r="F419">
        <v>3</v>
      </c>
      <c r="G419" t="s">
        <v>1398</v>
      </c>
      <c r="H419" t="s">
        <v>224</v>
      </c>
      <c r="I419" t="s">
        <v>43</v>
      </c>
      <c r="J419" t="s">
        <v>43</v>
      </c>
      <c r="K419" t="s">
        <v>43</v>
      </c>
      <c r="L419" t="s">
        <v>43</v>
      </c>
      <c r="M419" t="s">
        <v>43</v>
      </c>
      <c r="N419" t="s">
        <v>43</v>
      </c>
      <c r="O419" t="s">
        <v>63</v>
      </c>
      <c r="P419" t="s">
        <v>43</v>
      </c>
      <c r="Q419" t="s">
        <v>44</v>
      </c>
      <c r="R419" t="s">
        <v>44</v>
      </c>
      <c r="S419" t="s">
        <v>241</v>
      </c>
      <c r="T419" t="s">
        <v>200</v>
      </c>
      <c r="U419" t="s">
        <v>81</v>
      </c>
      <c r="V419" t="s">
        <v>231</v>
      </c>
      <c r="W419" t="s">
        <v>90</v>
      </c>
      <c r="X419" t="s">
        <v>43</v>
      </c>
      <c r="Y419" t="s">
        <v>43</v>
      </c>
      <c r="Z419" t="s">
        <v>43</v>
      </c>
      <c r="AA419" t="s">
        <v>43</v>
      </c>
      <c r="AB419" t="s">
        <v>43</v>
      </c>
      <c r="AC419" t="s">
        <v>301</v>
      </c>
      <c r="AD419" t="s">
        <v>181</v>
      </c>
      <c r="AE419" t="s">
        <v>318</v>
      </c>
      <c r="AF419" t="s">
        <v>301</v>
      </c>
      <c r="AG419" t="s">
        <v>318</v>
      </c>
      <c r="AH419" t="s">
        <v>1353</v>
      </c>
    </row>
    <row r="420" spans="1:34" x14ac:dyDescent="0.25">
      <c r="A420" t="s">
        <v>256</v>
      </c>
      <c r="B420" t="s">
        <v>122</v>
      </c>
      <c r="C420" t="s">
        <v>36</v>
      </c>
      <c r="D420" t="s">
        <v>201</v>
      </c>
      <c r="E420">
        <v>2</v>
      </c>
      <c r="F420">
        <v>2</v>
      </c>
      <c r="G420" t="s">
        <v>758</v>
      </c>
      <c r="H420" t="s">
        <v>63</v>
      </c>
      <c r="I420" t="s">
        <v>43</v>
      </c>
      <c r="J420" t="s">
        <v>43</v>
      </c>
      <c r="K420" t="s">
        <v>43</v>
      </c>
      <c r="L420" t="s">
        <v>43</v>
      </c>
      <c r="M420" t="s">
        <v>43</v>
      </c>
      <c r="N420" t="s">
        <v>43</v>
      </c>
      <c r="O420" t="s">
        <v>63</v>
      </c>
      <c r="P420" t="s">
        <v>44</v>
      </c>
      <c r="Q420" t="s">
        <v>82</v>
      </c>
      <c r="R420" t="s">
        <v>82</v>
      </c>
      <c r="S420" t="s">
        <v>82</v>
      </c>
      <c r="T420" t="s">
        <v>241</v>
      </c>
      <c r="U420" t="s">
        <v>142</v>
      </c>
      <c r="V420" t="s">
        <v>40</v>
      </c>
      <c r="W420" t="s">
        <v>41</v>
      </c>
      <c r="X420" t="s">
        <v>43</v>
      </c>
      <c r="Y420" t="s">
        <v>43</v>
      </c>
      <c r="Z420" t="s">
        <v>43</v>
      </c>
      <c r="AA420" t="s">
        <v>43</v>
      </c>
      <c r="AB420" t="s">
        <v>43</v>
      </c>
      <c r="AC420" t="s">
        <v>193</v>
      </c>
      <c r="AD420" t="s">
        <v>168</v>
      </c>
      <c r="AE420" t="s">
        <v>120</v>
      </c>
      <c r="AF420" t="s">
        <v>193</v>
      </c>
      <c r="AG420" t="s">
        <v>120</v>
      </c>
      <c r="AH420" t="s">
        <v>1353</v>
      </c>
    </row>
    <row r="421" spans="1:34" x14ac:dyDescent="0.25">
      <c r="A421" t="s">
        <v>1399</v>
      </c>
      <c r="B421" t="s">
        <v>57</v>
      </c>
      <c r="C421" t="s">
        <v>137</v>
      </c>
      <c r="D421" t="s">
        <v>42</v>
      </c>
      <c r="E421">
        <v>3</v>
      </c>
      <c r="F421">
        <v>2</v>
      </c>
      <c r="G421" t="s">
        <v>1400</v>
      </c>
      <c r="H421" t="s">
        <v>175</v>
      </c>
      <c r="I421" t="s">
        <v>43</v>
      </c>
      <c r="J421" t="s">
        <v>43</v>
      </c>
      <c r="K421" t="s">
        <v>43</v>
      </c>
      <c r="L421" t="s">
        <v>43</v>
      </c>
      <c r="M421" t="s">
        <v>43</v>
      </c>
      <c r="N421" t="s">
        <v>43</v>
      </c>
      <c r="O421" t="s">
        <v>43</v>
      </c>
      <c r="P421" t="s">
        <v>43</v>
      </c>
      <c r="Q421" t="s">
        <v>82</v>
      </c>
      <c r="R421" t="s">
        <v>82</v>
      </c>
      <c r="S421" t="s">
        <v>43</v>
      </c>
      <c r="T421" t="s">
        <v>82</v>
      </c>
      <c r="U421" t="s">
        <v>44</v>
      </c>
      <c r="V421" t="s">
        <v>63</v>
      </c>
      <c r="W421" t="s">
        <v>142</v>
      </c>
      <c r="X421" t="s">
        <v>43</v>
      </c>
      <c r="Y421" t="s">
        <v>43</v>
      </c>
      <c r="Z421" t="s">
        <v>43</v>
      </c>
      <c r="AA421" t="s">
        <v>43</v>
      </c>
      <c r="AB421" t="s">
        <v>43</v>
      </c>
      <c r="AC421" t="s">
        <v>168</v>
      </c>
      <c r="AD421" t="s">
        <v>43</v>
      </c>
      <c r="AE421" t="s">
        <v>168</v>
      </c>
      <c r="AF421" t="s">
        <v>168</v>
      </c>
      <c r="AG421" t="s">
        <v>168</v>
      </c>
      <c r="AH421" t="s">
        <v>1353</v>
      </c>
    </row>
    <row r="422" spans="1:34" x14ac:dyDescent="0.25">
      <c r="A422" t="s">
        <v>1401</v>
      </c>
      <c r="B422" t="s">
        <v>411</v>
      </c>
      <c r="C422" t="s">
        <v>137</v>
      </c>
      <c r="D422" t="s">
        <v>203</v>
      </c>
      <c r="E422">
        <v>7</v>
      </c>
      <c r="F422">
        <v>1</v>
      </c>
      <c r="G422" t="s">
        <v>994</v>
      </c>
      <c r="H422" t="s">
        <v>246</v>
      </c>
      <c r="I422" t="s">
        <v>43</v>
      </c>
      <c r="J422" t="s">
        <v>43</v>
      </c>
      <c r="K422" t="s">
        <v>43</v>
      </c>
      <c r="L422" t="s">
        <v>43</v>
      </c>
      <c r="M422" t="s">
        <v>43</v>
      </c>
      <c r="N422" t="s">
        <v>43</v>
      </c>
      <c r="O422" t="s">
        <v>44</v>
      </c>
      <c r="P422" t="s">
        <v>43</v>
      </c>
      <c r="Q422" t="s">
        <v>163</v>
      </c>
      <c r="R422" t="s">
        <v>163</v>
      </c>
      <c r="S422" t="s">
        <v>82</v>
      </c>
      <c r="T422" t="s">
        <v>112</v>
      </c>
      <c r="U422" t="s">
        <v>44</v>
      </c>
      <c r="V422" t="s">
        <v>63</v>
      </c>
      <c r="W422" t="s">
        <v>185</v>
      </c>
      <c r="X422" t="s">
        <v>43</v>
      </c>
      <c r="Y422" t="s">
        <v>43</v>
      </c>
      <c r="Z422" t="s">
        <v>43</v>
      </c>
      <c r="AA422" t="s">
        <v>43</v>
      </c>
      <c r="AB422" t="s">
        <v>43</v>
      </c>
      <c r="AC422" t="s">
        <v>205</v>
      </c>
      <c r="AD422" t="s">
        <v>193</v>
      </c>
      <c r="AE422" t="s">
        <v>194</v>
      </c>
      <c r="AF422" t="s">
        <v>205</v>
      </c>
      <c r="AG422" t="s">
        <v>194</v>
      </c>
      <c r="AH422" t="s">
        <v>1353</v>
      </c>
    </row>
    <row r="423" spans="1:34" x14ac:dyDescent="0.25">
      <c r="A423" t="s">
        <v>1402</v>
      </c>
      <c r="B423" t="s">
        <v>1403</v>
      </c>
      <c r="C423" t="s">
        <v>137</v>
      </c>
      <c r="D423" t="s">
        <v>148</v>
      </c>
      <c r="E423">
        <v>11</v>
      </c>
      <c r="F423">
        <v>1</v>
      </c>
      <c r="G423" t="s">
        <v>1404</v>
      </c>
      <c r="H423" t="s">
        <v>255</v>
      </c>
      <c r="I423" t="s">
        <v>63</v>
      </c>
      <c r="J423" t="s">
        <v>43</v>
      </c>
      <c r="K423" t="s">
        <v>63</v>
      </c>
      <c r="L423" t="s">
        <v>63</v>
      </c>
      <c r="M423" t="s">
        <v>43</v>
      </c>
      <c r="N423" t="s">
        <v>43</v>
      </c>
      <c r="O423" t="s">
        <v>43</v>
      </c>
      <c r="P423" t="s">
        <v>43</v>
      </c>
      <c r="Q423" t="s">
        <v>254</v>
      </c>
      <c r="R423" t="s">
        <v>254</v>
      </c>
      <c r="S423" t="s">
        <v>44</v>
      </c>
      <c r="T423" t="s">
        <v>63</v>
      </c>
      <c r="U423" t="s">
        <v>44</v>
      </c>
      <c r="V423" t="s">
        <v>81</v>
      </c>
      <c r="W423" t="s">
        <v>41</v>
      </c>
      <c r="X423" t="s">
        <v>1405</v>
      </c>
      <c r="Y423" t="s">
        <v>43</v>
      </c>
      <c r="Z423" t="s">
        <v>1405</v>
      </c>
      <c r="AA423" t="s">
        <v>1405</v>
      </c>
      <c r="AB423" t="s">
        <v>1405</v>
      </c>
      <c r="AC423" t="s">
        <v>481</v>
      </c>
      <c r="AD423" t="s">
        <v>52</v>
      </c>
      <c r="AE423" t="s">
        <v>903</v>
      </c>
      <c r="AF423" t="s">
        <v>481</v>
      </c>
      <c r="AG423" t="s">
        <v>903</v>
      </c>
      <c r="AH423" t="s">
        <v>1353</v>
      </c>
    </row>
    <row r="424" spans="1:34" x14ac:dyDescent="0.25">
      <c r="A424" t="s">
        <v>1406</v>
      </c>
      <c r="B424" t="s">
        <v>1407</v>
      </c>
      <c r="C424" t="s">
        <v>86</v>
      </c>
      <c r="D424" t="s">
        <v>62</v>
      </c>
      <c r="E424">
        <v>8</v>
      </c>
      <c r="F424">
        <v>1</v>
      </c>
      <c r="G424" t="s">
        <v>673</v>
      </c>
      <c r="H424" t="s">
        <v>223</v>
      </c>
      <c r="I424" t="s">
        <v>43</v>
      </c>
      <c r="J424" t="s">
        <v>43</v>
      </c>
      <c r="K424" t="s">
        <v>43</v>
      </c>
      <c r="L424" t="s">
        <v>43</v>
      </c>
      <c r="M424" t="s">
        <v>43</v>
      </c>
      <c r="N424" t="s">
        <v>43</v>
      </c>
      <c r="O424" t="s">
        <v>44</v>
      </c>
      <c r="P424" t="s">
        <v>43</v>
      </c>
      <c r="Q424" t="s">
        <v>241</v>
      </c>
      <c r="R424" t="s">
        <v>241</v>
      </c>
      <c r="S424" t="s">
        <v>43</v>
      </c>
      <c r="T424" t="s">
        <v>241</v>
      </c>
      <c r="U424" t="s">
        <v>44</v>
      </c>
      <c r="V424" t="s">
        <v>142</v>
      </c>
      <c r="W424" t="s">
        <v>40</v>
      </c>
      <c r="X424" t="s">
        <v>43</v>
      </c>
      <c r="Y424" t="s">
        <v>43</v>
      </c>
      <c r="Z424" t="s">
        <v>43</v>
      </c>
      <c r="AA424" t="s">
        <v>43</v>
      </c>
      <c r="AB424" t="s">
        <v>43</v>
      </c>
      <c r="AC424" t="s">
        <v>82</v>
      </c>
      <c r="AD424" t="s">
        <v>182</v>
      </c>
      <c r="AE424" t="s">
        <v>53</v>
      </c>
      <c r="AF424" t="s">
        <v>82</v>
      </c>
      <c r="AG424" t="s">
        <v>53</v>
      </c>
      <c r="AH424" t="s">
        <v>1353</v>
      </c>
    </row>
    <row r="425" spans="1:34" x14ac:dyDescent="0.25">
      <c r="A425" t="s">
        <v>1408</v>
      </c>
      <c r="B425" t="s">
        <v>35</v>
      </c>
      <c r="C425" t="s">
        <v>36</v>
      </c>
      <c r="D425" t="s">
        <v>78</v>
      </c>
      <c r="E425">
        <v>1</v>
      </c>
      <c r="F425">
        <v>0</v>
      </c>
      <c r="G425" t="s">
        <v>81</v>
      </c>
      <c r="H425" t="s">
        <v>82</v>
      </c>
      <c r="I425" t="s">
        <v>43</v>
      </c>
      <c r="J425" t="s">
        <v>43</v>
      </c>
      <c r="K425" t="s">
        <v>43</v>
      </c>
      <c r="L425" t="s">
        <v>43</v>
      </c>
      <c r="M425" t="s">
        <v>43</v>
      </c>
      <c r="N425" t="s">
        <v>43</v>
      </c>
      <c r="O425" t="s">
        <v>43</v>
      </c>
      <c r="P425" t="s">
        <v>43</v>
      </c>
      <c r="Q425" t="s">
        <v>43</v>
      </c>
      <c r="R425" t="s">
        <v>43</v>
      </c>
      <c r="S425" t="s">
        <v>43</v>
      </c>
      <c r="T425" t="s">
        <v>43</v>
      </c>
      <c r="U425" t="s">
        <v>43</v>
      </c>
      <c r="V425" t="s">
        <v>43</v>
      </c>
      <c r="W425" t="s">
        <v>43</v>
      </c>
      <c r="X425" t="s">
        <v>43</v>
      </c>
      <c r="Y425" t="s">
        <v>43</v>
      </c>
      <c r="Z425" t="s">
        <v>43</v>
      </c>
      <c r="AA425" t="s">
        <v>43</v>
      </c>
      <c r="AB425" t="s">
        <v>43</v>
      </c>
      <c r="AC425" t="s">
        <v>43</v>
      </c>
      <c r="AD425" t="s">
        <v>43</v>
      </c>
      <c r="AE425" t="s">
        <v>43</v>
      </c>
      <c r="AF425" t="s">
        <v>43</v>
      </c>
      <c r="AG425" t="s">
        <v>43</v>
      </c>
      <c r="AH425" t="s">
        <v>1353</v>
      </c>
    </row>
    <row r="426" spans="1:34" x14ac:dyDescent="0.25">
      <c r="A426" t="s">
        <v>1409</v>
      </c>
      <c r="B426" t="s">
        <v>689</v>
      </c>
      <c r="C426" t="s">
        <v>524</v>
      </c>
      <c r="D426" t="s">
        <v>203</v>
      </c>
      <c r="E426">
        <v>1</v>
      </c>
      <c r="F426">
        <v>0</v>
      </c>
      <c r="G426" t="s">
        <v>44</v>
      </c>
      <c r="H426" t="s">
        <v>43</v>
      </c>
      <c r="I426" t="s">
        <v>43</v>
      </c>
      <c r="J426" t="s">
        <v>43</v>
      </c>
      <c r="K426" t="s">
        <v>43</v>
      </c>
      <c r="L426" t="s">
        <v>43</v>
      </c>
      <c r="M426" t="s">
        <v>43</v>
      </c>
      <c r="N426" t="s">
        <v>43</v>
      </c>
      <c r="O426" t="s">
        <v>43</v>
      </c>
      <c r="P426" t="s">
        <v>43</v>
      </c>
      <c r="Q426" t="s">
        <v>43</v>
      </c>
      <c r="R426" t="s">
        <v>43</v>
      </c>
      <c r="S426" t="s">
        <v>43</v>
      </c>
      <c r="T426" t="s">
        <v>43</v>
      </c>
      <c r="U426" t="s">
        <v>43</v>
      </c>
      <c r="V426" t="s">
        <v>43</v>
      </c>
      <c r="W426" t="s">
        <v>63</v>
      </c>
      <c r="X426" t="s">
        <v>43</v>
      </c>
      <c r="Y426" t="s">
        <v>43</v>
      </c>
      <c r="Z426" t="s">
        <v>43</v>
      </c>
      <c r="AA426" t="s">
        <v>43</v>
      </c>
      <c r="AB426" t="s">
        <v>43</v>
      </c>
      <c r="AC426" t="s">
        <v>43</v>
      </c>
      <c r="AD426" t="s">
        <v>43</v>
      </c>
      <c r="AE426" t="s">
        <v>43</v>
      </c>
      <c r="AF426" t="s">
        <v>43</v>
      </c>
      <c r="AG426" t="s">
        <v>43</v>
      </c>
      <c r="AH426" t="s">
        <v>1353</v>
      </c>
    </row>
    <row r="427" spans="1:34" x14ac:dyDescent="0.25">
      <c r="A427" t="s">
        <v>1410</v>
      </c>
      <c r="B427" t="s">
        <v>196</v>
      </c>
      <c r="C427" t="s">
        <v>77</v>
      </c>
      <c r="D427" t="s">
        <v>263</v>
      </c>
      <c r="E427">
        <v>37</v>
      </c>
      <c r="F427">
        <v>37</v>
      </c>
      <c r="G427" t="s">
        <v>1411</v>
      </c>
      <c r="H427" t="s">
        <v>1412</v>
      </c>
      <c r="I427" t="s">
        <v>43</v>
      </c>
      <c r="J427" t="s">
        <v>44</v>
      </c>
      <c r="K427" t="s">
        <v>44</v>
      </c>
      <c r="L427" t="s">
        <v>43</v>
      </c>
      <c r="M427" t="s">
        <v>43</v>
      </c>
      <c r="N427" t="s">
        <v>43</v>
      </c>
      <c r="O427" t="s">
        <v>114</v>
      </c>
      <c r="P427" t="s">
        <v>43</v>
      </c>
      <c r="Q427" t="s">
        <v>43</v>
      </c>
      <c r="R427" t="s">
        <v>43</v>
      </c>
      <c r="S427" t="s">
        <v>176</v>
      </c>
      <c r="T427" t="s">
        <v>176</v>
      </c>
      <c r="U427" t="s">
        <v>43</v>
      </c>
      <c r="V427" t="s">
        <v>81</v>
      </c>
      <c r="W427" t="s">
        <v>43</v>
      </c>
      <c r="X427" t="s">
        <v>43</v>
      </c>
      <c r="Y427" t="s">
        <v>358</v>
      </c>
      <c r="Z427" t="s">
        <v>358</v>
      </c>
      <c r="AA427" t="s">
        <v>43</v>
      </c>
      <c r="AB427" t="s">
        <v>358</v>
      </c>
      <c r="AC427" t="s">
        <v>43</v>
      </c>
      <c r="AD427" t="s">
        <v>119</v>
      </c>
      <c r="AE427" t="s">
        <v>119</v>
      </c>
      <c r="AF427" t="s">
        <v>43</v>
      </c>
      <c r="AG427" t="s">
        <v>119</v>
      </c>
      <c r="AH427" t="s">
        <v>1413</v>
      </c>
    </row>
    <row r="428" spans="1:34" x14ac:dyDescent="0.25">
      <c r="A428" t="s">
        <v>1414</v>
      </c>
      <c r="B428" t="s">
        <v>262</v>
      </c>
      <c r="C428" t="s">
        <v>524</v>
      </c>
      <c r="D428" t="s">
        <v>268</v>
      </c>
      <c r="E428">
        <v>38</v>
      </c>
      <c r="F428">
        <v>37</v>
      </c>
      <c r="G428" t="s">
        <v>657</v>
      </c>
      <c r="H428" t="s">
        <v>658</v>
      </c>
      <c r="I428" t="s">
        <v>44</v>
      </c>
      <c r="J428" t="s">
        <v>114</v>
      </c>
      <c r="K428" t="s">
        <v>83</v>
      </c>
      <c r="L428" t="s">
        <v>44</v>
      </c>
      <c r="M428" t="s">
        <v>43</v>
      </c>
      <c r="N428" t="s">
        <v>43</v>
      </c>
      <c r="O428" t="s">
        <v>40</v>
      </c>
      <c r="P428" t="s">
        <v>43</v>
      </c>
      <c r="Q428" t="s">
        <v>255</v>
      </c>
      <c r="R428" t="s">
        <v>255</v>
      </c>
      <c r="S428" t="s">
        <v>653</v>
      </c>
      <c r="T428" t="s">
        <v>590</v>
      </c>
      <c r="U428" t="s">
        <v>268</v>
      </c>
      <c r="V428" t="s">
        <v>1415</v>
      </c>
      <c r="W428" t="s">
        <v>1384</v>
      </c>
      <c r="X428" t="s">
        <v>358</v>
      </c>
      <c r="Y428" t="s">
        <v>120</v>
      </c>
      <c r="Z428" t="s">
        <v>53</v>
      </c>
      <c r="AA428" t="s">
        <v>358</v>
      </c>
      <c r="AB428" t="s">
        <v>53</v>
      </c>
      <c r="AC428" t="s">
        <v>168</v>
      </c>
      <c r="AD428" t="s">
        <v>218</v>
      </c>
      <c r="AE428" t="s">
        <v>194</v>
      </c>
      <c r="AF428" t="s">
        <v>168</v>
      </c>
      <c r="AG428" t="s">
        <v>194</v>
      </c>
      <c r="AH428" t="s">
        <v>1413</v>
      </c>
    </row>
    <row r="429" spans="1:34" x14ac:dyDescent="0.25">
      <c r="A429" t="s">
        <v>1416</v>
      </c>
      <c r="B429" t="s">
        <v>804</v>
      </c>
      <c r="C429" t="s">
        <v>36</v>
      </c>
      <c r="D429" t="s">
        <v>78</v>
      </c>
      <c r="E429">
        <v>31</v>
      </c>
      <c r="F429">
        <v>30</v>
      </c>
      <c r="G429" t="s">
        <v>1417</v>
      </c>
      <c r="H429" t="s">
        <v>1418</v>
      </c>
      <c r="I429" t="s">
        <v>63</v>
      </c>
      <c r="J429" t="s">
        <v>44</v>
      </c>
      <c r="K429" t="s">
        <v>114</v>
      </c>
      <c r="L429" t="s">
        <v>63</v>
      </c>
      <c r="M429" t="s">
        <v>43</v>
      </c>
      <c r="N429" t="s">
        <v>43</v>
      </c>
      <c r="O429" t="s">
        <v>40</v>
      </c>
      <c r="P429" t="s">
        <v>43</v>
      </c>
      <c r="Q429" t="s">
        <v>406</v>
      </c>
      <c r="R429" t="s">
        <v>406</v>
      </c>
      <c r="S429" t="s">
        <v>175</v>
      </c>
      <c r="T429" t="s">
        <v>363</v>
      </c>
      <c r="U429" t="s">
        <v>127</v>
      </c>
      <c r="V429" t="s">
        <v>1419</v>
      </c>
      <c r="W429" t="s">
        <v>506</v>
      </c>
      <c r="X429" t="s">
        <v>181</v>
      </c>
      <c r="Y429" t="s">
        <v>193</v>
      </c>
      <c r="Z429" t="s">
        <v>204</v>
      </c>
      <c r="AA429" t="s">
        <v>181</v>
      </c>
      <c r="AB429" t="s">
        <v>204</v>
      </c>
      <c r="AC429" t="s">
        <v>53</v>
      </c>
      <c r="AD429" t="s">
        <v>181</v>
      </c>
      <c r="AE429" t="s">
        <v>194</v>
      </c>
      <c r="AF429" t="s">
        <v>53</v>
      </c>
      <c r="AG429" t="s">
        <v>194</v>
      </c>
      <c r="AH429" t="s">
        <v>1413</v>
      </c>
    </row>
    <row r="430" spans="1:34" x14ac:dyDescent="0.25">
      <c r="A430" t="s">
        <v>1420</v>
      </c>
      <c r="B430" t="s">
        <v>411</v>
      </c>
      <c r="C430" t="s">
        <v>108</v>
      </c>
      <c r="D430" t="s">
        <v>272</v>
      </c>
      <c r="E430">
        <v>32</v>
      </c>
      <c r="F430">
        <v>29</v>
      </c>
      <c r="G430" t="s">
        <v>1421</v>
      </c>
      <c r="H430" t="s">
        <v>1422</v>
      </c>
      <c r="I430" t="s">
        <v>44</v>
      </c>
      <c r="J430" t="s">
        <v>44</v>
      </c>
      <c r="K430" t="s">
        <v>63</v>
      </c>
      <c r="L430" t="s">
        <v>44</v>
      </c>
      <c r="M430" t="s">
        <v>43</v>
      </c>
      <c r="N430" t="s">
        <v>43</v>
      </c>
      <c r="O430" t="s">
        <v>114</v>
      </c>
      <c r="P430" t="s">
        <v>43</v>
      </c>
      <c r="Q430" t="s">
        <v>164</v>
      </c>
      <c r="R430" t="s">
        <v>164</v>
      </c>
      <c r="S430" t="s">
        <v>531</v>
      </c>
      <c r="T430" t="s">
        <v>46</v>
      </c>
      <c r="U430" t="s">
        <v>89</v>
      </c>
      <c r="V430" t="s">
        <v>332</v>
      </c>
      <c r="W430" t="s">
        <v>203</v>
      </c>
      <c r="X430" t="s">
        <v>358</v>
      </c>
      <c r="Y430" t="s">
        <v>358</v>
      </c>
      <c r="Z430" t="s">
        <v>181</v>
      </c>
      <c r="AA430" t="s">
        <v>358</v>
      </c>
      <c r="AB430" t="s">
        <v>181</v>
      </c>
      <c r="AC430" t="s">
        <v>169</v>
      </c>
      <c r="AD430" t="s">
        <v>181</v>
      </c>
      <c r="AE430" t="s">
        <v>118</v>
      </c>
      <c r="AF430" t="s">
        <v>169</v>
      </c>
      <c r="AG430" t="s">
        <v>118</v>
      </c>
      <c r="AH430" t="s">
        <v>1413</v>
      </c>
    </row>
    <row r="431" spans="1:34" x14ac:dyDescent="0.25">
      <c r="A431" t="s">
        <v>1423</v>
      </c>
      <c r="B431" t="s">
        <v>1424</v>
      </c>
      <c r="C431" t="s">
        <v>137</v>
      </c>
      <c r="D431" t="s">
        <v>148</v>
      </c>
      <c r="E431">
        <v>34</v>
      </c>
      <c r="F431">
        <v>29</v>
      </c>
      <c r="G431" t="s">
        <v>1425</v>
      </c>
      <c r="H431" t="s">
        <v>1426</v>
      </c>
      <c r="I431" t="s">
        <v>276</v>
      </c>
      <c r="J431" t="s">
        <v>114</v>
      </c>
      <c r="K431" t="s">
        <v>127</v>
      </c>
      <c r="L431" t="s">
        <v>276</v>
      </c>
      <c r="M431" t="s">
        <v>43</v>
      </c>
      <c r="N431" t="s">
        <v>43</v>
      </c>
      <c r="O431" t="s">
        <v>142</v>
      </c>
      <c r="P431" t="s">
        <v>43</v>
      </c>
      <c r="Q431" t="s">
        <v>620</v>
      </c>
      <c r="R431" t="s">
        <v>620</v>
      </c>
      <c r="S431" t="s">
        <v>46</v>
      </c>
      <c r="T431" t="s">
        <v>1186</v>
      </c>
      <c r="U431" t="s">
        <v>330</v>
      </c>
      <c r="V431" t="s">
        <v>300</v>
      </c>
      <c r="W431" t="s">
        <v>774</v>
      </c>
      <c r="X431" t="s">
        <v>500</v>
      </c>
      <c r="Y431" t="s">
        <v>204</v>
      </c>
      <c r="Z431" t="s">
        <v>482</v>
      </c>
      <c r="AA431" t="s">
        <v>500</v>
      </c>
      <c r="AB431" t="s">
        <v>482</v>
      </c>
      <c r="AC431" t="s">
        <v>510</v>
      </c>
      <c r="AD431" t="s">
        <v>218</v>
      </c>
      <c r="AE431" t="s">
        <v>52</v>
      </c>
      <c r="AF431" t="s">
        <v>510</v>
      </c>
      <c r="AG431" t="s">
        <v>52</v>
      </c>
      <c r="AH431" t="s">
        <v>1413</v>
      </c>
    </row>
    <row r="432" spans="1:34" x14ac:dyDescent="0.25">
      <c r="A432" t="s">
        <v>1427</v>
      </c>
      <c r="B432" t="s">
        <v>942</v>
      </c>
      <c r="C432" t="s">
        <v>108</v>
      </c>
      <c r="D432" t="s">
        <v>263</v>
      </c>
      <c r="E432">
        <v>29</v>
      </c>
      <c r="F432">
        <v>28</v>
      </c>
      <c r="G432" t="s">
        <v>1428</v>
      </c>
      <c r="H432" t="s">
        <v>123</v>
      </c>
      <c r="I432" t="s">
        <v>63</v>
      </c>
      <c r="J432" t="s">
        <v>43</v>
      </c>
      <c r="K432" t="s">
        <v>63</v>
      </c>
      <c r="L432" t="s">
        <v>63</v>
      </c>
      <c r="M432" t="s">
        <v>43</v>
      </c>
      <c r="N432" t="s">
        <v>43</v>
      </c>
      <c r="O432" t="s">
        <v>44</v>
      </c>
      <c r="P432" t="s">
        <v>43</v>
      </c>
      <c r="Q432" t="s">
        <v>63</v>
      </c>
      <c r="R432" t="s">
        <v>63</v>
      </c>
      <c r="S432" t="s">
        <v>44</v>
      </c>
      <c r="T432" t="s">
        <v>114</v>
      </c>
      <c r="U432" t="s">
        <v>89</v>
      </c>
      <c r="V432" t="s">
        <v>717</v>
      </c>
      <c r="W432" t="s">
        <v>167</v>
      </c>
      <c r="X432" t="s">
        <v>181</v>
      </c>
      <c r="Y432" t="s">
        <v>43</v>
      </c>
      <c r="Z432" t="s">
        <v>181</v>
      </c>
      <c r="AA432" t="s">
        <v>181</v>
      </c>
      <c r="AB432" t="s">
        <v>181</v>
      </c>
      <c r="AC432" t="s">
        <v>181</v>
      </c>
      <c r="AD432" t="s">
        <v>193</v>
      </c>
      <c r="AE432" t="s">
        <v>204</v>
      </c>
      <c r="AF432" t="s">
        <v>181</v>
      </c>
      <c r="AG432" t="s">
        <v>204</v>
      </c>
      <c r="AH432" t="s">
        <v>1413</v>
      </c>
    </row>
    <row r="433" spans="1:34" x14ac:dyDescent="0.25">
      <c r="A433" t="s">
        <v>1429</v>
      </c>
      <c r="B433" t="s">
        <v>804</v>
      </c>
      <c r="C433" t="s">
        <v>36</v>
      </c>
      <c r="D433" t="s">
        <v>37</v>
      </c>
      <c r="E433">
        <v>32</v>
      </c>
      <c r="F433">
        <v>27</v>
      </c>
      <c r="G433" t="s">
        <v>1430</v>
      </c>
      <c r="H433" t="s">
        <v>581</v>
      </c>
      <c r="I433" t="s">
        <v>114</v>
      </c>
      <c r="J433" t="s">
        <v>114</v>
      </c>
      <c r="K433" t="s">
        <v>126</v>
      </c>
      <c r="L433" t="s">
        <v>114</v>
      </c>
      <c r="M433" t="s">
        <v>43</v>
      </c>
      <c r="N433" t="s">
        <v>43</v>
      </c>
      <c r="O433" t="s">
        <v>81</v>
      </c>
      <c r="P433" t="s">
        <v>43</v>
      </c>
      <c r="Q433" t="s">
        <v>378</v>
      </c>
      <c r="R433" t="s">
        <v>378</v>
      </c>
      <c r="S433" t="s">
        <v>83</v>
      </c>
      <c r="T433" t="s">
        <v>629</v>
      </c>
      <c r="U433" t="s">
        <v>62</v>
      </c>
      <c r="V433" t="s">
        <v>1415</v>
      </c>
      <c r="W433" t="s">
        <v>499</v>
      </c>
      <c r="X433" t="s">
        <v>53</v>
      </c>
      <c r="Y433" t="s">
        <v>53</v>
      </c>
      <c r="Z433" t="s">
        <v>50</v>
      </c>
      <c r="AA433" t="s">
        <v>53</v>
      </c>
      <c r="AB433" t="s">
        <v>50</v>
      </c>
      <c r="AC433" t="s">
        <v>358</v>
      </c>
      <c r="AD433" t="s">
        <v>205</v>
      </c>
      <c r="AE433" t="s">
        <v>194</v>
      </c>
      <c r="AF433" t="s">
        <v>358</v>
      </c>
      <c r="AG433" t="s">
        <v>194</v>
      </c>
      <c r="AH433" t="s">
        <v>1413</v>
      </c>
    </row>
    <row r="434" spans="1:34" x14ac:dyDescent="0.25">
      <c r="A434" t="s">
        <v>1431</v>
      </c>
      <c r="B434" t="s">
        <v>804</v>
      </c>
      <c r="C434" t="s">
        <v>108</v>
      </c>
      <c r="D434" t="s">
        <v>201</v>
      </c>
      <c r="E434">
        <v>34</v>
      </c>
      <c r="F434">
        <v>22</v>
      </c>
      <c r="G434" t="s">
        <v>693</v>
      </c>
      <c r="H434" t="s">
        <v>587</v>
      </c>
      <c r="I434" t="s">
        <v>44</v>
      </c>
      <c r="J434" t="s">
        <v>63</v>
      </c>
      <c r="K434" t="s">
        <v>114</v>
      </c>
      <c r="L434" t="s">
        <v>44</v>
      </c>
      <c r="M434" t="s">
        <v>43</v>
      </c>
      <c r="N434" t="s">
        <v>43</v>
      </c>
      <c r="O434" t="s">
        <v>44</v>
      </c>
      <c r="P434" t="s">
        <v>43</v>
      </c>
      <c r="Q434" t="s">
        <v>398</v>
      </c>
      <c r="R434" t="s">
        <v>398</v>
      </c>
      <c r="S434" t="s">
        <v>255</v>
      </c>
      <c r="T434" t="s">
        <v>405</v>
      </c>
      <c r="U434" t="s">
        <v>203</v>
      </c>
      <c r="V434" t="s">
        <v>372</v>
      </c>
      <c r="W434" t="s">
        <v>735</v>
      </c>
      <c r="X434" t="s">
        <v>168</v>
      </c>
      <c r="Y434" t="s">
        <v>120</v>
      </c>
      <c r="Z434" t="s">
        <v>218</v>
      </c>
      <c r="AA434" t="s">
        <v>168</v>
      </c>
      <c r="AB434" t="s">
        <v>218</v>
      </c>
      <c r="AC434" t="s">
        <v>193</v>
      </c>
      <c r="AD434" t="s">
        <v>242</v>
      </c>
      <c r="AE434" t="s">
        <v>53</v>
      </c>
      <c r="AF434" t="s">
        <v>193</v>
      </c>
      <c r="AG434" t="s">
        <v>53</v>
      </c>
      <c r="AH434" t="s">
        <v>1413</v>
      </c>
    </row>
    <row r="435" spans="1:34" x14ac:dyDescent="0.25">
      <c r="A435" t="s">
        <v>1432</v>
      </c>
      <c r="B435" t="s">
        <v>418</v>
      </c>
      <c r="C435" t="s">
        <v>137</v>
      </c>
      <c r="D435" t="s">
        <v>59</v>
      </c>
      <c r="E435">
        <v>25</v>
      </c>
      <c r="F435">
        <v>22</v>
      </c>
      <c r="G435" t="s">
        <v>1433</v>
      </c>
      <c r="H435" t="s">
        <v>1434</v>
      </c>
      <c r="I435" t="s">
        <v>41</v>
      </c>
      <c r="J435" t="s">
        <v>126</v>
      </c>
      <c r="K435" t="s">
        <v>127</v>
      </c>
      <c r="L435" t="s">
        <v>126</v>
      </c>
      <c r="M435" t="s">
        <v>114</v>
      </c>
      <c r="N435" t="s">
        <v>114</v>
      </c>
      <c r="O435" t="s">
        <v>63</v>
      </c>
      <c r="P435" t="s">
        <v>43</v>
      </c>
      <c r="Q435" t="s">
        <v>1379</v>
      </c>
      <c r="R435" t="s">
        <v>446</v>
      </c>
      <c r="S435" t="s">
        <v>210</v>
      </c>
      <c r="T435" t="s">
        <v>797</v>
      </c>
      <c r="U435" t="s">
        <v>115</v>
      </c>
      <c r="V435" t="s">
        <v>383</v>
      </c>
      <c r="W435" t="s">
        <v>565</v>
      </c>
      <c r="X435" t="s">
        <v>251</v>
      </c>
      <c r="Y435" t="s">
        <v>51</v>
      </c>
      <c r="Z435" t="s">
        <v>1157</v>
      </c>
      <c r="AA435" t="s">
        <v>51</v>
      </c>
      <c r="AB435" t="s">
        <v>320</v>
      </c>
      <c r="AC435" t="s">
        <v>216</v>
      </c>
      <c r="AD435" t="s">
        <v>134</v>
      </c>
      <c r="AE435" t="s">
        <v>104</v>
      </c>
      <c r="AF435" t="s">
        <v>616</v>
      </c>
      <c r="AG435" t="s">
        <v>320</v>
      </c>
      <c r="AH435" t="s">
        <v>1413</v>
      </c>
    </row>
    <row r="436" spans="1:34" x14ac:dyDescent="0.25">
      <c r="A436" t="s">
        <v>1435</v>
      </c>
      <c r="B436" t="s">
        <v>136</v>
      </c>
      <c r="C436" t="s">
        <v>108</v>
      </c>
      <c r="D436" t="s">
        <v>268</v>
      </c>
      <c r="E436">
        <v>28</v>
      </c>
      <c r="F436">
        <v>21</v>
      </c>
      <c r="G436" t="s">
        <v>1436</v>
      </c>
      <c r="H436" t="s">
        <v>1437</v>
      </c>
      <c r="I436" t="s">
        <v>63</v>
      </c>
      <c r="J436" t="s">
        <v>44</v>
      </c>
      <c r="K436" t="s">
        <v>114</v>
      </c>
      <c r="L436" t="s">
        <v>63</v>
      </c>
      <c r="M436" t="s">
        <v>43</v>
      </c>
      <c r="N436" t="s">
        <v>43</v>
      </c>
      <c r="O436" t="s">
        <v>81</v>
      </c>
      <c r="P436" t="s">
        <v>43</v>
      </c>
      <c r="Q436" t="s">
        <v>222</v>
      </c>
      <c r="R436" t="s">
        <v>222</v>
      </c>
      <c r="S436" t="s">
        <v>327</v>
      </c>
      <c r="T436" t="s">
        <v>297</v>
      </c>
      <c r="U436" t="s">
        <v>272</v>
      </c>
      <c r="V436" t="s">
        <v>717</v>
      </c>
      <c r="W436" t="s">
        <v>304</v>
      </c>
      <c r="X436" t="s">
        <v>82</v>
      </c>
      <c r="Y436" t="s">
        <v>168</v>
      </c>
      <c r="Z436" t="s">
        <v>156</v>
      </c>
      <c r="AA436" t="s">
        <v>82</v>
      </c>
      <c r="AB436" t="s">
        <v>156</v>
      </c>
      <c r="AC436" t="s">
        <v>169</v>
      </c>
      <c r="AD436" t="s">
        <v>204</v>
      </c>
      <c r="AE436" t="s">
        <v>151</v>
      </c>
      <c r="AF436" t="s">
        <v>169</v>
      </c>
      <c r="AG436" t="s">
        <v>151</v>
      </c>
      <c r="AH436" t="s">
        <v>1413</v>
      </c>
    </row>
    <row r="437" spans="1:34" x14ac:dyDescent="0.25">
      <c r="A437" t="s">
        <v>1438</v>
      </c>
      <c r="B437" t="s">
        <v>57</v>
      </c>
      <c r="C437" t="s">
        <v>137</v>
      </c>
      <c r="D437" t="s">
        <v>37</v>
      </c>
      <c r="E437">
        <v>17</v>
      </c>
      <c r="F437">
        <v>16</v>
      </c>
      <c r="G437" t="s">
        <v>1439</v>
      </c>
      <c r="H437" t="s">
        <v>1440</v>
      </c>
      <c r="I437" t="s">
        <v>83</v>
      </c>
      <c r="J437" t="s">
        <v>63</v>
      </c>
      <c r="K437" t="s">
        <v>126</v>
      </c>
      <c r="L437" t="s">
        <v>83</v>
      </c>
      <c r="M437" t="s">
        <v>43</v>
      </c>
      <c r="N437" t="s">
        <v>43</v>
      </c>
      <c r="O437" t="s">
        <v>81</v>
      </c>
      <c r="P437" t="s">
        <v>43</v>
      </c>
      <c r="Q437" t="s">
        <v>126</v>
      </c>
      <c r="R437" t="s">
        <v>126</v>
      </c>
      <c r="S437" t="s">
        <v>416</v>
      </c>
      <c r="T437" t="s">
        <v>446</v>
      </c>
      <c r="U437" t="s">
        <v>59</v>
      </c>
      <c r="V437" t="s">
        <v>494</v>
      </c>
      <c r="W437" t="s">
        <v>310</v>
      </c>
      <c r="X437" t="s">
        <v>50</v>
      </c>
      <c r="Y437" t="s">
        <v>53</v>
      </c>
      <c r="Z437" t="s">
        <v>97</v>
      </c>
      <c r="AA437" t="s">
        <v>50</v>
      </c>
      <c r="AB437" t="s">
        <v>97</v>
      </c>
      <c r="AC437" t="s">
        <v>97</v>
      </c>
      <c r="AD437" t="s">
        <v>120</v>
      </c>
      <c r="AE437" t="s">
        <v>315</v>
      </c>
      <c r="AF437" t="s">
        <v>97</v>
      </c>
      <c r="AG437" t="s">
        <v>315</v>
      </c>
      <c r="AH437" t="s">
        <v>1413</v>
      </c>
    </row>
    <row r="438" spans="1:34" x14ac:dyDescent="0.25">
      <c r="A438" t="s">
        <v>1441</v>
      </c>
      <c r="B438" t="s">
        <v>57</v>
      </c>
      <c r="C438" t="s">
        <v>709</v>
      </c>
      <c r="D438" t="s">
        <v>272</v>
      </c>
      <c r="E438">
        <v>30</v>
      </c>
      <c r="F438">
        <v>15</v>
      </c>
      <c r="G438" t="s">
        <v>1442</v>
      </c>
      <c r="H438" t="s">
        <v>167</v>
      </c>
      <c r="I438" t="s">
        <v>114</v>
      </c>
      <c r="J438" t="s">
        <v>44</v>
      </c>
      <c r="K438" t="s">
        <v>83</v>
      </c>
      <c r="L438" t="s">
        <v>114</v>
      </c>
      <c r="M438" t="s">
        <v>43</v>
      </c>
      <c r="N438" t="s">
        <v>43</v>
      </c>
      <c r="O438" t="s">
        <v>43</v>
      </c>
      <c r="P438" t="s">
        <v>43</v>
      </c>
      <c r="Q438" t="s">
        <v>504</v>
      </c>
      <c r="R438" t="s">
        <v>504</v>
      </c>
      <c r="S438" t="s">
        <v>164</v>
      </c>
      <c r="T438" t="s">
        <v>40</v>
      </c>
      <c r="U438" t="s">
        <v>703</v>
      </c>
      <c r="V438" t="s">
        <v>140</v>
      </c>
      <c r="W438" t="s">
        <v>602</v>
      </c>
      <c r="X438" t="s">
        <v>194</v>
      </c>
      <c r="Y438" t="s">
        <v>169</v>
      </c>
      <c r="Z438" t="s">
        <v>50</v>
      </c>
      <c r="AA438" t="s">
        <v>194</v>
      </c>
      <c r="AB438" t="s">
        <v>50</v>
      </c>
      <c r="AC438" t="s">
        <v>105</v>
      </c>
      <c r="AD438" t="s">
        <v>204</v>
      </c>
      <c r="AE438" t="s">
        <v>176</v>
      </c>
      <c r="AF438" t="s">
        <v>105</v>
      </c>
      <c r="AG438" t="s">
        <v>176</v>
      </c>
      <c r="AH438" t="s">
        <v>1413</v>
      </c>
    </row>
    <row r="439" spans="1:34" x14ac:dyDescent="0.25">
      <c r="A439" t="s">
        <v>1443</v>
      </c>
      <c r="B439" t="s">
        <v>57</v>
      </c>
      <c r="C439" t="s">
        <v>108</v>
      </c>
      <c r="D439" t="s">
        <v>109</v>
      </c>
      <c r="E439">
        <v>16</v>
      </c>
      <c r="F439">
        <v>15</v>
      </c>
      <c r="G439" t="s">
        <v>1444</v>
      </c>
      <c r="H439" t="s">
        <v>1445</v>
      </c>
      <c r="I439" t="s">
        <v>63</v>
      </c>
      <c r="J439" t="s">
        <v>43</v>
      </c>
      <c r="K439" t="s">
        <v>63</v>
      </c>
      <c r="L439" t="s">
        <v>63</v>
      </c>
      <c r="M439" t="s">
        <v>43</v>
      </c>
      <c r="N439" t="s">
        <v>43</v>
      </c>
      <c r="O439" t="s">
        <v>44</v>
      </c>
      <c r="P439" t="s">
        <v>44</v>
      </c>
      <c r="Q439" t="s">
        <v>416</v>
      </c>
      <c r="R439" t="s">
        <v>416</v>
      </c>
      <c r="S439" t="s">
        <v>163</v>
      </c>
      <c r="T439" t="s">
        <v>255</v>
      </c>
      <c r="U439" t="s">
        <v>89</v>
      </c>
      <c r="V439" t="s">
        <v>816</v>
      </c>
      <c r="W439" t="s">
        <v>41</v>
      </c>
      <c r="X439" t="s">
        <v>218</v>
      </c>
      <c r="Y439" t="s">
        <v>43</v>
      </c>
      <c r="Z439" t="s">
        <v>218</v>
      </c>
      <c r="AA439" t="s">
        <v>218</v>
      </c>
      <c r="AB439" t="s">
        <v>218</v>
      </c>
      <c r="AC439" t="s">
        <v>82</v>
      </c>
      <c r="AD439" t="s">
        <v>182</v>
      </c>
      <c r="AE439" t="s">
        <v>118</v>
      </c>
      <c r="AF439" t="s">
        <v>82</v>
      </c>
      <c r="AG439" t="s">
        <v>118</v>
      </c>
      <c r="AH439" t="s">
        <v>1413</v>
      </c>
    </row>
    <row r="440" spans="1:34" x14ac:dyDescent="0.25">
      <c r="A440" t="s">
        <v>888</v>
      </c>
      <c r="B440" t="s">
        <v>35</v>
      </c>
      <c r="C440" t="s">
        <v>108</v>
      </c>
      <c r="D440" t="s">
        <v>148</v>
      </c>
      <c r="E440">
        <v>16</v>
      </c>
      <c r="F440">
        <v>14</v>
      </c>
      <c r="G440" t="s">
        <v>1446</v>
      </c>
      <c r="H440" t="s">
        <v>762</v>
      </c>
      <c r="I440" t="s">
        <v>43</v>
      </c>
      <c r="J440" t="s">
        <v>83</v>
      </c>
      <c r="K440" t="s">
        <v>83</v>
      </c>
      <c r="L440" t="s">
        <v>43</v>
      </c>
      <c r="M440" t="s">
        <v>43</v>
      </c>
      <c r="N440" t="s">
        <v>43</v>
      </c>
      <c r="O440" t="s">
        <v>83</v>
      </c>
      <c r="P440" t="s">
        <v>44</v>
      </c>
      <c r="Q440" t="s">
        <v>259</v>
      </c>
      <c r="R440" t="s">
        <v>259</v>
      </c>
      <c r="S440" t="s">
        <v>282</v>
      </c>
      <c r="T440" t="s">
        <v>297</v>
      </c>
      <c r="U440" t="s">
        <v>165</v>
      </c>
      <c r="V440" t="s">
        <v>227</v>
      </c>
      <c r="W440" t="s">
        <v>494</v>
      </c>
      <c r="X440" t="s">
        <v>43</v>
      </c>
      <c r="Y440" t="s">
        <v>466</v>
      </c>
      <c r="Z440" t="s">
        <v>466</v>
      </c>
      <c r="AA440" t="s">
        <v>43</v>
      </c>
      <c r="AB440" t="s">
        <v>466</v>
      </c>
      <c r="AC440" t="s">
        <v>169</v>
      </c>
      <c r="AD440" t="s">
        <v>402</v>
      </c>
      <c r="AE440" t="s">
        <v>236</v>
      </c>
      <c r="AF440" t="s">
        <v>169</v>
      </c>
      <c r="AG440" t="s">
        <v>236</v>
      </c>
      <c r="AH440" t="s">
        <v>1413</v>
      </c>
    </row>
    <row r="441" spans="1:34" x14ac:dyDescent="0.25">
      <c r="A441" t="s">
        <v>1212</v>
      </c>
      <c r="B441" t="s">
        <v>376</v>
      </c>
      <c r="C441" t="s">
        <v>137</v>
      </c>
      <c r="D441" t="s">
        <v>148</v>
      </c>
      <c r="E441">
        <v>29</v>
      </c>
      <c r="F441">
        <v>13</v>
      </c>
      <c r="G441" t="s">
        <v>1447</v>
      </c>
      <c r="H441" t="s">
        <v>870</v>
      </c>
      <c r="I441" t="s">
        <v>126</v>
      </c>
      <c r="J441" t="s">
        <v>114</v>
      </c>
      <c r="K441" t="s">
        <v>41</v>
      </c>
      <c r="L441" t="s">
        <v>126</v>
      </c>
      <c r="M441" t="s">
        <v>43</v>
      </c>
      <c r="N441" t="s">
        <v>43</v>
      </c>
      <c r="O441" t="s">
        <v>40</v>
      </c>
      <c r="P441" t="s">
        <v>43</v>
      </c>
      <c r="Q441" t="s">
        <v>290</v>
      </c>
      <c r="R441" t="s">
        <v>290</v>
      </c>
      <c r="S441" t="s">
        <v>327</v>
      </c>
      <c r="T441" t="s">
        <v>787</v>
      </c>
      <c r="U441" t="s">
        <v>185</v>
      </c>
      <c r="V441" t="s">
        <v>225</v>
      </c>
      <c r="W441" t="s">
        <v>448</v>
      </c>
      <c r="X441" t="s">
        <v>251</v>
      </c>
      <c r="Y441" t="s">
        <v>241</v>
      </c>
      <c r="Z441" t="s">
        <v>106</v>
      </c>
      <c r="AA441" t="s">
        <v>251</v>
      </c>
      <c r="AB441" t="s">
        <v>106</v>
      </c>
      <c r="AC441" t="s">
        <v>105</v>
      </c>
      <c r="AD441" t="s">
        <v>205</v>
      </c>
      <c r="AE441" t="s">
        <v>320</v>
      </c>
      <c r="AF441" t="s">
        <v>105</v>
      </c>
      <c r="AG441" t="s">
        <v>320</v>
      </c>
      <c r="AH441" t="s">
        <v>1413</v>
      </c>
    </row>
    <row r="442" spans="1:34" x14ac:dyDescent="0.25">
      <c r="A442" t="s">
        <v>1448</v>
      </c>
      <c r="B442" t="s">
        <v>804</v>
      </c>
      <c r="C442" t="s">
        <v>108</v>
      </c>
      <c r="D442" t="s">
        <v>109</v>
      </c>
      <c r="E442">
        <v>14</v>
      </c>
      <c r="F442">
        <v>12</v>
      </c>
      <c r="G442" t="s">
        <v>1449</v>
      </c>
      <c r="H442" t="s">
        <v>797</v>
      </c>
      <c r="I442" t="s">
        <v>44</v>
      </c>
      <c r="J442" t="s">
        <v>43</v>
      </c>
      <c r="K442" t="s">
        <v>44</v>
      </c>
      <c r="L442" t="s">
        <v>44</v>
      </c>
      <c r="M442" t="s">
        <v>43</v>
      </c>
      <c r="N442" t="s">
        <v>43</v>
      </c>
      <c r="O442" t="s">
        <v>83</v>
      </c>
      <c r="P442" t="s">
        <v>43</v>
      </c>
      <c r="Q442" t="s">
        <v>378</v>
      </c>
      <c r="R442" t="s">
        <v>378</v>
      </c>
      <c r="S442" t="s">
        <v>398</v>
      </c>
      <c r="T442" t="s">
        <v>164</v>
      </c>
      <c r="U442" t="s">
        <v>81</v>
      </c>
      <c r="V442" t="s">
        <v>248</v>
      </c>
      <c r="W442" t="s">
        <v>83</v>
      </c>
      <c r="X442" t="s">
        <v>242</v>
      </c>
      <c r="Y442" t="s">
        <v>43</v>
      </c>
      <c r="Z442" t="s">
        <v>242</v>
      </c>
      <c r="AA442" t="s">
        <v>242</v>
      </c>
      <c r="AB442" t="s">
        <v>242</v>
      </c>
      <c r="AC442" t="s">
        <v>169</v>
      </c>
      <c r="AD442" t="s">
        <v>242</v>
      </c>
      <c r="AE442" t="s">
        <v>218</v>
      </c>
      <c r="AF442" t="s">
        <v>169</v>
      </c>
      <c r="AG442" t="s">
        <v>218</v>
      </c>
      <c r="AH442" t="s">
        <v>1413</v>
      </c>
    </row>
    <row r="443" spans="1:34" x14ac:dyDescent="0.25">
      <c r="A443" t="s">
        <v>1450</v>
      </c>
      <c r="B443" t="s">
        <v>1120</v>
      </c>
      <c r="C443" t="s">
        <v>36</v>
      </c>
      <c r="D443" t="s">
        <v>268</v>
      </c>
      <c r="E443">
        <v>26</v>
      </c>
      <c r="F443">
        <v>11</v>
      </c>
      <c r="G443" t="s">
        <v>799</v>
      </c>
      <c r="H443" t="s">
        <v>488</v>
      </c>
      <c r="I443" t="s">
        <v>44</v>
      </c>
      <c r="J443" t="s">
        <v>63</v>
      </c>
      <c r="K443" t="s">
        <v>114</v>
      </c>
      <c r="L443" t="s">
        <v>44</v>
      </c>
      <c r="M443" t="s">
        <v>43</v>
      </c>
      <c r="N443" t="s">
        <v>43</v>
      </c>
      <c r="O443" t="s">
        <v>40</v>
      </c>
      <c r="P443" t="s">
        <v>43</v>
      </c>
      <c r="Q443" t="s">
        <v>531</v>
      </c>
      <c r="R443" t="s">
        <v>531</v>
      </c>
      <c r="S443" t="s">
        <v>255</v>
      </c>
      <c r="T443" t="s">
        <v>83</v>
      </c>
      <c r="U443" t="s">
        <v>42</v>
      </c>
      <c r="V443" t="s">
        <v>109</v>
      </c>
      <c r="W443" t="s">
        <v>399</v>
      </c>
      <c r="X443" t="s">
        <v>242</v>
      </c>
      <c r="Y443" t="s">
        <v>205</v>
      </c>
      <c r="Z443" t="s">
        <v>402</v>
      </c>
      <c r="AA443" t="s">
        <v>242</v>
      </c>
      <c r="AB443" t="s">
        <v>402</v>
      </c>
      <c r="AC443" t="s">
        <v>215</v>
      </c>
      <c r="AD443" t="s">
        <v>218</v>
      </c>
      <c r="AE443" t="s">
        <v>100</v>
      </c>
      <c r="AF443" t="s">
        <v>215</v>
      </c>
      <c r="AG443" t="s">
        <v>100</v>
      </c>
      <c r="AH443" t="s">
        <v>1413</v>
      </c>
    </row>
    <row r="444" spans="1:34" x14ac:dyDescent="0.25">
      <c r="A444" t="s">
        <v>1451</v>
      </c>
      <c r="B444" t="s">
        <v>360</v>
      </c>
      <c r="C444" t="s">
        <v>108</v>
      </c>
      <c r="D444" t="s">
        <v>185</v>
      </c>
      <c r="E444">
        <v>9</v>
      </c>
      <c r="F444">
        <v>9</v>
      </c>
      <c r="G444" t="s">
        <v>1452</v>
      </c>
      <c r="H444" t="s">
        <v>497</v>
      </c>
      <c r="I444" t="s">
        <v>43</v>
      </c>
      <c r="J444" t="s">
        <v>43</v>
      </c>
      <c r="K444" t="s">
        <v>43</v>
      </c>
      <c r="L444" t="s">
        <v>43</v>
      </c>
      <c r="M444" t="s">
        <v>43</v>
      </c>
      <c r="N444" t="s">
        <v>43</v>
      </c>
      <c r="O444" t="s">
        <v>81</v>
      </c>
      <c r="P444" t="s">
        <v>43</v>
      </c>
      <c r="Q444" t="s">
        <v>241</v>
      </c>
      <c r="R444" t="s">
        <v>241</v>
      </c>
      <c r="S444" t="s">
        <v>82</v>
      </c>
      <c r="T444" t="s">
        <v>163</v>
      </c>
      <c r="U444" t="s">
        <v>41</v>
      </c>
      <c r="V444" t="s">
        <v>185</v>
      </c>
      <c r="W444" t="s">
        <v>90</v>
      </c>
      <c r="X444" t="s">
        <v>43</v>
      </c>
      <c r="Y444" t="s">
        <v>43</v>
      </c>
      <c r="Z444" t="s">
        <v>43</v>
      </c>
      <c r="AA444" t="s">
        <v>43</v>
      </c>
      <c r="AB444" t="s">
        <v>43</v>
      </c>
      <c r="AC444" t="s">
        <v>358</v>
      </c>
      <c r="AD444" t="s">
        <v>119</v>
      </c>
      <c r="AE444" t="s">
        <v>193</v>
      </c>
      <c r="AF444" t="s">
        <v>358</v>
      </c>
      <c r="AG444" t="s">
        <v>193</v>
      </c>
      <c r="AH444" t="s">
        <v>1413</v>
      </c>
    </row>
    <row r="445" spans="1:34" x14ac:dyDescent="0.25">
      <c r="A445" t="s">
        <v>1453</v>
      </c>
      <c r="B445" t="s">
        <v>804</v>
      </c>
      <c r="C445" t="s">
        <v>36</v>
      </c>
      <c r="D445" t="s">
        <v>59</v>
      </c>
      <c r="E445">
        <v>23</v>
      </c>
      <c r="F445">
        <v>7</v>
      </c>
      <c r="G445" t="s">
        <v>1454</v>
      </c>
      <c r="H445" t="s">
        <v>662</v>
      </c>
      <c r="I445" t="s">
        <v>43</v>
      </c>
      <c r="J445" t="s">
        <v>63</v>
      </c>
      <c r="K445" t="s">
        <v>63</v>
      </c>
      <c r="L445" t="s">
        <v>43</v>
      </c>
      <c r="M445" t="s">
        <v>43</v>
      </c>
      <c r="N445" t="s">
        <v>43</v>
      </c>
      <c r="O445" t="s">
        <v>63</v>
      </c>
      <c r="P445" t="s">
        <v>43</v>
      </c>
      <c r="Q445" t="s">
        <v>398</v>
      </c>
      <c r="R445" t="s">
        <v>398</v>
      </c>
      <c r="S445" t="s">
        <v>162</v>
      </c>
      <c r="T445" t="s">
        <v>177</v>
      </c>
      <c r="U445" t="s">
        <v>167</v>
      </c>
      <c r="V445" t="s">
        <v>717</v>
      </c>
      <c r="W445" t="s">
        <v>140</v>
      </c>
      <c r="X445" t="s">
        <v>43</v>
      </c>
      <c r="Y445" t="s">
        <v>134</v>
      </c>
      <c r="Z445" t="s">
        <v>134</v>
      </c>
      <c r="AA445" t="s">
        <v>43</v>
      </c>
      <c r="AB445" t="s">
        <v>134</v>
      </c>
      <c r="AC445" t="s">
        <v>82</v>
      </c>
      <c r="AD445" t="s">
        <v>205</v>
      </c>
      <c r="AE445" t="s">
        <v>50</v>
      </c>
      <c r="AF445" t="s">
        <v>82</v>
      </c>
      <c r="AG445" t="s">
        <v>50</v>
      </c>
      <c r="AH445" t="s">
        <v>1413</v>
      </c>
    </row>
    <row r="446" spans="1:34" x14ac:dyDescent="0.25">
      <c r="A446" t="s">
        <v>1455</v>
      </c>
      <c r="B446" t="s">
        <v>1456</v>
      </c>
      <c r="C446" t="s">
        <v>108</v>
      </c>
      <c r="D446" t="s">
        <v>78</v>
      </c>
      <c r="E446">
        <v>19</v>
      </c>
      <c r="F446">
        <v>7</v>
      </c>
      <c r="G446" t="s">
        <v>1457</v>
      </c>
      <c r="H446" t="s">
        <v>687</v>
      </c>
      <c r="I446" t="s">
        <v>44</v>
      </c>
      <c r="J446" t="s">
        <v>43</v>
      </c>
      <c r="K446" t="s">
        <v>44</v>
      </c>
      <c r="L446" t="s">
        <v>44</v>
      </c>
      <c r="M446" t="s">
        <v>43</v>
      </c>
      <c r="N446" t="s">
        <v>43</v>
      </c>
      <c r="O446" t="s">
        <v>81</v>
      </c>
      <c r="P446" t="s">
        <v>43</v>
      </c>
      <c r="Q446" t="s">
        <v>163</v>
      </c>
      <c r="R446" t="s">
        <v>163</v>
      </c>
      <c r="S446" t="s">
        <v>254</v>
      </c>
      <c r="T446" t="s">
        <v>162</v>
      </c>
      <c r="U446" t="s">
        <v>272</v>
      </c>
      <c r="V446" t="s">
        <v>180</v>
      </c>
      <c r="W446" t="s">
        <v>304</v>
      </c>
      <c r="X446" t="s">
        <v>53</v>
      </c>
      <c r="Y446" t="s">
        <v>43</v>
      </c>
      <c r="Z446" t="s">
        <v>53</v>
      </c>
      <c r="AA446" t="s">
        <v>53</v>
      </c>
      <c r="AB446" t="s">
        <v>53</v>
      </c>
      <c r="AC446" t="s">
        <v>193</v>
      </c>
      <c r="AD446" t="s">
        <v>118</v>
      </c>
      <c r="AE446" t="s">
        <v>215</v>
      </c>
      <c r="AF446" t="s">
        <v>193</v>
      </c>
      <c r="AG446" t="s">
        <v>215</v>
      </c>
      <c r="AH446" t="s">
        <v>1413</v>
      </c>
    </row>
    <row r="447" spans="1:34" x14ac:dyDescent="0.25">
      <c r="A447" t="s">
        <v>1458</v>
      </c>
      <c r="B447" t="s">
        <v>493</v>
      </c>
      <c r="C447" t="s">
        <v>36</v>
      </c>
      <c r="D447" t="s">
        <v>62</v>
      </c>
      <c r="E447">
        <v>27</v>
      </c>
      <c r="F447">
        <v>6</v>
      </c>
      <c r="G447" t="s">
        <v>1459</v>
      </c>
      <c r="H447" t="s">
        <v>129</v>
      </c>
      <c r="I447" t="s">
        <v>43</v>
      </c>
      <c r="J447" t="s">
        <v>43</v>
      </c>
      <c r="K447" t="s">
        <v>43</v>
      </c>
      <c r="L447" t="s">
        <v>43</v>
      </c>
      <c r="M447" t="s">
        <v>43</v>
      </c>
      <c r="N447" t="s">
        <v>43</v>
      </c>
      <c r="O447" t="s">
        <v>63</v>
      </c>
      <c r="P447" t="s">
        <v>43</v>
      </c>
      <c r="Q447" t="s">
        <v>44</v>
      </c>
      <c r="R447" t="s">
        <v>44</v>
      </c>
      <c r="S447" t="s">
        <v>82</v>
      </c>
      <c r="T447" t="s">
        <v>254</v>
      </c>
      <c r="U447" t="s">
        <v>90</v>
      </c>
      <c r="V447" t="s">
        <v>147</v>
      </c>
      <c r="W447" t="s">
        <v>180</v>
      </c>
      <c r="X447" t="s">
        <v>43</v>
      </c>
      <c r="Y447" t="s">
        <v>43</v>
      </c>
      <c r="Z447" t="s">
        <v>43</v>
      </c>
      <c r="AA447" t="s">
        <v>43</v>
      </c>
      <c r="AB447" t="s">
        <v>43</v>
      </c>
      <c r="AC447" t="s">
        <v>118</v>
      </c>
      <c r="AD447" t="s">
        <v>119</v>
      </c>
      <c r="AE447" t="s">
        <v>218</v>
      </c>
      <c r="AF447" t="s">
        <v>118</v>
      </c>
      <c r="AG447" t="s">
        <v>218</v>
      </c>
      <c r="AH447" t="s">
        <v>1413</v>
      </c>
    </row>
    <row r="448" spans="1:34" x14ac:dyDescent="0.25">
      <c r="A448" t="s">
        <v>1460</v>
      </c>
      <c r="B448" t="s">
        <v>57</v>
      </c>
      <c r="C448" t="s">
        <v>108</v>
      </c>
      <c r="D448" t="s">
        <v>148</v>
      </c>
      <c r="E448">
        <v>5</v>
      </c>
      <c r="F448">
        <v>5</v>
      </c>
      <c r="G448" t="s">
        <v>1461</v>
      </c>
      <c r="H448" t="s">
        <v>189</v>
      </c>
      <c r="I448" t="s">
        <v>43</v>
      </c>
      <c r="J448" t="s">
        <v>44</v>
      </c>
      <c r="K448" t="s">
        <v>44</v>
      </c>
      <c r="L448" t="s">
        <v>43</v>
      </c>
      <c r="M448" t="s">
        <v>43</v>
      </c>
      <c r="N448" t="s">
        <v>43</v>
      </c>
      <c r="O448" t="s">
        <v>44</v>
      </c>
      <c r="P448" t="s">
        <v>43</v>
      </c>
      <c r="Q448" t="s">
        <v>82</v>
      </c>
      <c r="R448" t="s">
        <v>82</v>
      </c>
      <c r="S448" t="s">
        <v>44</v>
      </c>
      <c r="T448" t="s">
        <v>254</v>
      </c>
      <c r="U448" t="s">
        <v>90</v>
      </c>
      <c r="V448" t="s">
        <v>141</v>
      </c>
      <c r="W448" t="s">
        <v>276</v>
      </c>
      <c r="X448" t="s">
        <v>43</v>
      </c>
      <c r="Y448" t="s">
        <v>103</v>
      </c>
      <c r="Z448" t="s">
        <v>103</v>
      </c>
      <c r="AA448" t="s">
        <v>43</v>
      </c>
      <c r="AB448" t="s">
        <v>103</v>
      </c>
      <c r="AC448" t="s">
        <v>182</v>
      </c>
      <c r="AD448" t="s">
        <v>103</v>
      </c>
      <c r="AE448" t="s">
        <v>54</v>
      </c>
      <c r="AF448" t="s">
        <v>182</v>
      </c>
      <c r="AG448" t="s">
        <v>54</v>
      </c>
      <c r="AH448" t="s">
        <v>1413</v>
      </c>
    </row>
    <row r="449" spans="1:34" x14ac:dyDescent="0.25">
      <c r="A449" t="s">
        <v>1462</v>
      </c>
      <c r="B449" t="s">
        <v>262</v>
      </c>
      <c r="C449" t="s">
        <v>58</v>
      </c>
      <c r="D449" t="s">
        <v>185</v>
      </c>
      <c r="E449">
        <v>11</v>
      </c>
      <c r="F449">
        <v>3</v>
      </c>
      <c r="G449" t="s">
        <v>1463</v>
      </c>
      <c r="H449" t="s">
        <v>128</v>
      </c>
      <c r="I449" t="s">
        <v>63</v>
      </c>
      <c r="J449" t="s">
        <v>44</v>
      </c>
      <c r="K449" t="s">
        <v>114</v>
      </c>
      <c r="L449" t="s">
        <v>63</v>
      </c>
      <c r="M449" t="s">
        <v>43</v>
      </c>
      <c r="N449" t="s">
        <v>43</v>
      </c>
      <c r="O449" t="s">
        <v>43</v>
      </c>
      <c r="P449" t="s">
        <v>43</v>
      </c>
      <c r="Q449" t="s">
        <v>200</v>
      </c>
      <c r="R449" t="s">
        <v>200</v>
      </c>
      <c r="S449" t="s">
        <v>378</v>
      </c>
      <c r="T449" t="s">
        <v>175</v>
      </c>
      <c r="U449" t="s">
        <v>40</v>
      </c>
      <c r="V449" t="s">
        <v>41</v>
      </c>
      <c r="W449" t="s">
        <v>59</v>
      </c>
      <c r="X449" t="s">
        <v>482</v>
      </c>
      <c r="Y449" t="s">
        <v>98</v>
      </c>
      <c r="Z449" t="s">
        <v>158</v>
      </c>
      <c r="AA449" t="s">
        <v>482</v>
      </c>
      <c r="AB449" t="s">
        <v>158</v>
      </c>
      <c r="AC449" t="s">
        <v>466</v>
      </c>
      <c r="AD449" t="s">
        <v>194</v>
      </c>
      <c r="AE449" t="s">
        <v>52</v>
      </c>
      <c r="AF449" t="s">
        <v>466</v>
      </c>
      <c r="AG449" t="s">
        <v>52</v>
      </c>
      <c r="AH449" t="s">
        <v>1413</v>
      </c>
    </row>
    <row r="450" spans="1:34" x14ac:dyDescent="0.25">
      <c r="A450" t="s">
        <v>1464</v>
      </c>
      <c r="B450" t="s">
        <v>1465</v>
      </c>
      <c r="C450" t="s">
        <v>36</v>
      </c>
      <c r="D450" t="s">
        <v>268</v>
      </c>
      <c r="E450">
        <v>10</v>
      </c>
      <c r="F450">
        <v>2</v>
      </c>
      <c r="G450" t="s">
        <v>495</v>
      </c>
      <c r="H450" t="s">
        <v>199</v>
      </c>
      <c r="I450" t="s">
        <v>44</v>
      </c>
      <c r="J450" t="s">
        <v>44</v>
      </c>
      <c r="K450" t="s">
        <v>63</v>
      </c>
      <c r="L450" t="s">
        <v>44</v>
      </c>
      <c r="M450" t="s">
        <v>43</v>
      </c>
      <c r="N450" t="s">
        <v>43</v>
      </c>
      <c r="O450" t="s">
        <v>44</v>
      </c>
      <c r="P450" t="s">
        <v>43</v>
      </c>
      <c r="Q450" t="s">
        <v>398</v>
      </c>
      <c r="R450" t="s">
        <v>398</v>
      </c>
      <c r="S450" t="s">
        <v>241</v>
      </c>
      <c r="T450" t="s">
        <v>254</v>
      </c>
      <c r="U450" t="s">
        <v>114</v>
      </c>
      <c r="V450" t="s">
        <v>81</v>
      </c>
      <c r="W450" t="s">
        <v>44</v>
      </c>
      <c r="X450" t="s">
        <v>105</v>
      </c>
      <c r="Y450" t="s">
        <v>105</v>
      </c>
      <c r="Z450" t="s">
        <v>389</v>
      </c>
      <c r="AA450" t="s">
        <v>105</v>
      </c>
      <c r="AB450" t="s">
        <v>389</v>
      </c>
      <c r="AC450" t="s">
        <v>301</v>
      </c>
      <c r="AD450" t="s">
        <v>242</v>
      </c>
      <c r="AE450" t="s">
        <v>500</v>
      </c>
      <c r="AF450" t="s">
        <v>301</v>
      </c>
      <c r="AG450" t="s">
        <v>500</v>
      </c>
      <c r="AH450" t="s">
        <v>1413</v>
      </c>
    </row>
    <row r="451" spans="1:34" x14ac:dyDescent="0.25">
      <c r="A451" t="s">
        <v>1466</v>
      </c>
      <c r="B451" t="s">
        <v>625</v>
      </c>
      <c r="C451" t="s">
        <v>77</v>
      </c>
      <c r="D451" t="s">
        <v>123</v>
      </c>
      <c r="E451">
        <v>2</v>
      </c>
      <c r="F451">
        <v>1</v>
      </c>
      <c r="G451" t="s">
        <v>602</v>
      </c>
      <c r="H451" t="s">
        <v>416</v>
      </c>
      <c r="I451" t="s">
        <v>43</v>
      </c>
      <c r="J451" t="s">
        <v>43</v>
      </c>
      <c r="K451" t="s">
        <v>43</v>
      </c>
      <c r="L451" t="s">
        <v>43</v>
      </c>
      <c r="M451" t="s">
        <v>43</v>
      </c>
      <c r="N451" t="s">
        <v>43</v>
      </c>
      <c r="O451" t="s">
        <v>43</v>
      </c>
      <c r="P451" t="s">
        <v>43</v>
      </c>
      <c r="Q451" t="s">
        <v>43</v>
      </c>
      <c r="R451" t="s">
        <v>43</v>
      </c>
      <c r="S451" t="s">
        <v>43</v>
      </c>
      <c r="T451" t="s">
        <v>43</v>
      </c>
      <c r="U451" t="s">
        <v>43</v>
      </c>
      <c r="V451" t="s">
        <v>43</v>
      </c>
      <c r="W451" t="s">
        <v>43</v>
      </c>
      <c r="X451" t="s">
        <v>43</v>
      </c>
      <c r="Y451" t="s">
        <v>43</v>
      </c>
      <c r="Z451" t="s">
        <v>43</v>
      </c>
      <c r="AA451" t="s">
        <v>43</v>
      </c>
      <c r="AB451" t="s">
        <v>43</v>
      </c>
      <c r="AC451" t="s">
        <v>43</v>
      </c>
      <c r="AD451" t="s">
        <v>43</v>
      </c>
      <c r="AE451" t="s">
        <v>43</v>
      </c>
      <c r="AF451" t="s">
        <v>43</v>
      </c>
      <c r="AG451" t="s">
        <v>43</v>
      </c>
      <c r="AH451" t="s">
        <v>1413</v>
      </c>
    </row>
    <row r="452" spans="1:34" x14ac:dyDescent="0.25">
      <c r="A452" t="s">
        <v>1467</v>
      </c>
      <c r="B452" t="s">
        <v>57</v>
      </c>
      <c r="C452" t="s">
        <v>644</v>
      </c>
      <c r="D452" t="s">
        <v>62</v>
      </c>
      <c r="E452">
        <v>8</v>
      </c>
      <c r="F452">
        <v>0</v>
      </c>
      <c r="G452" t="s">
        <v>623</v>
      </c>
      <c r="H452" t="s">
        <v>378</v>
      </c>
      <c r="I452" t="s">
        <v>43</v>
      </c>
      <c r="J452" t="s">
        <v>43</v>
      </c>
      <c r="K452" t="s">
        <v>43</v>
      </c>
      <c r="L452" t="s">
        <v>43</v>
      </c>
      <c r="M452" t="s">
        <v>43</v>
      </c>
      <c r="N452" t="s">
        <v>43</v>
      </c>
      <c r="O452" t="s">
        <v>43</v>
      </c>
      <c r="P452" t="s">
        <v>43</v>
      </c>
      <c r="Q452" t="s">
        <v>82</v>
      </c>
      <c r="R452" t="s">
        <v>82</v>
      </c>
      <c r="S452" t="s">
        <v>43</v>
      </c>
      <c r="T452" t="s">
        <v>82</v>
      </c>
      <c r="U452" t="s">
        <v>231</v>
      </c>
      <c r="V452" t="s">
        <v>83</v>
      </c>
      <c r="W452" t="s">
        <v>42</v>
      </c>
      <c r="X452" t="s">
        <v>43</v>
      </c>
      <c r="Y452" t="s">
        <v>43</v>
      </c>
      <c r="Z452" t="s">
        <v>43</v>
      </c>
      <c r="AA452" t="s">
        <v>43</v>
      </c>
      <c r="AB452" t="s">
        <v>43</v>
      </c>
      <c r="AC452" t="s">
        <v>151</v>
      </c>
      <c r="AD452" t="s">
        <v>43</v>
      </c>
      <c r="AE452" t="s">
        <v>151</v>
      </c>
      <c r="AF452" t="s">
        <v>151</v>
      </c>
      <c r="AG452" t="s">
        <v>151</v>
      </c>
      <c r="AH452" t="s">
        <v>1413</v>
      </c>
    </row>
    <row r="453" spans="1:34" x14ac:dyDescent="0.25">
      <c r="A453" t="s">
        <v>1468</v>
      </c>
      <c r="B453" t="s">
        <v>57</v>
      </c>
      <c r="C453" t="s">
        <v>644</v>
      </c>
      <c r="D453" t="s">
        <v>201</v>
      </c>
      <c r="E453">
        <v>3</v>
      </c>
      <c r="F453">
        <v>0</v>
      </c>
      <c r="G453" t="s">
        <v>201</v>
      </c>
      <c r="H453" t="s">
        <v>163</v>
      </c>
      <c r="I453" t="s">
        <v>43</v>
      </c>
      <c r="J453" t="s">
        <v>43</v>
      </c>
      <c r="K453" t="s">
        <v>43</v>
      </c>
      <c r="L453" t="s">
        <v>43</v>
      </c>
      <c r="M453" t="s">
        <v>43</v>
      </c>
      <c r="N453" t="s">
        <v>43</v>
      </c>
      <c r="O453" t="s">
        <v>43</v>
      </c>
      <c r="P453" t="s">
        <v>43</v>
      </c>
      <c r="Q453" t="s">
        <v>43</v>
      </c>
      <c r="R453" t="s">
        <v>43</v>
      </c>
      <c r="S453" t="s">
        <v>241</v>
      </c>
      <c r="T453" t="s">
        <v>241</v>
      </c>
      <c r="U453" t="s">
        <v>63</v>
      </c>
      <c r="V453" t="s">
        <v>63</v>
      </c>
      <c r="W453" t="s">
        <v>81</v>
      </c>
      <c r="X453" t="s">
        <v>43</v>
      </c>
      <c r="Y453" t="s">
        <v>43</v>
      </c>
      <c r="Z453" t="s">
        <v>43</v>
      </c>
      <c r="AA453" t="s">
        <v>43</v>
      </c>
      <c r="AB453" t="s">
        <v>43</v>
      </c>
      <c r="AC453" t="s">
        <v>43</v>
      </c>
      <c r="AD453" t="s">
        <v>350</v>
      </c>
      <c r="AE453" t="s">
        <v>350</v>
      </c>
      <c r="AF453" t="s">
        <v>43</v>
      </c>
      <c r="AG453" t="s">
        <v>350</v>
      </c>
      <c r="AH453" t="s">
        <v>1413</v>
      </c>
    </row>
    <row r="454" spans="1:34" x14ac:dyDescent="0.25">
      <c r="A454" t="s">
        <v>1469</v>
      </c>
      <c r="B454" t="s">
        <v>57</v>
      </c>
      <c r="C454" t="s">
        <v>172</v>
      </c>
      <c r="D454" t="s">
        <v>141</v>
      </c>
      <c r="E454">
        <v>3</v>
      </c>
      <c r="F454">
        <v>0</v>
      </c>
      <c r="G454" t="s">
        <v>90</v>
      </c>
      <c r="H454" t="s">
        <v>82</v>
      </c>
      <c r="I454" t="s">
        <v>43</v>
      </c>
      <c r="J454" t="s">
        <v>43</v>
      </c>
      <c r="K454" t="s">
        <v>43</v>
      </c>
      <c r="L454" t="s">
        <v>43</v>
      </c>
      <c r="M454" t="s">
        <v>43</v>
      </c>
      <c r="N454" t="s">
        <v>43</v>
      </c>
      <c r="O454" t="s">
        <v>43</v>
      </c>
      <c r="P454" t="s">
        <v>43</v>
      </c>
      <c r="Q454" t="s">
        <v>43</v>
      </c>
      <c r="R454" t="s">
        <v>43</v>
      </c>
      <c r="S454" t="s">
        <v>43</v>
      </c>
      <c r="T454" t="s">
        <v>43</v>
      </c>
      <c r="U454" t="s">
        <v>63</v>
      </c>
      <c r="V454" t="s">
        <v>44</v>
      </c>
      <c r="W454" t="s">
        <v>44</v>
      </c>
      <c r="X454" t="s">
        <v>43</v>
      </c>
      <c r="Y454" t="s">
        <v>43</v>
      </c>
      <c r="Z454" t="s">
        <v>43</v>
      </c>
      <c r="AA454" t="s">
        <v>43</v>
      </c>
      <c r="AB454" t="s">
        <v>43</v>
      </c>
      <c r="AC454" t="s">
        <v>43</v>
      </c>
      <c r="AD454" t="s">
        <v>53</v>
      </c>
      <c r="AE454" t="s">
        <v>53</v>
      </c>
      <c r="AF454" t="s">
        <v>43</v>
      </c>
      <c r="AG454" t="s">
        <v>53</v>
      </c>
      <c r="AH454" t="s">
        <v>1413</v>
      </c>
    </row>
    <row r="455" spans="1:34" x14ac:dyDescent="0.25">
      <c r="A455" t="s">
        <v>1470</v>
      </c>
      <c r="B455" t="s">
        <v>57</v>
      </c>
      <c r="C455" t="s">
        <v>86</v>
      </c>
      <c r="D455" t="s">
        <v>59</v>
      </c>
      <c r="E455">
        <v>37</v>
      </c>
      <c r="F455">
        <v>35</v>
      </c>
      <c r="G455" t="s">
        <v>1471</v>
      </c>
      <c r="H455" t="s">
        <v>1472</v>
      </c>
      <c r="I455" t="s">
        <v>81</v>
      </c>
      <c r="J455" t="s">
        <v>231</v>
      </c>
      <c r="K455" t="s">
        <v>127</v>
      </c>
      <c r="L455" t="s">
        <v>83</v>
      </c>
      <c r="M455" t="s">
        <v>44</v>
      </c>
      <c r="N455" t="s">
        <v>44</v>
      </c>
      <c r="O455" t="s">
        <v>41</v>
      </c>
      <c r="P455" t="s">
        <v>43</v>
      </c>
      <c r="Q455" t="s">
        <v>924</v>
      </c>
      <c r="R455" t="s">
        <v>487</v>
      </c>
      <c r="S455" t="s">
        <v>65</v>
      </c>
      <c r="T455" t="s">
        <v>716</v>
      </c>
      <c r="U455" t="s">
        <v>1017</v>
      </c>
      <c r="V455" t="s">
        <v>1473</v>
      </c>
      <c r="W455" t="s">
        <v>1131</v>
      </c>
      <c r="X455" t="s">
        <v>218</v>
      </c>
      <c r="Y455" t="s">
        <v>236</v>
      </c>
      <c r="Z455" t="s">
        <v>500</v>
      </c>
      <c r="AA455" t="s">
        <v>204</v>
      </c>
      <c r="AB455" t="s">
        <v>112</v>
      </c>
      <c r="AC455" t="s">
        <v>241</v>
      </c>
      <c r="AD455" t="s">
        <v>54</v>
      </c>
      <c r="AE455" t="s">
        <v>102</v>
      </c>
      <c r="AF455" t="s">
        <v>215</v>
      </c>
      <c r="AG455" t="s">
        <v>318</v>
      </c>
      <c r="AH455" t="s">
        <v>1474</v>
      </c>
    </row>
    <row r="456" spans="1:34" x14ac:dyDescent="0.25">
      <c r="A456" t="s">
        <v>1475</v>
      </c>
      <c r="B456" t="s">
        <v>76</v>
      </c>
      <c r="C456" t="s">
        <v>108</v>
      </c>
      <c r="D456" t="s">
        <v>185</v>
      </c>
      <c r="E456">
        <v>32</v>
      </c>
      <c r="F456">
        <v>32</v>
      </c>
      <c r="G456" t="s">
        <v>1476</v>
      </c>
      <c r="H456" t="s">
        <v>304</v>
      </c>
      <c r="I456" t="s">
        <v>43</v>
      </c>
      <c r="J456" t="s">
        <v>63</v>
      </c>
      <c r="K456" t="s">
        <v>63</v>
      </c>
      <c r="L456" t="s">
        <v>43</v>
      </c>
      <c r="M456" t="s">
        <v>43</v>
      </c>
      <c r="N456" t="s">
        <v>43</v>
      </c>
      <c r="O456" t="s">
        <v>81</v>
      </c>
      <c r="P456" t="s">
        <v>43</v>
      </c>
      <c r="Q456" t="s">
        <v>255</v>
      </c>
      <c r="R456" t="s">
        <v>255</v>
      </c>
      <c r="S456" t="s">
        <v>200</v>
      </c>
      <c r="T456" t="s">
        <v>114</v>
      </c>
      <c r="U456" t="s">
        <v>272</v>
      </c>
      <c r="V456" t="s">
        <v>427</v>
      </c>
      <c r="W456" t="s">
        <v>142</v>
      </c>
      <c r="X456" t="s">
        <v>43</v>
      </c>
      <c r="Y456" t="s">
        <v>169</v>
      </c>
      <c r="Z456" t="s">
        <v>169</v>
      </c>
      <c r="AA456" t="s">
        <v>43</v>
      </c>
      <c r="AB456" t="s">
        <v>169</v>
      </c>
      <c r="AC456" t="s">
        <v>169</v>
      </c>
      <c r="AD456" t="s">
        <v>193</v>
      </c>
      <c r="AE456" t="s">
        <v>82</v>
      </c>
      <c r="AF456" t="s">
        <v>169</v>
      </c>
      <c r="AG456" t="s">
        <v>82</v>
      </c>
      <c r="AH456" t="s">
        <v>1474</v>
      </c>
    </row>
    <row r="457" spans="1:34" x14ac:dyDescent="0.25">
      <c r="A457" t="s">
        <v>1477</v>
      </c>
      <c r="B457" t="s">
        <v>675</v>
      </c>
      <c r="C457" t="s">
        <v>58</v>
      </c>
      <c r="D457" t="s">
        <v>185</v>
      </c>
      <c r="E457">
        <v>36</v>
      </c>
      <c r="F457">
        <v>25</v>
      </c>
      <c r="G457" t="s">
        <v>1478</v>
      </c>
      <c r="H457" t="s">
        <v>37</v>
      </c>
      <c r="I457" t="s">
        <v>81</v>
      </c>
      <c r="J457" t="s">
        <v>41</v>
      </c>
      <c r="K457" t="s">
        <v>232</v>
      </c>
      <c r="L457" t="s">
        <v>81</v>
      </c>
      <c r="M457" t="s">
        <v>43</v>
      </c>
      <c r="N457" t="s">
        <v>43</v>
      </c>
      <c r="O457" t="s">
        <v>44</v>
      </c>
      <c r="P457" t="s">
        <v>43</v>
      </c>
      <c r="Q457" t="s">
        <v>672</v>
      </c>
      <c r="R457" t="s">
        <v>672</v>
      </c>
      <c r="S457" t="s">
        <v>1000</v>
      </c>
      <c r="T457" t="s">
        <v>1479</v>
      </c>
      <c r="U457" t="s">
        <v>310</v>
      </c>
      <c r="V457" t="s">
        <v>816</v>
      </c>
      <c r="W457" t="s">
        <v>1480</v>
      </c>
      <c r="X457" t="s">
        <v>151</v>
      </c>
      <c r="Y457" t="s">
        <v>72</v>
      </c>
      <c r="Z457" t="s">
        <v>52</v>
      </c>
      <c r="AA457" t="s">
        <v>151</v>
      </c>
      <c r="AB457" t="s">
        <v>52</v>
      </c>
      <c r="AC457" t="s">
        <v>54</v>
      </c>
      <c r="AD457" t="s">
        <v>50</v>
      </c>
      <c r="AE457" t="s">
        <v>374</v>
      </c>
      <c r="AF457" t="s">
        <v>54</v>
      </c>
      <c r="AG457" t="s">
        <v>374</v>
      </c>
      <c r="AH457" t="s">
        <v>1474</v>
      </c>
    </row>
    <row r="458" spans="1:34" x14ac:dyDescent="0.25">
      <c r="A458" t="s">
        <v>1481</v>
      </c>
      <c r="B458" t="s">
        <v>57</v>
      </c>
      <c r="C458" t="s">
        <v>36</v>
      </c>
      <c r="D458" t="s">
        <v>268</v>
      </c>
      <c r="E458">
        <v>35</v>
      </c>
      <c r="F458">
        <v>21</v>
      </c>
      <c r="G458" t="s">
        <v>1482</v>
      </c>
      <c r="H458" t="s">
        <v>587</v>
      </c>
      <c r="I458" t="s">
        <v>44</v>
      </c>
      <c r="J458" t="s">
        <v>44</v>
      </c>
      <c r="K458" t="s">
        <v>63</v>
      </c>
      <c r="L458" t="s">
        <v>44</v>
      </c>
      <c r="M458" t="s">
        <v>43</v>
      </c>
      <c r="N458" t="s">
        <v>43</v>
      </c>
      <c r="O458" t="s">
        <v>126</v>
      </c>
      <c r="P458" t="s">
        <v>43</v>
      </c>
      <c r="Q458" t="s">
        <v>113</v>
      </c>
      <c r="R458" t="s">
        <v>113</v>
      </c>
      <c r="S458" t="s">
        <v>259</v>
      </c>
      <c r="T458" t="s">
        <v>406</v>
      </c>
      <c r="U458" t="s">
        <v>203</v>
      </c>
      <c r="V458" t="s">
        <v>425</v>
      </c>
      <c r="W458" t="s">
        <v>225</v>
      </c>
      <c r="X458" t="s">
        <v>168</v>
      </c>
      <c r="Y458" t="s">
        <v>168</v>
      </c>
      <c r="Z458" t="s">
        <v>120</v>
      </c>
      <c r="AA458" t="s">
        <v>168</v>
      </c>
      <c r="AB458" t="s">
        <v>120</v>
      </c>
      <c r="AC458" t="s">
        <v>53</v>
      </c>
      <c r="AD458" t="s">
        <v>193</v>
      </c>
      <c r="AE458" t="s">
        <v>205</v>
      </c>
      <c r="AF458" t="s">
        <v>53</v>
      </c>
      <c r="AG458" t="s">
        <v>205</v>
      </c>
      <c r="AH458" t="s">
        <v>1474</v>
      </c>
    </row>
    <row r="459" spans="1:34" x14ac:dyDescent="0.25">
      <c r="A459" t="s">
        <v>1483</v>
      </c>
      <c r="B459" t="s">
        <v>57</v>
      </c>
      <c r="C459" t="s">
        <v>58</v>
      </c>
      <c r="D459" t="s">
        <v>272</v>
      </c>
      <c r="E459">
        <v>29</v>
      </c>
      <c r="F459">
        <v>20</v>
      </c>
      <c r="G459" t="s">
        <v>1484</v>
      </c>
      <c r="H459" t="s">
        <v>1021</v>
      </c>
      <c r="I459" t="s">
        <v>40</v>
      </c>
      <c r="J459" t="s">
        <v>44</v>
      </c>
      <c r="K459" t="s">
        <v>41</v>
      </c>
      <c r="L459" t="s">
        <v>40</v>
      </c>
      <c r="M459" t="s">
        <v>43</v>
      </c>
      <c r="N459" t="s">
        <v>43</v>
      </c>
      <c r="O459" t="s">
        <v>43</v>
      </c>
      <c r="P459" t="s">
        <v>43</v>
      </c>
      <c r="Q459" t="s">
        <v>405</v>
      </c>
      <c r="R459" t="s">
        <v>405</v>
      </c>
      <c r="S459" t="s">
        <v>282</v>
      </c>
      <c r="T459" t="s">
        <v>993</v>
      </c>
      <c r="U459" t="s">
        <v>234</v>
      </c>
      <c r="V459" t="s">
        <v>260</v>
      </c>
      <c r="W459" t="s">
        <v>1310</v>
      </c>
      <c r="X459" t="s">
        <v>105</v>
      </c>
      <c r="Y459" t="s">
        <v>168</v>
      </c>
      <c r="Z459" t="s">
        <v>102</v>
      </c>
      <c r="AA459" t="s">
        <v>105</v>
      </c>
      <c r="AB459" t="s">
        <v>102</v>
      </c>
      <c r="AC459" t="s">
        <v>118</v>
      </c>
      <c r="AD459" t="s">
        <v>218</v>
      </c>
      <c r="AE459" t="s">
        <v>98</v>
      </c>
      <c r="AF459" t="s">
        <v>118</v>
      </c>
      <c r="AG459" t="s">
        <v>98</v>
      </c>
      <c r="AH459" t="s">
        <v>1474</v>
      </c>
    </row>
    <row r="460" spans="1:34" x14ac:dyDescent="0.25">
      <c r="A460" t="s">
        <v>1485</v>
      </c>
      <c r="B460" t="s">
        <v>1486</v>
      </c>
      <c r="C460" t="s">
        <v>137</v>
      </c>
      <c r="D460" t="s">
        <v>304</v>
      </c>
      <c r="E460">
        <v>31</v>
      </c>
      <c r="F460">
        <v>20</v>
      </c>
      <c r="G460" t="s">
        <v>1487</v>
      </c>
      <c r="H460" t="s">
        <v>1488</v>
      </c>
      <c r="I460" t="s">
        <v>232</v>
      </c>
      <c r="J460" t="s">
        <v>44</v>
      </c>
      <c r="K460" t="s">
        <v>127</v>
      </c>
      <c r="L460" t="s">
        <v>232</v>
      </c>
      <c r="M460" t="s">
        <v>43</v>
      </c>
      <c r="N460" t="s">
        <v>43</v>
      </c>
      <c r="O460" t="s">
        <v>43</v>
      </c>
      <c r="P460" t="s">
        <v>43</v>
      </c>
      <c r="Q460" t="s">
        <v>289</v>
      </c>
      <c r="R460" t="s">
        <v>289</v>
      </c>
      <c r="S460" t="s">
        <v>246</v>
      </c>
      <c r="T460" t="s">
        <v>232</v>
      </c>
      <c r="U460" t="s">
        <v>167</v>
      </c>
      <c r="V460" t="s">
        <v>263</v>
      </c>
      <c r="W460" t="s">
        <v>47</v>
      </c>
      <c r="X460" t="s">
        <v>378</v>
      </c>
      <c r="Y460" t="s">
        <v>168</v>
      </c>
      <c r="Z460" t="s">
        <v>317</v>
      </c>
      <c r="AA460" t="s">
        <v>378</v>
      </c>
      <c r="AB460" t="s">
        <v>317</v>
      </c>
      <c r="AC460" t="s">
        <v>74</v>
      </c>
      <c r="AD460" t="s">
        <v>82</v>
      </c>
      <c r="AE460" t="s">
        <v>378</v>
      </c>
      <c r="AF460" t="s">
        <v>74</v>
      </c>
      <c r="AG460" t="s">
        <v>378</v>
      </c>
      <c r="AH460" t="s">
        <v>1474</v>
      </c>
    </row>
    <row r="461" spans="1:34" x14ac:dyDescent="0.25">
      <c r="A461" t="s">
        <v>1489</v>
      </c>
      <c r="B461" t="s">
        <v>76</v>
      </c>
      <c r="C461" t="s">
        <v>36</v>
      </c>
      <c r="D461" t="s">
        <v>272</v>
      </c>
      <c r="E461">
        <v>29</v>
      </c>
      <c r="F461">
        <v>20</v>
      </c>
      <c r="G461" t="s">
        <v>1490</v>
      </c>
      <c r="H461" t="s">
        <v>1491</v>
      </c>
      <c r="I461" t="s">
        <v>63</v>
      </c>
      <c r="J461" t="s">
        <v>63</v>
      </c>
      <c r="K461" t="s">
        <v>83</v>
      </c>
      <c r="L461" t="s">
        <v>63</v>
      </c>
      <c r="M461" t="s">
        <v>43</v>
      </c>
      <c r="N461" t="s">
        <v>43</v>
      </c>
      <c r="O461" t="s">
        <v>83</v>
      </c>
      <c r="P461" t="s">
        <v>43</v>
      </c>
      <c r="Q461" t="s">
        <v>255</v>
      </c>
      <c r="R461" t="s">
        <v>255</v>
      </c>
      <c r="S461" t="s">
        <v>416</v>
      </c>
      <c r="T461" t="s">
        <v>267</v>
      </c>
      <c r="U461" t="s">
        <v>272</v>
      </c>
      <c r="V461" t="s">
        <v>373</v>
      </c>
      <c r="W461" t="s">
        <v>123</v>
      </c>
      <c r="X461" t="s">
        <v>82</v>
      </c>
      <c r="Y461" t="s">
        <v>82</v>
      </c>
      <c r="Z461" t="s">
        <v>241</v>
      </c>
      <c r="AA461" t="s">
        <v>82</v>
      </c>
      <c r="AB461" t="s">
        <v>241</v>
      </c>
      <c r="AC461" t="s">
        <v>120</v>
      </c>
      <c r="AD461" t="s">
        <v>242</v>
      </c>
      <c r="AE461" t="s">
        <v>215</v>
      </c>
      <c r="AF461" t="s">
        <v>120</v>
      </c>
      <c r="AG461" t="s">
        <v>215</v>
      </c>
      <c r="AH461" t="s">
        <v>1474</v>
      </c>
    </row>
    <row r="462" spans="1:34" x14ac:dyDescent="0.25">
      <c r="A462" t="s">
        <v>1492</v>
      </c>
      <c r="B462" t="s">
        <v>1120</v>
      </c>
      <c r="C462" t="s">
        <v>108</v>
      </c>
      <c r="D462" t="s">
        <v>148</v>
      </c>
      <c r="E462">
        <v>22</v>
      </c>
      <c r="F462">
        <v>20</v>
      </c>
      <c r="G462" t="s">
        <v>1493</v>
      </c>
      <c r="H462" t="s">
        <v>362</v>
      </c>
      <c r="I462" t="s">
        <v>44</v>
      </c>
      <c r="J462" t="s">
        <v>44</v>
      </c>
      <c r="K462" t="s">
        <v>63</v>
      </c>
      <c r="L462" t="s">
        <v>44</v>
      </c>
      <c r="M462" t="s">
        <v>43</v>
      </c>
      <c r="N462" t="s">
        <v>43</v>
      </c>
      <c r="O462" t="s">
        <v>114</v>
      </c>
      <c r="P462" t="s">
        <v>43</v>
      </c>
      <c r="Q462" t="s">
        <v>163</v>
      </c>
      <c r="R462" t="s">
        <v>163</v>
      </c>
      <c r="S462" t="s">
        <v>398</v>
      </c>
      <c r="T462" t="s">
        <v>200</v>
      </c>
      <c r="U462" t="s">
        <v>273</v>
      </c>
      <c r="V462" t="s">
        <v>681</v>
      </c>
      <c r="W462" t="s">
        <v>227</v>
      </c>
      <c r="X462" t="s">
        <v>168</v>
      </c>
      <c r="Y462" t="s">
        <v>168</v>
      </c>
      <c r="Z462" t="s">
        <v>204</v>
      </c>
      <c r="AA462" t="s">
        <v>168</v>
      </c>
      <c r="AB462" t="s">
        <v>204</v>
      </c>
      <c r="AC462" t="s">
        <v>119</v>
      </c>
      <c r="AD462" t="s">
        <v>168</v>
      </c>
      <c r="AE462" t="s">
        <v>169</v>
      </c>
      <c r="AF462" t="s">
        <v>119</v>
      </c>
      <c r="AG462" t="s">
        <v>169</v>
      </c>
      <c r="AH462" t="s">
        <v>1474</v>
      </c>
    </row>
    <row r="463" spans="1:34" x14ac:dyDescent="0.25">
      <c r="A463" t="s">
        <v>1494</v>
      </c>
      <c r="B463" t="s">
        <v>207</v>
      </c>
      <c r="C463" t="s">
        <v>36</v>
      </c>
      <c r="D463" t="s">
        <v>268</v>
      </c>
      <c r="E463">
        <v>20</v>
      </c>
      <c r="F463">
        <v>19</v>
      </c>
      <c r="G463" t="s">
        <v>1495</v>
      </c>
      <c r="H463" t="s">
        <v>663</v>
      </c>
      <c r="I463" t="s">
        <v>44</v>
      </c>
      <c r="J463" t="s">
        <v>43</v>
      </c>
      <c r="K463" t="s">
        <v>44</v>
      </c>
      <c r="L463" t="s">
        <v>44</v>
      </c>
      <c r="M463" t="s">
        <v>43</v>
      </c>
      <c r="N463" t="s">
        <v>43</v>
      </c>
      <c r="O463" t="s">
        <v>126</v>
      </c>
      <c r="P463" t="s">
        <v>43</v>
      </c>
      <c r="Q463" t="s">
        <v>259</v>
      </c>
      <c r="R463" t="s">
        <v>259</v>
      </c>
      <c r="S463" t="s">
        <v>241</v>
      </c>
      <c r="T463" t="s">
        <v>254</v>
      </c>
      <c r="U463" t="s">
        <v>90</v>
      </c>
      <c r="V463" t="s">
        <v>330</v>
      </c>
      <c r="W463" t="s">
        <v>232</v>
      </c>
      <c r="X463" t="s">
        <v>169</v>
      </c>
      <c r="Y463" t="s">
        <v>43</v>
      </c>
      <c r="Z463" t="s">
        <v>169</v>
      </c>
      <c r="AA463" t="s">
        <v>169</v>
      </c>
      <c r="AB463" t="s">
        <v>169</v>
      </c>
      <c r="AC463" t="s">
        <v>168</v>
      </c>
      <c r="AD463" t="s">
        <v>119</v>
      </c>
      <c r="AE463" t="s">
        <v>169</v>
      </c>
      <c r="AF463" t="s">
        <v>168</v>
      </c>
      <c r="AG463" t="s">
        <v>169</v>
      </c>
      <c r="AH463" t="s">
        <v>1474</v>
      </c>
    </row>
    <row r="464" spans="1:34" x14ac:dyDescent="0.25">
      <c r="A464" t="s">
        <v>1496</v>
      </c>
      <c r="B464" t="s">
        <v>85</v>
      </c>
      <c r="C464" t="s">
        <v>86</v>
      </c>
      <c r="D464" t="s">
        <v>268</v>
      </c>
      <c r="E464">
        <v>26</v>
      </c>
      <c r="F464">
        <v>19</v>
      </c>
      <c r="G464" t="s">
        <v>1497</v>
      </c>
      <c r="H464" t="s">
        <v>791</v>
      </c>
      <c r="I464" t="s">
        <v>63</v>
      </c>
      <c r="J464" t="s">
        <v>63</v>
      </c>
      <c r="K464" t="s">
        <v>83</v>
      </c>
      <c r="L464" t="s">
        <v>63</v>
      </c>
      <c r="M464" t="s">
        <v>43</v>
      </c>
      <c r="N464" t="s">
        <v>43</v>
      </c>
      <c r="O464" t="s">
        <v>83</v>
      </c>
      <c r="P464" t="s">
        <v>43</v>
      </c>
      <c r="Q464" t="s">
        <v>222</v>
      </c>
      <c r="R464" t="s">
        <v>222</v>
      </c>
      <c r="S464" t="s">
        <v>44</v>
      </c>
      <c r="T464" t="s">
        <v>327</v>
      </c>
      <c r="U464" t="s">
        <v>232</v>
      </c>
      <c r="V464" t="s">
        <v>448</v>
      </c>
      <c r="W464" t="s">
        <v>372</v>
      </c>
      <c r="X464" t="s">
        <v>53</v>
      </c>
      <c r="Y464" t="s">
        <v>53</v>
      </c>
      <c r="Z464" t="s">
        <v>54</v>
      </c>
      <c r="AA464" t="s">
        <v>53</v>
      </c>
      <c r="AB464" t="s">
        <v>54</v>
      </c>
      <c r="AC464" t="s">
        <v>242</v>
      </c>
      <c r="AD464" t="s">
        <v>169</v>
      </c>
      <c r="AE464" t="s">
        <v>218</v>
      </c>
      <c r="AF464" t="s">
        <v>242</v>
      </c>
      <c r="AG464" t="s">
        <v>218</v>
      </c>
      <c r="AH464" t="s">
        <v>1474</v>
      </c>
    </row>
    <row r="465" spans="1:34" x14ac:dyDescent="0.25">
      <c r="A465" t="s">
        <v>1498</v>
      </c>
      <c r="B465" t="s">
        <v>432</v>
      </c>
      <c r="C465" t="s">
        <v>108</v>
      </c>
      <c r="D465" t="s">
        <v>272</v>
      </c>
      <c r="E465">
        <v>26</v>
      </c>
      <c r="F465">
        <v>18</v>
      </c>
      <c r="G465" t="s">
        <v>1240</v>
      </c>
      <c r="H465" t="s">
        <v>561</v>
      </c>
      <c r="I465" t="s">
        <v>43</v>
      </c>
      <c r="J465" t="s">
        <v>44</v>
      </c>
      <c r="K465" t="s">
        <v>44</v>
      </c>
      <c r="L465" t="s">
        <v>43</v>
      </c>
      <c r="M465" t="s">
        <v>43</v>
      </c>
      <c r="N465" t="s">
        <v>43</v>
      </c>
      <c r="O465" t="s">
        <v>83</v>
      </c>
      <c r="P465" t="s">
        <v>43</v>
      </c>
      <c r="Q465" t="s">
        <v>259</v>
      </c>
      <c r="R465" t="s">
        <v>259</v>
      </c>
      <c r="S465" t="s">
        <v>223</v>
      </c>
      <c r="T465" t="s">
        <v>199</v>
      </c>
      <c r="U465" t="s">
        <v>300</v>
      </c>
      <c r="V465" t="s">
        <v>233</v>
      </c>
      <c r="W465" t="s">
        <v>601</v>
      </c>
      <c r="X465" t="s">
        <v>43</v>
      </c>
      <c r="Y465" t="s">
        <v>168</v>
      </c>
      <c r="Z465" t="s">
        <v>168</v>
      </c>
      <c r="AA465" t="s">
        <v>43</v>
      </c>
      <c r="AB465" t="s">
        <v>168</v>
      </c>
      <c r="AC465" t="s">
        <v>193</v>
      </c>
      <c r="AD465" t="s">
        <v>120</v>
      </c>
      <c r="AE465" t="s">
        <v>118</v>
      </c>
      <c r="AF465" t="s">
        <v>193</v>
      </c>
      <c r="AG465" t="s">
        <v>118</v>
      </c>
      <c r="AH465" t="s">
        <v>1474</v>
      </c>
    </row>
    <row r="466" spans="1:34" x14ac:dyDescent="0.25">
      <c r="A466" t="s">
        <v>1499</v>
      </c>
      <c r="B466" t="s">
        <v>891</v>
      </c>
      <c r="C466" t="s">
        <v>108</v>
      </c>
      <c r="D466" t="s">
        <v>140</v>
      </c>
      <c r="E466">
        <v>20</v>
      </c>
      <c r="F466">
        <v>18</v>
      </c>
      <c r="G466" t="s">
        <v>1500</v>
      </c>
      <c r="H466" t="s">
        <v>167</v>
      </c>
      <c r="I466" t="s">
        <v>63</v>
      </c>
      <c r="J466" t="s">
        <v>44</v>
      </c>
      <c r="K466" t="s">
        <v>114</v>
      </c>
      <c r="L466" t="s">
        <v>63</v>
      </c>
      <c r="M466" t="s">
        <v>43</v>
      </c>
      <c r="N466" t="s">
        <v>43</v>
      </c>
      <c r="O466" t="s">
        <v>114</v>
      </c>
      <c r="P466" t="s">
        <v>44</v>
      </c>
      <c r="Q466" t="s">
        <v>416</v>
      </c>
      <c r="R466" t="s">
        <v>416</v>
      </c>
      <c r="S466" t="s">
        <v>222</v>
      </c>
      <c r="T466" t="s">
        <v>282</v>
      </c>
      <c r="U466" t="s">
        <v>83</v>
      </c>
      <c r="V466" t="s">
        <v>140</v>
      </c>
      <c r="W466" t="s">
        <v>114</v>
      </c>
      <c r="X466" t="s">
        <v>118</v>
      </c>
      <c r="Y466" t="s">
        <v>169</v>
      </c>
      <c r="Z466" t="s">
        <v>194</v>
      </c>
      <c r="AA466" t="s">
        <v>118</v>
      </c>
      <c r="AB466" t="s">
        <v>194</v>
      </c>
      <c r="AC466" t="s">
        <v>120</v>
      </c>
      <c r="AD466" t="s">
        <v>242</v>
      </c>
      <c r="AE466" t="s">
        <v>151</v>
      </c>
      <c r="AF466" t="s">
        <v>120</v>
      </c>
      <c r="AG466" t="s">
        <v>151</v>
      </c>
      <c r="AH466" t="s">
        <v>1474</v>
      </c>
    </row>
    <row r="467" spans="1:34" x14ac:dyDescent="0.25">
      <c r="A467" t="s">
        <v>1501</v>
      </c>
      <c r="B467" t="s">
        <v>1073</v>
      </c>
      <c r="C467" t="s">
        <v>77</v>
      </c>
      <c r="D467" t="s">
        <v>78</v>
      </c>
      <c r="E467">
        <v>17</v>
      </c>
      <c r="F467">
        <v>17</v>
      </c>
      <c r="G467" t="s">
        <v>1246</v>
      </c>
      <c r="H467" t="s">
        <v>42</v>
      </c>
      <c r="I467" t="s">
        <v>43</v>
      </c>
      <c r="J467" t="s">
        <v>43</v>
      </c>
      <c r="K467" t="s">
        <v>43</v>
      </c>
      <c r="L467" t="s">
        <v>43</v>
      </c>
      <c r="M467" t="s">
        <v>43</v>
      </c>
      <c r="N467" t="s">
        <v>43</v>
      </c>
      <c r="O467" t="s">
        <v>63</v>
      </c>
      <c r="P467" t="s">
        <v>43</v>
      </c>
      <c r="Q467" t="s">
        <v>43</v>
      </c>
      <c r="R467" t="s">
        <v>43</v>
      </c>
      <c r="S467" t="s">
        <v>43</v>
      </c>
      <c r="T467" t="s">
        <v>43</v>
      </c>
      <c r="U467" t="s">
        <v>43</v>
      </c>
      <c r="V467" t="s">
        <v>43</v>
      </c>
      <c r="W467" t="s">
        <v>43</v>
      </c>
      <c r="X467" t="s">
        <v>43</v>
      </c>
      <c r="Y467" t="s">
        <v>43</v>
      </c>
      <c r="Z467" t="s">
        <v>43</v>
      </c>
      <c r="AA467" t="s">
        <v>43</v>
      </c>
      <c r="AB467" t="s">
        <v>43</v>
      </c>
      <c r="AC467" t="s">
        <v>43</v>
      </c>
      <c r="AD467" t="s">
        <v>43</v>
      </c>
      <c r="AE467" t="s">
        <v>43</v>
      </c>
      <c r="AF467" t="s">
        <v>43</v>
      </c>
      <c r="AG467" t="s">
        <v>43</v>
      </c>
      <c r="AH467" t="s">
        <v>1474</v>
      </c>
    </row>
    <row r="468" spans="1:34" x14ac:dyDescent="0.25">
      <c r="A468" t="s">
        <v>1502</v>
      </c>
      <c r="B468" t="s">
        <v>207</v>
      </c>
      <c r="C468" t="s">
        <v>77</v>
      </c>
      <c r="D468" t="s">
        <v>304</v>
      </c>
      <c r="E468">
        <v>16</v>
      </c>
      <c r="F468">
        <v>16</v>
      </c>
      <c r="G468" t="s">
        <v>1503</v>
      </c>
      <c r="H468" t="s">
        <v>167</v>
      </c>
      <c r="I468" t="s">
        <v>43</v>
      </c>
      <c r="J468" t="s">
        <v>43</v>
      </c>
      <c r="K468" t="s">
        <v>43</v>
      </c>
      <c r="L468" t="s">
        <v>43</v>
      </c>
      <c r="M468" t="s">
        <v>43</v>
      </c>
      <c r="N468" t="s">
        <v>43</v>
      </c>
      <c r="O468" t="s">
        <v>44</v>
      </c>
      <c r="P468" t="s">
        <v>43</v>
      </c>
      <c r="Q468" t="s">
        <v>43</v>
      </c>
      <c r="R468" t="s">
        <v>43</v>
      </c>
      <c r="S468" t="s">
        <v>82</v>
      </c>
      <c r="T468" t="s">
        <v>82</v>
      </c>
      <c r="U468" t="s">
        <v>43</v>
      </c>
      <c r="V468" t="s">
        <v>43</v>
      </c>
      <c r="W468" t="s">
        <v>43</v>
      </c>
      <c r="X468" t="s">
        <v>43</v>
      </c>
      <c r="Y468" t="s">
        <v>43</v>
      </c>
      <c r="Z468" t="s">
        <v>43</v>
      </c>
      <c r="AA468" t="s">
        <v>43</v>
      </c>
      <c r="AB468" t="s">
        <v>43</v>
      </c>
      <c r="AC468" t="s">
        <v>43</v>
      </c>
      <c r="AD468" t="s">
        <v>43</v>
      </c>
      <c r="AE468" t="s">
        <v>43</v>
      </c>
      <c r="AF468" t="s">
        <v>43</v>
      </c>
      <c r="AG468" t="s">
        <v>43</v>
      </c>
      <c r="AH468" t="s">
        <v>1474</v>
      </c>
    </row>
    <row r="469" spans="1:34" x14ac:dyDescent="0.25">
      <c r="A469" t="s">
        <v>1504</v>
      </c>
      <c r="B469" t="s">
        <v>555</v>
      </c>
      <c r="C469" t="s">
        <v>108</v>
      </c>
      <c r="D469" t="s">
        <v>37</v>
      </c>
      <c r="E469">
        <v>21</v>
      </c>
      <c r="F469">
        <v>15</v>
      </c>
      <c r="G469" t="s">
        <v>1505</v>
      </c>
      <c r="H469" t="s">
        <v>1506</v>
      </c>
      <c r="I469" t="s">
        <v>44</v>
      </c>
      <c r="J469" t="s">
        <v>43</v>
      </c>
      <c r="K469" t="s">
        <v>44</v>
      </c>
      <c r="L469" t="s">
        <v>44</v>
      </c>
      <c r="M469" t="s">
        <v>43</v>
      </c>
      <c r="N469" t="s">
        <v>43</v>
      </c>
      <c r="O469" t="s">
        <v>81</v>
      </c>
      <c r="P469" t="s">
        <v>44</v>
      </c>
      <c r="Q469" t="s">
        <v>254</v>
      </c>
      <c r="R469" t="s">
        <v>254</v>
      </c>
      <c r="S469" t="s">
        <v>82</v>
      </c>
      <c r="T469" t="s">
        <v>200</v>
      </c>
      <c r="U469" t="s">
        <v>90</v>
      </c>
      <c r="V469" t="s">
        <v>399</v>
      </c>
      <c r="W469" t="s">
        <v>126</v>
      </c>
      <c r="X469" t="s">
        <v>169</v>
      </c>
      <c r="Y469" t="s">
        <v>43</v>
      </c>
      <c r="Z469" t="s">
        <v>169</v>
      </c>
      <c r="AA469" t="s">
        <v>169</v>
      </c>
      <c r="AB469" t="s">
        <v>169</v>
      </c>
      <c r="AC469" t="s">
        <v>181</v>
      </c>
      <c r="AD469" t="s">
        <v>119</v>
      </c>
      <c r="AE469" t="s">
        <v>242</v>
      </c>
      <c r="AF469" t="s">
        <v>181</v>
      </c>
      <c r="AG469" t="s">
        <v>242</v>
      </c>
      <c r="AH469" t="s">
        <v>1474</v>
      </c>
    </row>
    <row r="470" spans="1:34" x14ac:dyDescent="0.25">
      <c r="A470" t="s">
        <v>1507</v>
      </c>
      <c r="B470" t="s">
        <v>57</v>
      </c>
      <c r="C470" t="s">
        <v>108</v>
      </c>
      <c r="D470" t="s">
        <v>37</v>
      </c>
      <c r="E470">
        <v>23</v>
      </c>
      <c r="F470">
        <v>15</v>
      </c>
      <c r="G470" t="s">
        <v>1508</v>
      </c>
      <c r="H470" t="s">
        <v>1506</v>
      </c>
      <c r="I470" t="s">
        <v>44</v>
      </c>
      <c r="J470" t="s">
        <v>114</v>
      </c>
      <c r="K470" t="s">
        <v>83</v>
      </c>
      <c r="L470" t="s">
        <v>44</v>
      </c>
      <c r="M470" t="s">
        <v>43</v>
      </c>
      <c r="N470" t="s">
        <v>43</v>
      </c>
      <c r="O470" t="s">
        <v>114</v>
      </c>
      <c r="P470" t="s">
        <v>43</v>
      </c>
      <c r="Q470" t="s">
        <v>223</v>
      </c>
      <c r="R470" t="s">
        <v>223</v>
      </c>
      <c r="S470" t="s">
        <v>416</v>
      </c>
      <c r="T470" t="s">
        <v>730</v>
      </c>
      <c r="U470" t="s">
        <v>231</v>
      </c>
      <c r="V470" t="s">
        <v>506</v>
      </c>
      <c r="W470" t="s">
        <v>165</v>
      </c>
      <c r="X470" t="s">
        <v>169</v>
      </c>
      <c r="Y470" t="s">
        <v>194</v>
      </c>
      <c r="Z470" t="s">
        <v>50</v>
      </c>
      <c r="AA470" t="s">
        <v>169</v>
      </c>
      <c r="AB470" t="s">
        <v>50</v>
      </c>
      <c r="AC470" t="s">
        <v>82</v>
      </c>
      <c r="AD470" t="s">
        <v>82</v>
      </c>
      <c r="AE470" t="s">
        <v>241</v>
      </c>
      <c r="AF470" t="s">
        <v>82</v>
      </c>
      <c r="AG470" t="s">
        <v>241</v>
      </c>
      <c r="AH470" t="s">
        <v>1474</v>
      </c>
    </row>
    <row r="471" spans="1:34" x14ac:dyDescent="0.25">
      <c r="A471" t="s">
        <v>1509</v>
      </c>
      <c r="B471" t="s">
        <v>891</v>
      </c>
      <c r="C471" t="s">
        <v>36</v>
      </c>
      <c r="D471" t="s">
        <v>268</v>
      </c>
      <c r="E471">
        <v>17</v>
      </c>
      <c r="F471">
        <v>13</v>
      </c>
      <c r="G471" t="s">
        <v>1510</v>
      </c>
      <c r="H471" t="s">
        <v>91</v>
      </c>
      <c r="I471" t="s">
        <v>43</v>
      </c>
      <c r="J471" t="s">
        <v>43</v>
      </c>
      <c r="K471" t="s">
        <v>43</v>
      </c>
      <c r="L471" t="s">
        <v>43</v>
      </c>
      <c r="M471" t="s">
        <v>43</v>
      </c>
      <c r="N471" t="s">
        <v>43</v>
      </c>
      <c r="O471" t="s">
        <v>126</v>
      </c>
      <c r="P471" t="s">
        <v>43</v>
      </c>
      <c r="Q471" t="s">
        <v>70</v>
      </c>
      <c r="R471" t="s">
        <v>70</v>
      </c>
      <c r="S471" t="s">
        <v>112</v>
      </c>
      <c r="T471" t="s">
        <v>44</v>
      </c>
      <c r="U471" t="s">
        <v>81</v>
      </c>
      <c r="V471" t="s">
        <v>298</v>
      </c>
      <c r="W471" t="s">
        <v>142</v>
      </c>
      <c r="X471" t="s">
        <v>43</v>
      </c>
      <c r="Y471" t="s">
        <v>43</v>
      </c>
      <c r="Z471" t="s">
        <v>43</v>
      </c>
      <c r="AA471" t="s">
        <v>43</v>
      </c>
      <c r="AB471" t="s">
        <v>43</v>
      </c>
      <c r="AC471" t="s">
        <v>169</v>
      </c>
      <c r="AD471" t="s">
        <v>358</v>
      </c>
      <c r="AE471" t="s">
        <v>120</v>
      </c>
      <c r="AF471" t="s">
        <v>169</v>
      </c>
      <c r="AG471" t="s">
        <v>120</v>
      </c>
      <c r="AH471" t="s">
        <v>1474</v>
      </c>
    </row>
    <row r="472" spans="1:34" x14ac:dyDescent="0.25">
      <c r="A472" t="s">
        <v>1511</v>
      </c>
      <c r="B472" t="s">
        <v>1120</v>
      </c>
      <c r="C472" t="s">
        <v>137</v>
      </c>
      <c r="D472" t="s">
        <v>268</v>
      </c>
      <c r="E472">
        <v>20</v>
      </c>
      <c r="F472">
        <v>12</v>
      </c>
      <c r="G472" t="s">
        <v>1512</v>
      </c>
      <c r="H472" t="s">
        <v>477</v>
      </c>
      <c r="I472" t="s">
        <v>126</v>
      </c>
      <c r="J472" t="s">
        <v>114</v>
      </c>
      <c r="K472" t="s">
        <v>41</v>
      </c>
      <c r="L472" t="s">
        <v>126</v>
      </c>
      <c r="M472" t="s">
        <v>43</v>
      </c>
      <c r="N472" t="s">
        <v>43</v>
      </c>
      <c r="O472" t="s">
        <v>63</v>
      </c>
      <c r="P472" t="s">
        <v>43</v>
      </c>
      <c r="Q472" t="s">
        <v>629</v>
      </c>
      <c r="R472" t="s">
        <v>629</v>
      </c>
      <c r="S472" t="s">
        <v>164</v>
      </c>
      <c r="T472" t="s">
        <v>92</v>
      </c>
      <c r="U472" t="s">
        <v>40</v>
      </c>
      <c r="V472" t="s">
        <v>232</v>
      </c>
      <c r="W472" t="s">
        <v>330</v>
      </c>
      <c r="X472" t="s">
        <v>52</v>
      </c>
      <c r="Y472" t="s">
        <v>73</v>
      </c>
      <c r="Z472" t="s">
        <v>269</v>
      </c>
      <c r="AA472" t="s">
        <v>52</v>
      </c>
      <c r="AB472" t="s">
        <v>269</v>
      </c>
      <c r="AC472" t="s">
        <v>251</v>
      </c>
      <c r="AD472" t="s">
        <v>156</v>
      </c>
      <c r="AE472" t="s">
        <v>532</v>
      </c>
      <c r="AF472" t="s">
        <v>251</v>
      </c>
      <c r="AG472" t="s">
        <v>532</v>
      </c>
      <c r="AH472" t="s">
        <v>1474</v>
      </c>
    </row>
    <row r="473" spans="1:34" x14ac:dyDescent="0.25">
      <c r="A473" t="s">
        <v>1513</v>
      </c>
      <c r="B473" t="s">
        <v>891</v>
      </c>
      <c r="C473" t="s">
        <v>172</v>
      </c>
      <c r="D473" t="s">
        <v>263</v>
      </c>
      <c r="E473">
        <v>12</v>
      </c>
      <c r="F473">
        <v>10</v>
      </c>
      <c r="G473" t="s">
        <v>1514</v>
      </c>
      <c r="H473" t="s">
        <v>960</v>
      </c>
      <c r="I473" t="s">
        <v>43</v>
      </c>
      <c r="J473" t="s">
        <v>63</v>
      </c>
      <c r="K473" t="s">
        <v>63</v>
      </c>
      <c r="L473" t="s">
        <v>43</v>
      </c>
      <c r="M473" t="s">
        <v>43</v>
      </c>
      <c r="N473" t="s">
        <v>43</v>
      </c>
      <c r="O473" t="s">
        <v>63</v>
      </c>
      <c r="P473" t="s">
        <v>43</v>
      </c>
      <c r="Q473" t="s">
        <v>241</v>
      </c>
      <c r="R473" t="s">
        <v>241</v>
      </c>
      <c r="S473" t="s">
        <v>176</v>
      </c>
      <c r="T473" t="s">
        <v>70</v>
      </c>
      <c r="U473" t="s">
        <v>231</v>
      </c>
      <c r="V473" t="s">
        <v>233</v>
      </c>
      <c r="W473" t="s">
        <v>78</v>
      </c>
      <c r="X473" t="s">
        <v>43</v>
      </c>
      <c r="Y473" t="s">
        <v>103</v>
      </c>
      <c r="Z473" t="s">
        <v>103</v>
      </c>
      <c r="AA473" t="s">
        <v>43</v>
      </c>
      <c r="AB473" t="s">
        <v>103</v>
      </c>
      <c r="AC473" t="s">
        <v>182</v>
      </c>
      <c r="AD473" t="s">
        <v>168</v>
      </c>
      <c r="AE473" t="s">
        <v>181</v>
      </c>
      <c r="AF473" t="s">
        <v>182</v>
      </c>
      <c r="AG473" t="s">
        <v>181</v>
      </c>
      <c r="AH473" t="s">
        <v>1474</v>
      </c>
    </row>
    <row r="474" spans="1:34" x14ac:dyDescent="0.25">
      <c r="A474" t="s">
        <v>1515</v>
      </c>
      <c r="B474" t="s">
        <v>85</v>
      </c>
      <c r="C474" t="s">
        <v>108</v>
      </c>
      <c r="D474" t="s">
        <v>148</v>
      </c>
      <c r="E474">
        <v>14</v>
      </c>
      <c r="F474">
        <v>8</v>
      </c>
      <c r="G474" t="s">
        <v>1516</v>
      </c>
      <c r="H474" t="s">
        <v>729</v>
      </c>
      <c r="I474" t="s">
        <v>43</v>
      </c>
      <c r="J474" t="s">
        <v>63</v>
      </c>
      <c r="K474" t="s">
        <v>63</v>
      </c>
      <c r="L474" t="s">
        <v>43</v>
      </c>
      <c r="M474" t="s">
        <v>43</v>
      </c>
      <c r="N474" t="s">
        <v>43</v>
      </c>
      <c r="O474" t="s">
        <v>81</v>
      </c>
      <c r="P474" t="s">
        <v>43</v>
      </c>
      <c r="Q474" t="s">
        <v>82</v>
      </c>
      <c r="R474" t="s">
        <v>82</v>
      </c>
      <c r="S474" t="s">
        <v>162</v>
      </c>
      <c r="T474" t="s">
        <v>416</v>
      </c>
      <c r="U474" t="s">
        <v>231</v>
      </c>
      <c r="V474" t="s">
        <v>123</v>
      </c>
      <c r="W474" t="s">
        <v>140</v>
      </c>
      <c r="X474" t="s">
        <v>43</v>
      </c>
      <c r="Y474" t="s">
        <v>103</v>
      </c>
      <c r="Z474" t="s">
        <v>103</v>
      </c>
      <c r="AA474" t="s">
        <v>43</v>
      </c>
      <c r="AB474" t="s">
        <v>103</v>
      </c>
      <c r="AC474" t="s">
        <v>119</v>
      </c>
      <c r="AD474" t="s">
        <v>156</v>
      </c>
      <c r="AE474" t="s">
        <v>215</v>
      </c>
      <c r="AF474" t="s">
        <v>119</v>
      </c>
      <c r="AG474" t="s">
        <v>215</v>
      </c>
      <c r="AH474" t="s">
        <v>1474</v>
      </c>
    </row>
    <row r="475" spans="1:34" x14ac:dyDescent="0.25">
      <c r="A475" t="s">
        <v>1517</v>
      </c>
      <c r="B475" t="s">
        <v>411</v>
      </c>
      <c r="C475" t="s">
        <v>108</v>
      </c>
      <c r="D475" t="s">
        <v>185</v>
      </c>
      <c r="E475">
        <v>11</v>
      </c>
      <c r="F475">
        <v>8</v>
      </c>
      <c r="G475" t="s">
        <v>1518</v>
      </c>
      <c r="H475" t="s">
        <v>420</v>
      </c>
      <c r="I475" t="s">
        <v>43</v>
      </c>
      <c r="J475" t="s">
        <v>43</v>
      </c>
      <c r="K475" t="s">
        <v>43</v>
      </c>
      <c r="L475" t="s">
        <v>43</v>
      </c>
      <c r="M475" t="s">
        <v>43</v>
      </c>
      <c r="N475" t="s">
        <v>43</v>
      </c>
      <c r="O475" t="s">
        <v>63</v>
      </c>
      <c r="P475" t="s">
        <v>43</v>
      </c>
      <c r="Q475" t="s">
        <v>82</v>
      </c>
      <c r="R475" t="s">
        <v>82</v>
      </c>
      <c r="S475" t="s">
        <v>82</v>
      </c>
      <c r="T475" t="s">
        <v>241</v>
      </c>
      <c r="U475" t="s">
        <v>44</v>
      </c>
      <c r="V475" t="s">
        <v>40</v>
      </c>
      <c r="W475" t="s">
        <v>43</v>
      </c>
      <c r="X475" t="s">
        <v>43</v>
      </c>
      <c r="Y475" t="s">
        <v>43</v>
      </c>
      <c r="Z475" t="s">
        <v>43</v>
      </c>
      <c r="AA475" t="s">
        <v>43</v>
      </c>
      <c r="AB475" t="s">
        <v>43</v>
      </c>
      <c r="AC475" t="s">
        <v>182</v>
      </c>
      <c r="AD475" t="s">
        <v>119</v>
      </c>
      <c r="AE475" t="s">
        <v>358</v>
      </c>
      <c r="AF475" t="s">
        <v>182</v>
      </c>
      <c r="AG475" t="s">
        <v>358</v>
      </c>
      <c r="AH475" t="s">
        <v>1474</v>
      </c>
    </row>
    <row r="476" spans="1:34" x14ac:dyDescent="0.25">
      <c r="A476" t="s">
        <v>1519</v>
      </c>
      <c r="B476" t="s">
        <v>207</v>
      </c>
      <c r="C476" t="s">
        <v>137</v>
      </c>
      <c r="D476" t="s">
        <v>123</v>
      </c>
      <c r="E476">
        <v>20</v>
      </c>
      <c r="F476">
        <v>6</v>
      </c>
      <c r="G476" t="s">
        <v>1520</v>
      </c>
      <c r="H476" t="s">
        <v>1000</v>
      </c>
      <c r="I476" t="s">
        <v>43</v>
      </c>
      <c r="J476" t="s">
        <v>44</v>
      </c>
      <c r="K476" t="s">
        <v>44</v>
      </c>
      <c r="L476" t="s">
        <v>43</v>
      </c>
      <c r="M476" t="s">
        <v>43</v>
      </c>
      <c r="N476" t="s">
        <v>43</v>
      </c>
      <c r="O476" t="s">
        <v>44</v>
      </c>
      <c r="P476" t="s">
        <v>43</v>
      </c>
      <c r="Q476" t="s">
        <v>162</v>
      </c>
      <c r="R476" t="s">
        <v>162</v>
      </c>
      <c r="S476" t="s">
        <v>246</v>
      </c>
      <c r="T476" t="s">
        <v>406</v>
      </c>
      <c r="U476" t="s">
        <v>62</v>
      </c>
      <c r="V476" t="s">
        <v>232</v>
      </c>
      <c r="W476" t="s">
        <v>801</v>
      </c>
      <c r="X476" t="s">
        <v>43</v>
      </c>
      <c r="Y476" t="s">
        <v>156</v>
      </c>
      <c r="Z476" t="s">
        <v>156</v>
      </c>
      <c r="AA476" t="s">
        <v>43</v>
      </c>
      <c r="AB476" t="s">
        <v>156</v>
      </c>
      <c r="AC476" t="s">
        <v>134</v>
      </c>
      <c r="AD476" t="s">
        <v>100</v>
      </c>
      <c r="AE476" t="s">
        <v>617</v>
      </c>
      <c r="AF476" t="s">
        <v>134</v>
      </c>
      <c r="AG476" t="s">
        <v>617</v>
      </c>
      <c r="AH476" t="s">
        <v>1474</v>
      </c>
    </row>
    <row r="477" spans="1:34" x14ac:dyDescent="0.25">
      <c r="A477" t="s">
        <v>1521</v>
      </c>
      <c r="B477" t="s">
        <v>122</v>
      </c>
      <c r="C477" t="s">
        <v>108</v>
      </c>
      <c r="D477" t="s">
        <v>59</v>
      </c>
      <c r="E477">
        <v>8</v>
      </c>
      <c r="F477">
        <v>5</v>
      </c>
      <c r="G477" t="s">
        <v>1522</v>
      </c>
      <c r="H477" t="s">
        <v>841</v>
      </c>
      <c r="I477" t="s">
        <v>43</v>
      </c>
      <c r="J477" t="s">
        <v>43</v>
      </c>
      <c r="K477" t="s">
        <v>43</v>
      </c>
      <c r="L477" t="s">
        <v>43</v>
      </c>
      <c r="M477" t="s">
        <v>43</v>
      </c>
      <c r="N477" t="s">
        <v>43</v>
      </c>
      <c r="O477" t="s">
        <v>63</v>
      </c>
      <c r="P477" t="s">
        <v>43</v>
      </c>
      <c r="Q477" t="s">
        <v>241</v>
      </c>
      <c r="R477" t="s">
        <v>241</v>
      </c>
      <c r="S477" t="s">
        <v>176</v>
      </c>
      <c r="T477" t="s">
        <v>378</v>
      </c>
      <c r="U477" t="s">
        <v>232</v>
      </c>
      <c r="V477" t="s">
        <v>201</v>
      </c>
      <c r="W477" t="s">
        <v>276</v>
      </c>
      <c r="X477" t="s">
        <v>43</v>
      </c>
      <c r="Y477" t="s">
        <v>43</v>
      </c>
      <c r="Z477" t="s">
        <v>43</v>
      </c>
      <c r="AA477" t="s">
        <v>43</v>
      </c>
      <c r="AB477" t="s">
        <v>43</v>
      </c>
      <c r="AC477" t="s">
        <v>358</v>
      </c>
      <c r="AD477" t="s">
        <v>82</v>
      </c>
      <c r="AE477" t="s">
        <v>118</v>
      </c>
      <c r="AF477" t="s">
        <v>358</v>
      </c>
      <c r="AG477" t="s">
        <v>118</v>
      </c>
      <c r="AH477" t="s">
        <v>1474</v>
      </c>
    </row>
    <row r="478" spans="1:34" x14ac:dyDescent="0.25">
      <c r="A478" t="s">
        <v>1523</v>
      </c>
      <c r="B478" t="s">
        <v>422</v>
      </c>
      <c r="C478" t="s">
        <v>77</v>
      </c>
      <c r="D478" t="s">
        <v>78</v>
      </c>
      <c r="E478">
        <v>5</v>
      </c>
      <c r="F478">
        <v>5</v>
      </c>
      <c r="G478" t="s">
        <v>1524</v>
      </c>
      <c r="H478" t="s">
        <v>81</v>
      </c>
      <c r="I478" t="s">
        <v>43</v>
      </c>
      <c r="J478" t="s">
        <v>43</v>
      </c>
      <c r="K478" t="s">
        <v>43</v>
      </c>
      <c r="L478" t="s">
        <v>43</v>
      </c>
      <c r="M478" t="s">
        <v>43</v>
      </c>
      <c r="N478" t="s">
        <v>43</v>
      </c>
      <c r="O478" t="s">
        <v>43</v>
      </c>
      <c r="P478" t="s">
        <v>43</v>
      </c>
      <c r="Q478" t="s">
        <v>43</v>
      </c>
      <c r="R478" t="s">
        <v>43</v>
      </c>
      <c r="S478" t="s">
        <v>43</v>
      </c>
      <c r="T478" t="s">
        <v>43</v>
      </c>
      <c r="U478" t="s">
        <v>43</v>
      </c>
      <c r="V478" t="s">
        <v>44</v>
      </c>
      <c r="W478" t="s">
        <v>43</v>
      </c>
      <c r="X478" t="s">
        <v>43</v>
      </c>
      <c r="Y478" t="s">
        <v>43</v>
      </c>
      <c r="Z478" t="s">
        <v>43</v>
      </c>
      <c r="AA478" t="s">
        <v>43</v>
      </c>
      <c r="AB478" t="s">
        <v>43</v>
      </c>
      <c r="AC478" t="s">
        <v>43</v>
      </c>
      <c r="AD478" t="s">
        <v>119</v>
      </c>
      <c r="AE478" t="s">
        <v>119</v>
      </c>
      <c r="AF478" t="s">
        <v>43</v>
      </c>
      <c r="AG478" t="s">
        <v>119</v>
      </c>
      <c r="AH478" t="s">
        <v>1474</v>
      </c>
    </row>
    <row r="479" spans="1:34" x14ac:dyDescent="0.25">
      <c r="A479" t="s">
        <v>1525</v>
      </c>
      <c r="B479" t="s">
        <v>57</v>
      </c>
      <c r="C479" t="s">
        <v>108</v>
      </c>
      <c r="D479" t="s">
        <v>148</v>
      </c>
      <c r="E479">
        <v>7</v>
      </c>
      <c r="F479">
        <v>5</v>
      </c>
      <c r="G479" t="s">
        <v>1207</v>
      </c>
      <c r="H479" t="s">
        <v>634</v>
      </c>
      <c r="I479" t="s">
        <v>43</v>
      </c>
      <c r="J479" t="s">
        <v>43</v>
      </c>
      <c r="K479" t="s">
        <v>43</v>
      </c>
      <c r="L479" t="s">
        <v>43</v>
      </c>
      <c r="M479" t="s">
        <v>43</v>
      </c>
      <c r="N479" t="s">
        <v>43</v>
      </c>
      <c r="O479" t="s">
        <v>43</v>
      </c>
      <c r="P479" t="s">
        <v>44</v>
      </c>
      <c r="Q479" t="s">
        <v>82</v>
      </c>
      <c r="R479" t="s">
        <v>82</v>
      </c>
      <c r="S479" t="s">
        <v>241</v>
      </c>
      <c r="T479" t="s">
        <v>163</v>
      </c>
      <c r="U479" t="s">
        <v>43</v>
      </c>
      <c r="V479" t="s">
        <v>40</v>
      </c>
      <c r="W479" t="s">
        <v>44</v>
      </c>
      <c r="X479" t="s">
        <v>43</v>
      </c>
      <c r="Y479" t="s">
        <v>43</v>
      </c>
      <c r="Z479" t="s">
        <v>43</v>
      </c>
      <c r="AA479" t="s">
        <v>43</v>
      </c>
      <c r="AB479" t="s">
        <v>43</v>
      </c>
      <c r="AC479" t="s">
        <v>182</v>
      </c>
      <c r="AD479" t="s">
        <v>193</v>
      </c>
      <c r="AE479" t="s">
        <v>169</v>
      </c>
      <c r="AF479" t="s">
        <v>182</v>
      </c>
      <c r="AG479" t="s">
        <v>169</v>
      </c>
      <c r="AH479" t="s">
        <v>1474</v>
      </c>
    </row>
    <row r="480" spans="1:34" x14ac:dyDescent="0.25">
      <c r="A480" t="s">
        <v>1526</v>
      </c>
      <c r="B480" t="s">
        <v>360</v>
      </c>
      <c r="C480" t="s">
        <v>108</v>
      </c>
      <c r="D480" t="s">
        <v>148</v>
      </c>
      <c r="E480">
        <v>5</v>
      </c>
      <c r="F480">
        <v>5</v>
      </c>
      <c r="G480" t="s">
        <v>1527</v>
      </c>
      <c r="H480" t="s">
        <v>210</v>
      </c>
      <c r="I480" t="s">
        <v>43</v>
      </c>
      <c r="J480" t="s">
        <v>43</v>
      </c>
      <c r="K480" t="s">
        <v>43</v>
      </c>
      <c r="L480" t="s">
        <v>43</v>
      </c>
      <c r="M480" t="s">
        <v>43</v>
      </c>
      <c r="N480" t="s">
        <v>43</v>
      </c>
      <c r="O480" t="s">
        <v>43</v>
      </c>
      <c r="P480" t="s">
        <v>43</v>
      </c>
      <c r="Q480" t="s">
        <v>241</v>
      </c>
      <c r="R480" t="s">
        <v>241</v>
      </c>
      <c r="S480" t="s">
        <v>241</v>
      </c>
      <c r="T480" t="s">
        <v>112</v>
      </c>
      <c r="U480" t="s">
        <v>44</v>
      </c>
      <c r="V480" t="s">
        <v>231</v>
      </c>
      <c r="W480" t="s">
        <v>43</v>
      </c>
      <c r="X480" t="s">
        <v>43</v>
      </c>
      <c r="Y480" t="s">
        <v>43</v>
      </c>
      <c r="Z480" t="s">
        <v>43</v>
      </c>
      <c r="AA480" t="s">
        <v>43</v>
      </c>
      <c r="AB480" t="s">
        <v>43</v>
      </c>
      <c r="AC480" t="s">
        <v>168</v>
      </c>
      <c r="AD480" t="s">
        <v>193</v>
      </c>
      <c r="AE480" t="s">
        <v>242</v>
      </c>
      <c r="AF480" t="s">
        <v>168</v>
      </c>
      <c r="AG480" t="s">
        <v>242</v>
      </c>
      <c r="AH480" t="s">
        <v>1474</v>
      </c>
    </row>
    <row r="481" spans="1:34" x14ac:dyDescent="0.25">
      <c r="A481" t="s">
        <v>1528</v>
      </c>
      <c r="B481" t="s">
        <v>76</v>
      </c>
      <c r="C481" t="s">
        <v>108</v>
      </c>
      <c r="D481" t="s">
        <v>165</v>
      </c>
      <c r="E481">
        <v>7</v>
      </c>
      <c r="F481">
        <v>4</v>
      </c>
      <c r="G481" t="s">
        <v>1529</v>
      </c>
      <c r="H481" t="s">
        <v>547</v>
      </c>
      <c r="I481" t="s">
        <v>43</v>
      </c>
      <c r="J481" t="s">
        <v>43</v>
      </c>
      <c r="K481" t="s">
        <v>43</v>
      </c>
      <c r="L481" t="s">
        <v>43</v>
      </c>
      <c r="M481" t="s">
        <v>43</v>
      </c>
      <c r="N481" t="s">
        <v>43</v>
      </c>
      <c r="O481" t="s">
        <v>83</v>
      </c>
      <c r="P481" t="s">
        <v>43</v>
      </c>
      <c r="Q481" t="s">
        <v>82</v>
      </c>
      <c r="R481" t="s">
        <v>82</v>
      </c>
      <c r="S481" t="s">
        <v>82</v>
      </c>
      <c r="T481" t="s">
        <v>241</v>
      </c>
      <c r="U481" t="s">
        <v>44</v>
      </c>
      <c r="V481" t="s">
        <v>126</v>
      </c>
      <c r="W481" t="s">
        <v>43</v>
      </c>
      <c r="X481" t="s">
        <v>43</v>
      </c>
      <c r="Y481" t="s">
        <v>43</v>
      </c>
      <c r="Z481" t="s">
        <v>43</v>
      </c>
      <c r="AA481" t="s">
        <v>43</v>
      </c>
      <c r="AB481" t="s">
        <v>43</v>
      </c>
      <c r="AC481" t="s">
        <v>358</v>
      </c>
      <c r="AD481" t="s">
        <v>119</v>
      </c>
      <c r="AE481" t="s">
        <v>193</v>
      </c>
      <c r="AF481" t="s">
        <v>358</v>
      </c>
      <c r="AG481" t="s">
        <v>193</v>
      </c>
      <c r="AH481" t="s">
        <v>1474</v>
      </c>
    </row>
    <row r="482" spans="1:34" x14ac:dyDescent="0.25">
      <c r="A482" t="s">
        <v>784</v>
      </c>
      <c r="B482" t="s">
        <v>432</v>
      </c>
      <c r="C482" t="s">
        <v>58</v>
      </c>
      <c r="D482" t="s">
        <v>272</v>
      </c>
      <c r="E482">
        <v>3</v>
      </c>
      <c r="F482">
        <v>3</v>
      </c>
      <c r="G482" t="s">
        <v>1530</v>
      </c>
      <c r="H482" t="s">
        <v>113</v>
      </c>
      <c r="I482" t="s">
        <v>43</v>
      </c>
      <c r="J482" t="s">
        <v>43</v>
      </c>
      <c r="K482" t="s">
        <v>43</v>
      </c>
      <c r="L482" t="s">
        <v>43</v>
      </c>
      <c r="M482" t="s">
        <v>43</v>
      </c>
      <c r="N482" t="s">
        <v>43</v>
      </c>
      <c r="O482" t="s">
        <v>43</v>
      </c>
      <c r="P482" t="s">
        <v>43</v>
      </c>
      <c r="Q482" t="s">
        <v>163</v>
      </c>
      <c r="R482" t="s">
        <v>163</v>
      </c>
      <c r="S482" t="s">
        <v>241</v>
      </c>
      <c r="T482" t="s">
        <v>176</v>
      </c>
      <c r="U482" t="s">
        <v>40</v>
      </c>
      <c r="V482" t="s">
        <v>44</v>
      </c>
      <c r="W482" t="s">
        <v>232</v>
      </c>
      <c r="X482" t="s">
        <v>43</v>
      </c>
      <c r="Y482" t="s">
        <v>43</v>
      </c>
      <c r="Z482" t="s">
        <v>43</v>
      </c>
      <c r="AA482" t="s">
        <v>43</v>
      </c>
      <c r="AB482" t="s">
        <v>43</v>
      </c>
      <c r="AC482" t="s">
        <v>53</v>
      </c>
      <c r="AD482" t="s">
        <v>242</v>
      </c>
      <c r="AE482" t="s">
        <v>134</v>
      </c>
      <c r="AF482" t="s">
        <v>53</v>
      </c>
      <c r="AG482" t="s">
        <v>134</v>
      </c>
      <c r="AH482" t="s">
        <v>1474</v>
      </c>
    </row>
    <row r="483" spans="1:34" x14ac:dyDescent="0.25">
      <c r="A483" t="s">
        <v>1531</v>
      </c>
      <c r="B483" t="s">
        <v>1073</v>
      </c>
      <c r="C483" t="s">
        <v>58</v>
      </c>
      <c r="D483" t="s">
        <v>141</v>
      </c>
      <c r="E483">
        <v>9</v>
      </c>
      <c r="F483">
        <v>2</v>
      </c>
      <c r="G483" t="s">
        <v>1103</v>
      </c>
      <c r="H483" t="s">
        <v>113</v>
      </c>
      <c r="I483" t="s">
        <v>43</v>
      </c>
      <c r="J483" t="s">
        <v>44</v>
      </c>
      <c r="K483" t="s">
        <v>44</v>
      </c>
      <c r="L483" t="s">
        <v>43</v>
      </c>
      <c r="M483" t="s">
        <v>43</v>
      </c>
      <c r="N483" t="s">
        <v>43</v>
      </c>
      <c r="O483" t="s">
        <v>43</v>
      </c>
      <c r="P483" t="s">
        <v>43</v>
      </c>
      <c r="Q483" t="s">
        <v>163</v>
      </c>
      <c r="R483" t="s">
        <v>163</v>
      </c>
      <c r="S483" t="s">
        <v>176</v>
      </c>
      <c r="T483" t="s">
        <v>259</v>
      </c>
      <c r="U483" t="s">
        <v>114</v>
      </c>
      <c r="V483" t="s">
        <v>276</v>
      </c>
      <c r="W483" t="s">
        <v>232</v>
      </c>
      <c r="X483" t="s">
        <v>43</v>
      </c>
      <c r="Y483" t="s">
        <v>510</v>
      </c>
      <c r="Z483" t="s">
        <v>510</v>
      </c>
      <c r="AA483" t="s">
        <v>43</v>
      </c>
      <c r="AB483" t="s">
        <v>510</v>
      </c>
      <c r="AC483" t="s">
        <v>204</v>
      </c>
      <c r="AD483" t="s">
        <v>151</v>
      </c>
      <c r="AE483" t="s">
        <v>236</v>
      </c>
      <c r="AF483" t="s">
        <v>204</v>
      </c>
      <c r="AG483" t="s">
        <v>236</v>
      </c>
      <c r="AH483" t="s">
        <v>1474</v>
      </c>
    </row>
    <row r="484" spans="1:34" x14ac:dyDescent="0.25">
      <c r="A484" t="s">
        <v>1532</v>
      </c>
      <c r="B484" t="s">
        <v>555</v>
      </c>
      <c r="C484" t="s">
        <v>36</v>
      </c>
      <c r="D484" t="s">
        <v>109</v>
      </c>
      <c r="E484">
        <v>12</v>
      </c>
      <c r="F484">
        <v>2</v>
      </c>
      <c r="G484" t="s">
        <v>1533</v>
      </c>
      <c r="H484" t="s">
        <v>177</v>
      </c>
      <c r="I484" t="s">
        <v>43</v>
      </c>
      <c r="J484" t="s">
        <v>43</v>
      </c>
      <c r="K484" t="s">
        <v>43</v>
      </c>
      <c r="L484" t="s">
        <v>43</v>
      </c>
      <c r="M484" t="s">
        <v>43</v>
      </c>
      <c r="N484" t="s">
        <v>43</v>
      </c>
      <c r="O484" t="s">
        <v>63</v>
      </c>
      <c r="P484" t="s">
        <v>43</v>
      </c>
      <c r="Q484" t="s">
        <v>163</v>
      </c>
      <c r="R484" t="s">
        <v>163</v>
      </c>
      <c r="S484" t="s">
        <v>43</v>
      </c>
      <c r="T484" t="s">
        <v>163</v>
      </c>
      <c r="U484" t="s">
        <v>43</v>
      </c>
      <c r="V484" t="s">
        <v>81</v>
      </c>
      <c r="W484" t="s">
        <v>81</v>
      </c>
      <c r="X484" t="s">
        <v>43</v>
      </c>
      <c r="Y484" t="s">
        <v>43</v>
      </c>
      <c r="Z484" t="s">
        <v>43</v>
      </c>
      <c r="AA484" t="s">
        <v>43</v>
      </c>
      <c r="AB484" t="s">
        <v>43</v>
      </c>
      <c r="AC484" t="s">
        <v>53</v>
      </c>
      <c r="AD484" t="s">
        <v>182</v>
      </c>
      <c r="AE484" t="s">
        <v>218</v>
      </c>
      <c r="AF484" t="s">
        <v>53</v>
      </c>
      <c r="AG484" t="s">
        <v>218</v>
      </c>
      <c r="AH484" t="s">
        <v>1474</v>
      </c>
    </row>
    <row r="485" spans="1:34" x14ac:dyDescent="0.25">
      <c r="A485" t="s">
        <v>1534</v>
      </c>
      <c r="B485" t="s">
        <v>122</v>
      </c>
      <c r="C485" t="s">
        <v>86</v>
      </c>
      <c r="D485" t="s">
        <v>203</v>
      </c>
      <c r="E485">
        <v>4</v>
      </c>
      <c r="F485">
        <v>0</v>
      </c>
      <c r="G485" t="s">
        <v>42</v>
      </c>
      <c r="H485" t="s">
        <v>241</v>
      </c>
      <c r="I485" t="s">
        <v>43</v>
      </c>
      <c r="J485" t="s">
        <v>43</v>
      </c>
      <c r="K485" t="s">
        <v>43</v>
      </c>
      <c r="L485" t="s">
        <v>43</v>
      </c>
      <c r="M485" t="s">
        <v>43</v>
      </c>
      <c r="N485" t="s">
        <v>43</v>
      </c>
      <c r="O485" t="s">
        <v>43</v>
      </c>
      <c r="P485" t="s">
        <v>43</v>
      </c>
      <c r="Q485" t="s">
        <v>43</v>
      </c>
      <c r="R485" t="s">
        <v>43</v>
      </c>
      <c r="S485" t="s">
        <v>43</v>
      </c>
      <c r="T485" t="s">
        <v>43</v>
      </c>
      <c r="U485" t="s">
        <v>63</v>
      </c>
      <c r="V485" t="s">
        <v>63</v>
      </c>
      <c r="W485" t="s">
        <v>44</v>
      </c>
      <c r="X485" t="s">
        <v>43</v>
      </c>
      <c r="Y485" t="s">
        <v>43</v>
      </c>
      <c r="Z485" t="s">
        <v>43</v>
      </c>
      <c r="AA485" t="s">
        <v>43</v>
      </c>
      <c r="AB485" t="s">
        <v>43</v>
      </c>
      <c r="AC485" t="s">
        <v>43</v>
      </c>
      <c r="AD485" t="s">
        <v>43</v>
      </c>
      <c r="AE485" t="s">
        <v>43</v>
      </c>
      <c r="AF485" t="s">
        <v>43</v>
      </c>
      <c r="AG485" t="s">
        <v>43</v>
      </c>
      <c r="AH485" t="s">
        <v>1474</v>
      </c>
    </row>
    <row r="486" spans="1:34" x14ac:dyDescent="0.25">
      <c r="A486" t="s">
        <v>1535</v>
      </c>
      <c r="B486" t="s">
        <v>76</v>
      </c>
      <c r="C486" t="s">
        <v>36</v>
      </c>
      <c r="D486" t="s">
        <v>62</v>
      </c>
      <c r="E486">
        <v>1</v>
      </c>
      <c r="F486">
        <v>0</v>
      </c>
      <c r="G486" t="s">
        <v>40</v>
      </c>
      <c r="H486" t="s">
        <v>82</v>
      </c>
      <c r="I486" t="s">
        <v>43</v>
      </c>
      <c r="J486" t="s">
        <v>43</v>
      </c>
      <c r="K486" t="s">
        <v>43</v>
      </c>
      <c r="L486" t="s">
        <v>43</v>
      </c>
      <c r="M486" t="s">
        <v>43</v>
      </c>
      <c r="N486" t="s">
        <v>43</v>
      </c>
      <c r="O486" t="s">
        <v>43</v>
      </c>
      <c r="P486" t="s">
        <v>43</v>
      </c>
      <c r="Q486" t="s">
        <v>82</v>
      </c>
      <c r="R486" t="s">
        <v>82</v>
      </c>
      <c r="S486" t="s">
        <v>43</v>
      </c>
      <c r="T486" t="s">
        <v>82</v>
      </c>
      <c r="U486" t="s">
        <v>43</v>
      </c>
      <c r="V486" t="s">
        <v>43</v>
      </c>
      <c r="W486" t="s">
        <v>43</v>
      </c>
      <c r="X486" t="s">
        <v>43</v>
      </c>
      <c r="Y486" t="s">
        <v>43</v>
      </c>
      <c r="Z486" t="s">
        <v>43</v>
      </c>
      <c r="AA486" t="s">
        <v>43</v>
      </c>
      <c r="AB486" t="s">
        <v>43</v>
      </c>
      <c r="AC486" t="s">
        <v>313</v>
      </c>
      <c r="AD486" t="s">
        <v>43</v>
      </c>
      <c r="AE486" t="s">
        <v>313</v>
      </c>
      <c r="AF486" t="s">
        <v>313</v>
      </c>
      <c r="AG486" t="s">
        <v>313</v>
      </c>
      <c r="AH486" t="s">
        <v>1474</v>
      </c>
    </row>
    <row r="487" spans="1:34" x14ac:dyDescent="0.25">
      <c r="A487" t="s">
        <v>1536</v>
      </c>
      <c r="B487" t="s">
        <v>1537</v>
      </c>
      <c r="C487" t="s">
        <v>137</v>
      </c>
      <c r="D487" t="s">
        <v>141</v>
      </c>
      <c r="E487">
        <v>1</v>
      </c>
      <c r="F487">
        <v>0</v>
      </c>
      <c r="G487" t="s">
        <v>81</v>
      </c>
      <c r="H487" t="s">
        <v>82</v>
      </c>
      <c r="I487" t="s">
        <v>43</v>
      </c>
      <c r="J487" t="s">
        <v>43</v>
      </c>
      <c r="K487" t="s">
        <v>43</v>
      </c>
      <c r="L487" t="s">
        <v>43</v>
      </c>
      <c r="M487" t="s">
        <v>43</v>
      </c>
      <c r="N487" t="s">
        <v>43</v>
      </c>
      <c r="O487" t="s">
        <v>43</v>
      </c>
      <c r="P487" t="s">
        <v>43</v>
      </c>
      <c r="Q487" t="s">
        <v>43</v>
      </c>
      <c r="R487" t="s">
        <v>43</v>
      </c>
      <c r="S487" t="s">
        <v>43</v>
      </c>
      <c r="T487" t="s">
        <v>43</v>
      </c>
      <c r="U487" t="s">
        <v>43</v>
      </c>
      <c r="V487" t="s">
        <v>43</v>
      </c>
      <c r="W487" t="s">
        <v>44</v>
      </c>
      <c r="X487" t="s">
        <v>43</v>
      </c>
      <c r="Y487" t="s">
        <v>43</v>
      </c>
      <c r="Z487" t="s">
        <v>43</v>
      </c>
      <c r="AA487" t="s">
        <v>43</v>
      </c>
      <c r="AB487" t="s">
        <v>43</v>
      </c>
      <c r="AC487" t="s">
        <v>43</v>
      </c>
      <c r="AD487" t="s">
        <v>43</v>
      </c>
      <c r="AE487" t="s">
        <v>43</v>
      </c>
      <c r="AF487" t="s">
        <v>43</v>
      </c>
      <c r="AG487" t="s">
        <v>43</v>
      </c>
      <c r="AH487" t="s">
        <v>1474</v>
      </c>
    </row>
    <row r="488" spans="1:34" x14ac:dyDescent="0.25">
      <c r="A488" t="s">
        <v>1538</v>
      </c>
      <c r="B488" t="s">
        <v>207</v>
      </c>
      <c r="C488" t="s">
        <v>77</v>
      </c>
      <c r="D488" t="s">
        <v>263</v>
      </c>
      <c r="E488">
        <v>38</v>
      </c>
      <c r="F488">
        <v>38</v>
      </c>
      <c r="G488" t="s">
        <v>1539</v>
      </c>
      <c r="H488" t="s">
        <v>1540</v>
      </c>
      <c r="I488" t="s">
        <v>43</v>
      </c>
      <c r="J488" t="s">
        <v>43</v>
      </c>
      <c r="K488" t="s">
        <v>43</v>
      </c>
      <c r="L488" t="s">
        <v>43</v>
      </c>
      <c r="M488" t="s">
        <v>43</v>
      </c>
      <c r="N488" t="s">
        <v>43</v>
      </c>
      <c r="O488" t="s">
        <v>114</v>
      </c>
      <c r="P488" t="s">
        <v>43</v>
      </c>
      <c r="Q488" t="s">
        <v>43</v>
      </c>
      <c r="R488" t="s">
        <v>43</v>
      </c>
      <c r="S488" t="s">
        <v>43</v>
      </c>
      <c r="T488" t="s">
        <v>43</v>
      </c>
      <c r="U488" t="s">
        <v>43</v>
      </c>
      <c r="V488" t="s">
        <v>44</v>
      </c>
      <c r="W488" t="s">
        <v>43</v>
      </c>
      <c r="X488" t="s">
        <v>43</v>
      </c>
      <c r="Y488" t="s">
        <v>43</v>
      </c>
      <c r="Z488" t="s">
        <v>43</v>
      </c>
      <c r="AA488" t="s">
        <v>43</v>
      </c>
      <c r="AB488" t="s">
        <v>43</v>
      </c>
      <c r="AC488" t="s">
        <v>43</v>
      </c>
      <c r="AD488" t="s">
        <v>43</v>
      </c>
      <c r="AE488" t="s">
        <v>43</v>
      </c>
      <c r="AF488" t="s">
        <v>43</v>
      </c>
      <c r="AG488" t="s">
        <v>43</v>
      </c>
      <c r="AH488" t="s">
        <v>1541</v>
      </c>
    </row>
    <row r="489" spans="1:34" x14ac:dyDescent="0.25">
      <c r="A489" t="s">
        <v>1542</v>
      </c>
      <c r="B489" t="s">
        <v>57</v>
      </c>
      <c r="C489" t="s">
        <v>108</v>
      </c>
      <c r="D489" t="s">
        <v>59</v>
      </c>
      <c r="E489">
        <v>37</v>
      </c>
      <c r="F489">
        <v>34</v>
      </c>
      <c r="G489" t="s">
        <v>1543</v>
      </c>
      <c r="H489" t="s">
        <v>1544</v>
      </c>
      <c r="I489" t="s">
        <v>63</v>
      </c>
      <c r="J489" t="s">
        <v>40</v>
      </c>
      <c r="K489" t="s">
        <v>231</v>
      </c>
      <c r="L489" t="s">
        <v>63</v>
      </c>
      <c r="M489" t="s">
        <v>43</v>
      </c>
      <c r="N489" t="s">
        <v>43</v>
      </c>
      <c r="O489" t="s">
        <v>81</v>
      </c>
      <c r="P489" t="s">
        <v>43</v>
      </c>
      <c r="Q489" t="s">
        <v>222</v>
      </c>
      <c r="R489" t="s">
        <v>222</v>
      </c>
      <c r="S489" t="s">
        <v>504</v>
      </c>
      <c r="T489" t="s">
        <v>129</v>
      </c>
      <c r="U489" t="s">
        <v>936</v>
      </c>
      <c r="V489" t="s">
        <v>792</v>
      </c>
      <c r="W489" t="s">
        <v>971</v>
      </c>
      <c r="X489" t="s">
        <v>169</v>
      </c>
      <c r="Y489" t="s">
        <v>50</v>
      </c>
      <c r="Z489" t="s">
        <v>100</v>
      </c>
      <c r="AA489" t="s">
        <v>169</v>
      </c>
      <c r="AB489" t="s">
        <v>100</v>
      </c>
      <c r="AC489" t="s">
        <v>193</v>
      </c>
      <c r="AD489" t="s">
        <v>194</v>
      </c>
      <c r="AE489" t="s">
        <v>402</v>
      </c>
      <c r="AF489" t="s">
        <v>193</v>
      </c>
      <c r="AG489" t="s">
        <v>402</v>
      </c>
      <c r="AH489" t="s">
        <v>1541</v>
      </c>
    </row>
    <row r="490" spans="1:34" x14ac:dyDescent="0.25">
      <c r="A490" t="s">
        <v>1545</v>
      </c>
      <c r="B490" t="s">
        <v>57</v>
      </c>
      <c r="C490" t="s">
        <v>58</v>
      </c>
      <c r="D490" t="s">
        <v>37</v>
      </c>
      <c r="E490">
        <v>38</v>
      </c>
      <c r="F490">
        <v>32</v>
      </c>
      <c r="G490" t="s">
        <v>1546</v>
      </c>
      <c r="H490" t="s">
        <v>553</v>
      </c>
      <c r="I490" t="s">
        <v>89</v>
      </c>
      <c r="J490" t="s">
        <v>83</v>
      </c>
      <c r="K490" t="s">
        <v>127</v>
      </c>
      <c r="L490" t="s">
        <v>126</v>
      </c>
      <c r="M490" t="s">
        <v>81</v>
      </c>
      <c r="N490" t="s">
        <v>81</v>
      </c>
      <c r="O490" t="s">
        <v>83</v>
      </c>
      <c r="P490" t="s">
        <v>43</v>
      </c>
      <c r="Q490" t="s">
        <v>720</v>
      </c>
      <c r="R490" t="s">
        <v>424</v>
      </c>
      <c r="S490" t="s">
        <v>282</v>
      </c>
      <c r="T490" t="s">
        <v>521</v>
      </c>
      <c r="U490" t="s">
        <v>225</v>
      </c>
      <c r="V490" t="s">
        <v>703</v>
      </c>
      <c r="W490" t="s">
        <v>591</v>
      </c>
      <c r="X490" t="s">
        <v>301</v>
      </c>
      <c r="Y490" t="s">
        <v>118</v>
      </c>
      <c r="Z490" t="s">
        <v>451</v>
      </c>
      <c r="AA490" t="s">
        <v>194</v>
      </c>
      <c r="AB490" t="s">
        <v>100</v>
      </c>
      <c r="AC490" t="s">
        <v>250</v>
      </c>
      <c r="AD490" t="s">
        <v>120</v>
      </c>
      <c r="AE490" t="s">
        <v>216</v>
      </c>
      <c r="AF490" t="s">
        <v>402</v>
      </c>
      <c r="AG490" t="s">
        <v>466</v>
      </c>
      <c r="AH490" t="s">
        <v>1541</v>
      </c>
    </row>
    <row r="491" spans="1:34" x14ac:dyDescent="0.25">
      <c r="A491" t="s">
        <v>1547</v>
      </c>
      <c r="B491" t="s">
        <v>57</v>
      </c>
      <c r="C491" t="s">
        <v>36</v>
      </c>
      <c r="D491" t="s">
        <v>78</v>
      </c>
      <c r="E491">
        <v>32</v>
      </c>
      <c r="F491">
        <v>30</v>
      </c>
      <c r="G491" t="s">
        <v>1548</v>
      </c>
      <c r="H491" t="s">
        <v>1008</v>
      </c>
      <c r="I491" t="s">
        <v>81</v>
      </c>
      <c r="J491" t="s">
        <v>83</v>
      </c>
      <c r="K491" t="s">
        <v>41</v>
      </c>
      <c r="L491" t="s">
        <v>81</v>
      </c>
      <c r="M491" t="s">
        <v>43</v>
      </c>
      <c r="N491" t="s">
        <v>43</v>
      </c>
      <c r="O491" t="s">
        <v>126</v>
      </c>
      <c r="P491" t="s">
        <v>43</v>
      </c>
      <c r="Q491" t="s">
        <v>45</v>
      </c>
      <c r="R491" t="s">
        <v>45</v>
      </c>
      <c r="S491" t="s">
        <v>128</v>
      </c>
      <c r="T491" t="s">
        <v>497</v>
      </c>
      <c r="U491" t="s">
        <v>300</v>
      </c>
      <c r="V491" t="s">
        <v>1549</v>
      </c>
      <c r="W491" t="s">
        <v>399</v>
      </c>
      <c r="X491" t="s">
        <v>215</v>
      </c>
      <c r="Y491" t="s">
        <v>218</v>
      </c>
      <c r="Z491" t="s">
        <v>100</v>
      </c>
      <c r="AA491" t="s">
        <v>215</v>
      </c>
      <c r="AB491" t="s">
        <v>100</v>
      </c>
      <c r="AC491" t="s">
        <v>218</v>
      </c>
      <c r="AD491" t="s">
        <v>118</v>
      </c>
      <c r="AE491" t="s">
        <v>98</v>
      </c>
      <c r="AF491" t="s">
        <v>218</v>
      </c>
      <c r="AG491" t="s">
        <v>98</v>
      </c>
      <c r="AH491" t="s">
        <v>1541</v>
      </c>
    </row>
    <row r="492" spans="1:34" x14ac:dyDescent="0.25">
      <c r="A492" t="s">
        <v>1550</v>
      </c>
      <c r="B492" t="s">
        <v>57</v>
      </c>
      <c r="C492" t="s">
        <v>108</v>
      </c>
      <c r="D492" t="s">
        <v>185</v>
      </c>
      <c r="E492">
        <v>30</v>
      </c>
      <c r="F492">
        <v>28</v>
      </c>
      <c r="G492" t="s">
        <v>1179</v>
      </c>
      <c r="H492" t="s">
        <v>930</v>
      </c>
      <c r="I492" t="s">
        <v>44</v>
      </c>
      <c r="J492" t="s">
        <v>43</v>
      </c>
      <c r="K492" t="s">
        <v>44</v>
      </c>
      <c r="L492" t="s">
        <v>44</v>
      </c>
      <c r="M492" t="s">
        <v>43</v>
      </c>
      <c r="N492" t="s">
        <v>43</v>
      </c>
      <c r="O492" t="s">
        <v>114</v>
      </c>
      <c r="P492" t="s">
        <v>43</v>
      </c>
      <c r="Q492" t="s">
        <v>70</v>
      </c>
      <c r="R492" t="s">
        <v>70</v>
      </c>
      <c r="S492" t="s">
        <v>163</v>
      </c>
      <c r="T492" t="s">
        <v>398</v>
      </c>
      <c r="U492" t="s">
        <v>127</v>
      </c>
      <c r="V492" t="s">
        <v>346</v>
      </c>
      <c r="W492" t="s">
        <v>44</v>
      </c>
      <c r="X492" t="s">
        <v>193</v>
      </c>
      <c r="Y492" t="s">
        <v>43</v>
      </c>
      <c r="Z492" t="s">
        <v>193</v>
      </c>
      <c r="AA492" t="s">
        <v>193</v>
      </c>
      <c r="AB492" t="s">
        <v>193</v>
      </c>
      <c r="AC492" t="s">
        <v>182</v>
      </c>
      <c r="AD492" t="s">
        <v>119</v>
      </c>
      <c r="AE492" t="s">
        <v>358</v>
      </c>
      <c r="AF492" t="s">
        <v>182</v>
      </c>
      <c r="AG492" t="s">
        <v>358</v>
      </c>
      <c r="AH492" t="s">
        <v>1541</v>
      </c>
    </row>
    <row r="493" spans="1:34" x14ac:dyDescent="0.25">
      <c r="A493" t="s">
        <v>1551</v>
      </c>
      <c r="B493" t="s">
        <v>1120</v>
      </c>
      <c r="C493" t="s">
        <v>108</v>
      </c>
      <c r="D493" t="s">
        <v>201</v>
      </c>
      <c r="E493">
        <v>21</v>
      </c>
      <c r="F493">
        <v>21</v>
      </c>
      <c r="G493" t="s">
        <v>1552</v>
      </c>
      <c r="H493" t="s">
        <v>1553</v>
      </c>
      <c r="I493" t="s">
        <v>63</v>
      </c>
      <c r="J493" t="s">
        <v>43</v>
      </c>
      <c r="K493" t="s">
        <v>63</v>
      </c>
      <c r="L493" t="s">
        <v>63</v>
      </c>
      <c r="M493" t="s">
        <v>43</v>
      </c>
      <c r="N493" t="s">
        <v>43</v>
      </c>
      <c r="O493" t="s">
        <v>114</v>
      </c>
      <c r="P493" t="s">
        <v>43</v>
      </c>
      <c r="Q493" t="s">
        <v>254</v>
      </c>
      <c r="R493" t="s">
        <v>254</v>
      </c>
      <c r="S493" t="s">
        <v>82</v>
      </c>
      <c r="T493" t="s">
        <v>200</v>
      </c>
      <c r="U493" t="s">
        <v>231</v>
      </c>
      <c r="V493" t="s">
        <v>225</v>
      </c>
      <c r="W493" t="s">
        <v>83</v>
      </c>
      <c r="X493" t="s">
        <v>82</v>
      </c>
      <c r="Y493" t="s">
        <v>43</v>
      </c>
      <c r="Z493" t="s">
        <v>82</v>
      </c>
      <c r="AA493" t="s">
        <v>82</v>
      </c>
      <c r="AB493" t="s">
        <v>82</v>
      </c>
      <c r="AC493" t="s">
        <v>168</v>
      </c>
      <c r="AD493" t="s">
        <v>119</v>
      </c>
      <c r="AE493" t="s">
        <v>169</v>
      </c>
      <c r="AF493" t="s">
        <v>168</v>
      </c>
      <c r="AG493" t="s">
        <v>169</v>
      </c>
      <c r="AH493" t="s">
        <v>1541</v>
      </c>
    </row>
    <row r="494" spans="1:34" x14ac:dyDescent="0.25">
      <c r="A494" t="s">
        <v>1554</v>
      </c>
      <c r="B494" t="s">
        <v>978</v>
      </c>
      <c r="C494" t="s">
        <v>108</v>
      </c>
      <c r="D494" t="s">
        <v>272</v>
      </c>
      <c r="E494">
        <v>24</v>
      </c>
      <c r="F494">
        <v>21</v>
      </c>
      <c r="G494" t="s">
        <v>1555</v>
      </c>
      <c r="H494" t="s">
        <v>1556</v>
      </c>
      <c r="I494" t="s">
        <v>43</v>
      </c>
      <c r="J494" t="s">
        <v>63</v>
      </c>
      <c r="K494" t="s">
        <v>63</v>
      </c>
      <c r="L494" t="s">
        <v>43</v>
      </c>
      <c r="M494" t="s">
        <v>43</v>
      </c>
      <c r="N494" t="s">
        <v>43</v>
      </c>
      <c r="O494" t="s">
        <v>142</v>
      </c>
      <c r="P494" t="s">
        <v>43</v>
      </c>
      <c r="Q494" t="s">
        <v>241</v>
      </c>
      <c r="R494" t="s">
        <v>241</v>
      </c>
      <c r="S494" t="s">
        <v>246</v>
      </c>
      <c r="T494" t="s">
        <v>327</v>
      </c>
      <c r="U494" t="s">
        <v>704</v>
      </c>
      <c r="V494" t="s">
        <v>346</v>
      </c>
      <c r="W494" t="s">
        <v>1244</v>
      </c>
      <c r="X494" t="s">
        <v>43</v>
      </c>
      <c r="Y494" t="s">
        <v>82</v>
      </c>
      <c r="Z494" t="s">
        <v>82</v>
      </c>
      <c r="AA494" t="s">
        <v>43</v>
      </c>
      <c r="AB494" t="s">
        <v>82</v>
      </c>
      <c r="AC494" t="s">
        <v>119</v>
      </c>
      <c r="AD494" t="s">
        <v>204</v>
      </c>
      <c r="AE494" t="s">
        <v>53</v>
      </c>
      <c r="AF494" t="s">
        <v>119</v>
      </c>
      <c r="AG494" t="s">
        <v>53</v>
      </c>
      <c r="AH494" t="s">
        <v>1541</v>
      </c>
    </row>
    <row r="495" spans="1:34" x14ac:dyDescent="0.25">
      <c r="A495" t="s">
        <v>1557</v>
      </c>
      <c r="B495" t="s">
        <v>942</v>
      </c>
      <c r="C495" t="s">
        <v>108</v>
      </c>
      <c r="D495" t="s">
        <v>78</v>
      </c>
      <c r="E495">
        <v>21</v>
      </c>
      <c r="F495">
        <v>21</v>
      </c>
      <c r="G495" t="s">
        <v>1558</v>
      </c>
      <c r="H495" t="s">
        <v>356</v>
      </c>
      <c r="I495" t="s">
        <v>43</v>
      </c>
      <c r="J495" t="s">
        <v>43</v>
      </c>
      <c r="K495" t="s">
        <v>43</v>
      </c>
      <c r="L495" t="s">
        <v>43</v>
      </c>
      <c r="M495" t="s">
        <v>43</v>
      </c>
      <c r="N495" t="s">
        <v>43</v>
      </c>
      <c r="O495" t="s">
        <v>43</v>
      </c>
      <c r="P495" t="s">
        <v>43</v>
      </c>
      <c r="Q495" t="s">
        <v>163</v>
      </c>
      <c r="R495" t="s">
        <v>163</v>
      </c>
      <c r="S495" t="s">
        <v>176</v>
      </c>
      <c r="T495" t="s">
        <v>378</v>
      </c>
      <c r="U495" t="s">
        <v>140</v>
      </c>
      <c r="V495" t="s">
        <v>47</v>
      </c>
      <c r="W495" t="s">
        <v>231</v>
      </c>
      <c r="X495" t="s">
        <v>43</v>
      </c>
      <c r="Y495" t="s">
        <v>43</v>
      </c>
      <c r="Z495" t="s">
        <v>43</v>
      </c>
      <c r="AA495" t="s">
        <v>43</v>
      </c>
      <c r="AB495" t="s">
        <v>43</v>
      </c>
      <c r="AC495" t="s">
        <v>119</v>
      </c>
      <c r="AD495" t="s">
        <v>182</v>
      </c>
      <c r="AE495" t="s">
        <v>193</v>
      </c>
      <c r="AF495" t="s">
        <v>119</v>
      </c>
      <c r="AG495" t="s">
        <v>193</v>
      </c>
      <c r="AH495" t="s">
        <v>1541</v>
      </c>
    </row>
    <row r="496" spans="1:34" x14ac:dyDescent="0.25">
      <c r="A496" t="s">
        <v>1559</v>
      </c>
      <c r="B496" t="s">
        <v>411</v>
      </c>
      <c r="C496" t="s">
        <v>524</v>
      </c>
      <c r="D496" t="s">
        <v>148</v>
      </c>
      <c r="E496">
        <v>30</v>
      </c>
      <c r="F496">
        <v>20</v>
      </c>
      <c r="G496" t="s">
        <v>1560</v>
      </c>
      <c r="H496" t="s">
        <v>563</v>
      </c>
      <c r="I496" t="s">
        <v>83</v>
      </c>
      <c r="J496" t="s">
        <v>44</v>
      </c>
      <c r="K496" t="s">
        <v>81</v>
      </c>
      <c r="L496" t="s">
        <v>83</v>
      </c>
      <c r="M496" t="s">
        <v>43</v>
      </c>
      <c r="N496" t="s">
        <v>43</v>
      </c>
      <c r="O496" t="s">
        <v>44</v>
      </c>
      <c r="P496" t="s">
        <v>43</v>
      </c>
      <c r="Q496" t="s">
        <v>547</v>
      </c>
      <c r="R496" t="s">
        <v>547</v>
      </c>
      <c r="S496" t="s">
        <v>188</v>
      </c>
      <c r="T496" t="s">
        <v>446</v>
      </c>
      <c r="U496" t="s">
        <v>489</v>
      </c>
      <c r="V496" t="s">
        <v>273</v>
      </c>
      <c r="W496" t="s">
        <v>774</v>
      </c>
      <c r="X496" t="s">
        <v>151</v>
      </c>
      <c r="Y496" t="s">
        <v>168</v>
      </c>
      <c r="Z496" t="s">
        <v>402</v>
      </c>
      <c r="AA496" t="s">
        <v>151</v>
      </c>
      <c r="AB496" t="s">
        <v>402</v>
      </c>
      <c r="AC496" t="s">
        <v>194</v>
      </c>
      <c r="AD496" t="s">
        <v>218</v>
      </c>
      <c r="AE496" t="s">
        <v>72</v>
      </c>
      <c r="AF496" t="s">
        <v>194</v>
      </c>
      <c r="AG496" t="s">
        <v>72</v>
      </c>
      <c r="AH496" t="s">
        <v>1541</v>
      </c>
    </row>
    <row r="497" spans="1:34" x14ac:dyDescent="0.25">
      <c r="A497" t="s">
        <v>1561</v>
      </c>
      <c r="B497" t="s">
        <v>196</v>
      </c>
      <c r="C497" t="s">
        <v>86</v>
      </c>
      <c r="D497" t="s">
        <v>59</v>
      </c>
      <c r="E497">
        <v>33</v>
      </c>
      <c r="F497">
        <v>20</v>
      </c>
      <c r="G497" t="s">
        <v>852</v>
      </c>
      <c r="H497" t="s">
        <v>272</v>
      </c>
      <c r="I497" t="s">
        <v>83</v>
      </c>
      <c r="J497" t="s">
        <v>43</v>
      </c>
      <c r="K497" t="s">
        <v>83</v>
      </c>
      <c r="L497" t="s">
        <v>83</v>
      </c>
      <c r="M497" t="s">
        <v>43</v>
      </c>
      <c r="N497" t="s">
        <v>43</v>
      </c>
      <c r="O497" t="s">
        <v>83</v>
      </c>
      <c r="P497" t="s">
        <v>43</v>
      </c>
      <c r="Q497" t="s">
        <v>405</v>
      </c>
      <c r="R497" t="s">
        <v>405</v>
      </c>
      <c r="S497" t="s">
        <v>176</v>
      </c>
      <c r="T497" t="s">
        <v>730</v>
      </c>
      <c r="U497" t="s">
        <v>213</v>
      </c>
      <c r="V497" t="s">
        <v>514</v>
      </c>
      <c r="W497" t="s">
        <v>357</v>
      </c>
      <c r="X497" t="s">
        <v>151</v>
      </c>
      <c r="Y497" t="s">
        <v>43</v>
      </c>
      <c r="Z497" t="s">
        <v>151</v>
      </c>
      <c r="AA497" t="s">
        <v>151</v>
      </c>
      <c r="AB497" t="s">
        <v>151</v>
      </c>
      <c r="AC497" t="s">
        <v>53</v>
      </c>
      <c r="AD497" t="s">
        <v>182</v>
      </c>
      <c r="AE497" t="s">
        <v>156</v>
      </c>
      <c r="AF497" t="s">
        <v>53</v>
      </c>
      <c r="AG497" t="s">
        <v>156</v>
      </c>
      <c r="AH497" t="s">
        <v>1541</v>
      </c>
    </row>
    <row r="498" spans="1:34" x14ac:dyDescent="0.25">
      <c r="A498" t="s">
        <v>1562</v>
      </c>
      <c r="B498" t="s">
        <v>57</v>
      </c>
      <c r="C498" t="s">
        <v>108</v>
      </c>
      <c r="D498" t="s">
        <v>148</v>
      </c>
      <c r="E498">
        <v>22</v>
      </c>
      <c r="F498">
        <v>20</v>
      </c>
      <c r="G498" t="s">
        <v>1563</v>
      </c>
      <c r="H498" t="s">
        <v>863</v>
      </c>
      <c r="I498" t="s">
        <v>43</v>
      </c>
      <c r="J498" t="s">
        <v>83</v>
      </c>
      <c r="K498" t="s">
        <v>83</v>
      </c>
      <c r="L498" t="s">
        <v>43</v>
      </c>
      <c r="M498" t="s">
        <v>43</v>
      </c>
      <c r="N498" t="s">
        <v>43</v>
      </c>
      <c r="O498" t="s">
        <v>81</v>
      </c>
      <c r="P498" t="s">
        <v>43</v>
      </c>
      <c r="Q498" t="s">
        <v>222</v>
      </c>
      <c r="R498" t="s">
        <v>222</v>
      </c>
      <c r="S498" t="s">
        <v>162</v>
      </c>
      <c r="T498" t="s">
        <v>405</v>
      </c>
      <c r="U498" t="s">
        <v>89</v>
      </c>
      <c r="V498" t="s">
        <v>394</v>
      </c>
      <c r="W498" t="s">
        <v>232</v>
      </c>
      <c r="X498" t="s">
        <v>43</v>
      </c>
      <c r="Y498" t="s">
        <v>103</v>
      </c>
      <c r="Z498" t="s">
        <v>103</v>
      </c>
      <c r="AA498" t="s">
        <v>43</v>
      </c>
      <c r="AB498" t="s">
        <v>103</v>
      </c>
      <c r="AC498" t="s">
        <v>181</v>
      </c>
      <c r="AD498" t="s">
        <v>181</v>
      </c>
      <c r="AE498" t="s">
        <v>156</v>
      </c>
      <c r="AF498" t="s">
        <v>181</v>
      </c>
      <c r="AG498" t="s">
        <v>156</v>
      </c>
      <c r="AH498" t="s">
        <v>1541</v>
      </c>
    </row>
    <row r="499" spans="1:34" x14ac:dyDescent="0.25">
      <c r="A499" t="s">
        <v>1564</v>
      </c>
      <c r="B499" t="s">
        <v>57</v>
      </c>
      <c r="C499" t="s">
        <v>137</v>
      </c>
      <c r="D499" t="s">
        <v>268</v>
      </c>
      <c r="E499">
        <v>27</v>
      </c>
      <c r="F499">
        <v>16</v>
      </c>
      <c r="G499" t="s">
        <v>1565</v>
      </c>
      <c r="H499" t="s">
        <v>1142</v>
      </c>
      <c r="I499" t="s">
        <v>231</v>
      </c>
      <c r="J499" t="s">
        <v>43</v>
      </c>
      <c r="K499" t="s">
        <v>231</v>
      </c>
      <c r="L499" t="s">
        <v>231</v>
      </c>
      <c r="M499" t="s">
        <v>43</v>
      </c>
      <c r="N499" t="s">
        <v>43</v>
      </c>
      <c r="O499" t="s">
        <v>44</v>
      </c>
      <c r="P499" t="s">
        <v>43</v>
      </c>
      <c r="Q499" t="s">
        <v>702</v>
      </c>
      <c r="R499" t="s">
        <v>702</v>
      </c>
      <c r="S499" t="s">
        <v>378</v>
      </c>
      <c r="T499" t="s">
        <v>672</v>
      </c>
      <c r="U499" t="s">
        <v>167</v>
      </c>
      <c r="V499" t="s">
        <v>59</v>
      </c>
      <c r="W499" t="s">
        <v>1566</v>
      </c>
      <c r="X499" t="s">
        <v>569</v>
      </c>
      <c r="Y499" t="s">
        <v>43</v>
      </c>
      <c r="Z499" t="s">
        <v>569</v>
      </c>
      <c r="AA499" t="s">
        <v>569</v>
      </c>
      <c r="AB499" t="s">
        <v>569</v>
      </c>
      <c r="AC499" t="s">
        <v>97</v>
      </c>
      <c r="AD499" t="s">
        <v>193</v>
      </c>
      <c r="AE499" t="s">
        <v>318</v>
      </c>
      <c r="AF499" t="s">
        <v>97</v>
      </c>
      <c r="AG499" t="s">
        <v>318</v>
      </c>
      <c r="AH499" t="s">
        <v>1541</v>
      </c>
    </row>
    <row r="500" spans="1:34" x14ac:dyDescent="0.25">
      <c r="A500" t="s">
        <v>1567</v>
      </c>
      <c r="B500" t="s">
        <v>207</v>
      </c>
      <c r="C500" t="s">
        <v>36</v>
      </c>
      <c r="D500" t="s">
        <v>59</v>
      </c>
      <c r="E500">
        <v>17</v>
      </c>
      <c r="F500">
        <v>16</v>
      </c>
      <c r="G500" t="s">
        <v>1568</v>
      </c>
      <c r="H500" t="s">
        <v>1186</v>
      </c>
      <c r="I500" t="s">
        <v>44</v>
      </c>
      <c r="J500" t="s">
        <v>114</v>
      </c>
      <c r="K500" t="s">
        <v>83</v>
      </c>
      <c r="L500" t="s">
        <v>44</v>
      </c>
      <c r="M500" t="s">
        <v>43</v>
      </c>
      <c r="N500" t="s">
        <v>43</v>
      </c>
      <c r="O500" t="s">
        <v>83</v>
      </c>
      <c r="P500" t="s">
        <v>43</v>
      </c>
      <c r="Q500" t="s">
        <v>70</v>
      </c>
      <c r="R500" t="s">
        <v>70</v>
      </c>
      <c r="S500" t="s">
        <v>162</v>
      </c>
      <c r="T500" t="s">
        <v>63</v>
      </c>
      <c r="U500" t="s">
        <v>78</v>
      </c>
      <c r="V500" t="s">
        <v>514</v>
      </c>
      <c r="W500" t="s">
        <v>90</v>
      </c>
      <c r="X500" t="s">
        <v>181</v>
      </c>
      <c r="Y500" t="s">
        <v>134</v>
      </c>
      <c r="Z500" t="s">
        <v>51</v>
      </c>
      <c r="AA500" t="s">
        <v>181</v>
      </c>
      <c r="AB500" t="s">
        <v>51</v>
      </c>
      <c r="AC500" t="s">
        <v>193</v>
      </c>
      <c r="AD500" t="s">
        <v>82</v>
      </c>
      <c r="AE500" t="s">
        <v>218</v>
      </c>
      <c r="AF500" t="s">
        <v>193</v>
      </c>
      <c r="AG500" t="s">
        <v>218</v>
      </c>
      <c r="AH500" t="s">
        <v>1541</v>
      </c>
    </row>
    <row r="501" spans="1:34" x14ac:dyDescent="0.25">
      <c r="A501" t="s">
        <v>1569</v>
      </c>
      <c r="B501" t="s">
        <v>57</v>
      </c>
      <c r="C501" t="s">
        <v>36</v>
      </c>
      <c r="D501" t="s">
        <v>78</v>
      </c>
      <c r="E501">
        <v>23</v>
      </c>
      <c r="F501">
        <v>14</v>
      </c>
      <c r="G501" t="s">
        <v>1570</v>
      </c>
      <c r="H501" t="s">
        <v>1186</v>
      </c>
      <c r="I501" t="s">
        <v>44</v>
      </c>
      <c r="J501" t="s">
        <v>44</v>
      </c>
      <c r="K501" t="s">
        <v>63</v>
      </c>
      <c r="L501" t="s">
        <v>44</v>
      </c>
      <c r="M501" t="s">
        <v>43</v>
      </c>
      <c r="N501" t="s">
        <v>43</v>
      </c>
      <c r="O501" t="s">
        <v>83</v>
      </c>
      <c r="P501" t="s">
        <v>43</v>
      </c>
      <c r="Q501" t="s">
        <v>44</v>
      </c>
      <c r="R501" t="s">
        <v>44</v>
      </c>
      <c r="S501" t="s">
        <v>222</v>
      </c>
      <c r="T501" t="s">
        <v>531</v>
      </c>
      <c r="U501" t="s">
        <v>185</v>
      </c>
      <c r="V501" t="s">
        <v>955</v>
      </c>
      <c r="W501" t="s">
        <v>399</v>
      </c>
      <c r="X501" t="s">
        <v>181</v>
      </c>
      <c r="Y501" t="s">
        <v>181</v>
      </c>
      <c r="Z501" t="s">
        <v>218</v>
      </c>
      <c r="AA501" t="s">
        <v>181</v>
      </c>
      <c r="AB501" t="s">
        <v>218</v>
      </c>
      <c r="AC501" t="s">
        <v>181</v>
      </c>
      <c r="AD501" t="s">
        <v>120</v>
      </c>
      <c r="AE501" t="s">
        <v>205</v>
      </c>
      <c r="AF501" t="s">
        <v>181</v>
      </c>
      <c r="AG501" t="s">
        <v>205</v>
      </c>
      <c r="AH501" t="s">
        <v>1541</v>
      </c>
    </row>
    <row r="502" spans="1:34" x14ac:dyDescent="0.25">
      <c r="A502" t="s">
        <v>1571</v>
      </c>
      <c r="B502" t="s">
        <v>57</v>
      </c>
      <c r="C502" t="s">
        <v>86</v>
      </c>
      <c r="D502" t="s">
        <v>140</v>
      </c>
      <c r="E502">
        <v>27</v>
      </c>
      <c r="F502">
        <v>14</v>
      </c>
      <c r="G502" t="s">
        <v>1572</v>
      </c>
      <c r="H502" t="s">
        <v>707</v>
      </c>
      <c r="I502" t="s">
        <v>44</v>
      </c>
      <c r="J502" t="s">
        <v>114</v>
      </c>
      <c r="K502" t="s">
        <v>83</v>
      </c>
      <c r="L502" t="s">
        <v>44</v>
      </c>
      <c r="M502" t="s">
        <v>43</v>
      </c>
      <c r="N502" t="s">
        <v>43</v>
      </c>
      <c r="O502" t="s">
        <v>44</v>
      </c>
      <c r="P502" t="s">
        <v>43</v>
      </c>
      <c r="Q502" t="s">
        <v>200</v>
      </c>
      <c r="R502" t="s">
        <v>200</v>
      </c>
      <c r="S502" t="s">
        <v>222</v>
      </c>
      <c r="T502" t="s">
        <v>199</v>
      </c>
      <c r="U502" t="s">
        <v>233</v>
      </c>
      <c r="V502" t="s">
        <v>147</v>
      </c>
      <c r="W502" t="s">
        <v>401</v>
      </c>
      <c r="X502" t="s">
        <v>181</v>
      </c>
      <c r="Y502" t="s">
        <v>103</v>
      </c>
      <c r="Z502" t="s">
        <v>163</v>
      </c>
      <c r="AA502" t="s">
        <v>181</v>
      </c>
      <c r="AB502" t="s">
        <v>163</v>
      </c>
      <c r="AC502" t="s">
        <v>120</v>
      </c>
      <c r="AD502" t="s">
        <v>82</v>
      </c>
      <c r="AE502" t="s">
        <v>194</v>
      </c>
      <c r="AF502" t="s">
        <v>120</v>
      </c>
      <c r="AG502" t="s">
        <v>194</v>
      </c>
      <c r="AH502" t="s">
        <v>1541</v>
      </c>
    </row>
    <row r="503" spans="1:34" x14ac:dyDescent="0.25">
      <c r="A503" t="s">
        <v>1573</v>
      </c>
      <c r="B503" t="s">
        <v>432</v>
      </c>
      <c r="C503" t="s">
        <v>108</v>
      </c>
      <c r="D503" t="s">
        <v>123</v>
      </c>
      <c r="E503">
        <v>14</v>
      </c>
      <c r="F503">
        <v>14</v>
      </c>
      <c r="G503" t="s">
        <v>1574</v>
      </c>
      <c r="H503" t="s">
        <v>90</v>
      </c>
      <c r="I503" t="s">
        <v>44</v>
      </c>
      <c r="J503" t="s">
        <v>44</v>
      </c>
      <c r="K503" t="s">
        <v>63</v>
      </c>
      <c r="L503" t="s">
        <v>44</v>
      </c>
      <c r="M503" t="s">
        <v>43</v>
      </c>
      <c r="N503" t="s">
        <v>43</v>
      </c>
      <c r="O503" t="s">
        <v>83</v>
      </c>
      <c r="P503" t="s">
        <v>43</v>
      </c>
      <c r="Q503" t="s">
        <v>254</v>
      </c>
      <c r="R503" t="s">
        <v>254</v>
      </c>
      <c r="S503" t="s">
        <v>70</v>
      </c>
      <c r="T503" t="s">
        <v>164</v>
      </c>
      <c r="U503" t="s">
        <v>126</v>
      </c>
      <c r="V503" t="s">
        <v>225</v>
      </c>
      <c r="W503" t="s">
        <v>63</v>
      </c>
      <c r="X503" t="s">
        <v>242</v>
      </c>
      <c r="Y503" t="s">
        <v>242</v>
      </c>
      <c r="Z503" t="s">
        <v>156</v>
      </c>
      <c r="AA503" t="s">
        <v>242</v>
      </c>
      <c r="AB503" t="s">
        <v>156</v>
      </c>
      <c r="AC503" t="s">
        <v>242</v>
      </c>
      <c r="AD503" t="s">
        <v>168</v>
      </c>
      <c r="AE503" t="s">
        <v>118</v>
      </c>
      <c r="AF503" t="s">
        <v>242</v>
      </c>
      <c r="AG503" t="s">
        <v>118</v>
      </c>
      <c r="AH503" t="s">
        <v>1541</v>
      </c>
    </row>
    <row r="504" spans="1:34" x14ac:dyDescent="0.25">
      <c r="A504" t="s">
        <v>1575</v>
      </c>
      <c r="B504" t="s">
        <v>1407</v>
      </c>
      <c r="C504" t="s">
        <v>36</v>
      </c>
      <c r="D504" t="s">
        <v>78</v>
      </c>
      <c r="E504">
        <v>13</v>
      </c>
      <c r="F504">
        <v>13</v>
      </c>
      <c r="G504" t="s">
        <v>1576</v>
      </c>
      <c r="H504" t="s">
        <v>1577</v>
      </c>
      <c r="I504" t="s">
        <v>43</v>
      </c>
      <c r="J504" t="s">
        <v>43</v>
      </c>
      <c r="K504" t="s">
        <v>43</v>
      </c>
      <c r="L504" t="s">
        <v>43</v>
      </c>
      <c r="M504" t="s">
        <v>43</v>
      </c>
      <c r="N504" t="s">
        <v>43</v>
      </c>
      <c r="O504" t="s">
        <v>81</v>
      </c>
      <c r="P504" t="s">
        <v>43</v>
      </c>
      <c r="Q504" t="s">
        <v>241</v>
      </c>
      <c r="R504" t="s">
        <v>241</v>
      </c>
      <c r="S504" t="s">
        <v>112</v>
      </c>
      <c r="T504" t="s">
        <v>70</v>
      </c>
      <c r="U504" t="s">
        <v>44</v>
      </c>
      <c r="V504" t="s">
        <v>180</v>
      </c>
      <c r="W504" t="s">
        <v>81</v>
      </c>
      <c r="X504" t="s">
        <v>43</v>
      </c>
      <c r="Y504" t="s">
        <v>43</v>
      </c>
      <c r="Z504" t="s">
        <v>43</v>
      </c>
      <c r="AA504" t="s">
        <v>43</v>
      </c>
      <c r="AB504" t="s">
        <v>43</v>
      </c>
      <c r="AC504" t="s">
        <v>119</v>
      </c>
      <c r="AD504" t="s">
        <v>358</v>
      </c>
      <c r="AE504" t="s">
        <v>168</v>
      </c>
      <c r="AF504" t="s">
        <v>119</v>
      </c>
      <c r="AG504" t="s">
        <v>168</v>
      </c>
      <c r="AH504" t="s">
        <v>1541</v>
      </c>
    </row>
    <row r="505" spans="1:34" x14ac:dyDescent="0.25">
      <c r="A505" t="s">
        <v>1578</v>
      </c>
      <c r="B505" t="s">
        <v>360</v>
      </c>
      <c r="C505" t="s">
        <v>86</v>
      </c>
      <c r="D505" t="s">
        <v>268</v>
      </c>
      <c r="E505">
        <v>19</v>
      </c>
      <c r="F505">
        <v>12</v>
      </c>
      <c r="G505" t="s">
        <v>1579</v>
      </c>
      <c r="H505" t="s">
        <v>130</v>
      </c>
      <c r="I505" t="s">
        <v>63</v>
      </c>
      <c r="J505" t="s">
        <v>43</v>
      </c>
      <c r="K505" t="s">
        <v>63</v>
      </c>
      <c r="L505" t="s">
        <v>63</v>
      </c>
      <c r="M505" t="s">
        <v>43</v>
      </c>
      <c r="N505" t="s">
        <v>43</v>
      </c>
      <c r="O505" t="s">
        <v>83</v>
      </c>
      <c r="P505" t="s">
        <v>43</v>
      </c>
      <c r="Q505" t="s">
        <v>282</v>
      </c>
      <c r="R505" t="s">
        <v>282</v>
      </c>
      <c r="S505" t="s">
        <v>378</v>
      </c>
      <c r="T505" t="s">
        <v>267</v>
      </c>
      <c r="U505" t="s">
        <v>268</v>
      </c>
      <c r="V505" t="s">
        <v>62</v>
      </c>
      <c r="W505" t="s">
        <v>273</v>
      </c>
      <c r="X505" t="s">
        <v>151</v>
      </c>
      <c r="Y505" t="s">
        <v>43</v>
      </c>
      <c r="Z505" t="s">
        <v>151</v>
      </c>
      <c r="AA505" t="s">
        <v>151</v>
      </c>
      <c r="AB505" t="s">
        <v>151</v>
      </c>
      <c r="AC505" t="s">
        <v>50</v>
      </c>
      <c r="AD505" t="s">
        <v>169</v>
      </c>
      <c r="AE505" t="s">
        <v>163</v>
      </c>
      <c r="AF505" t="s">
        <v>50</v>
      </c>
      <c r="AG505" t="s">
        <v>163</v>
      </c>
      <c r="AH505" t="s">
        <v>1541</v>
      </c>
    </row>
    <row r="506" spans="1:34" x14ac:dyDescent="0.25">
      <c r="A506" t="s">
        <v>1580</v>
      </c>
      <c r="B506" t="s">
        <v>1424</v>
      </c>
      <c r="C506" t="s">
        <v>36</v>
      </c>
      <c r="D506" t="s">
        <v>263</v>
      </c>
      <c r="E506">
        <v>27</v>
      </c>
      <c r="F506">
        <v>11</v>
      </c>
      <c r="G506" t="s">
        <v>1581</v>
      </c>
      <c r="H506" t="s">
        <v>1175</v>
      </c>
      <c r="I506" t="s">
        <v>43</v>
      </c>
      <c r="J506" t="s">
        <v>43</v>
      </c>
      <c r="K506" t="s">
        <v>43</v>
      </c>
      <c r="L506" t="s">
        <v>43</v>
      </c>
      <c r="M506" t="s">
        <v>43</v>
      </c>
      <c r="N506" t="s">
        <v>43</v>
      </c>
      <c r="O506" t="s">
        <v>44</v>
      </c>
      <c r="P506" t="s">
        <v>43</v>
      </c>
      <c r="Q506" t="s">
        <v>70</v>
      </c>
      <c r="R506" t="s">
        <v>70</v>
      </c>
      <c r="S506" t="s">
        <v>112</v>
      </c>
      <c r="T506" t="s">
        <v>254</v>
      </c>
      <c r="U506" t="s">
        <v>231</v>
      </c>
      <c r="V506" t="s">
        <v>165</v>
      </c>
      <c r="W506" t="s">
        <v>127</v>
      </c>
      <c r="X506" t="s">
        <v>43</v>
      </c>
      <c r="Y506" t="s">
        <v>43</v>
      </c>
      <c r="Z506" t="s">
        <v>43</v>
      </c>
      <c r="AA506" t="s">
        <v>43</v>
      </c>
      <c r="AB506" t="s">
        <v>43</v>
      </c>
      <c r="AC506" t="s">
        <v>168</v>
      </c>
      <c r="AD506" t="s">
        <v>193</v>
      </c>
      <c r="AE506" t="s">
        <v>120</v>
      </c>
      <c r="AF506" t="s">
        <v>168</v>
      </c>
      <c r="AG506" t="s">
        <v>120</v>
      </c>
      <c r="AH506" t="s">
        <v>1541</v>
      </c>
    </row>
    <row r="507" spans="1:34" x14ac:dyDescent="0.25">
      <c r="A507" t="s">
        <v>1582</v>
      </c>
      <c r="B507" t="s">
        <v>354</v>
      </c>
      <c r="C507" t="s">
        <v>108</v>
      </c>
      <c r="D507" t="s">
        <v>201</v>
      </c>
      <c r="E507">
        <v>10</v>
      </c>
      <c r="F507">
        <v>6</v>
      </c>
      <c r="G507" t="s">
        <v>1205</v>
      </c>
      <c r="H507" t="s">
        <v>672</v>
      </c>
      <c r="I507" t="s">
        <v>43</v>
      </c>
      <c r="J507" t="s">
        <v>43</v>
      </c>
      <c r="K507" t="s">
        <v>43</v>
      </c>
      <c r="L507" t="s">
        <v>43</v>
      </c>
      <c r="M507" t="s">
        <v>43</v>
      </c>
      <c r="N507" t="s">
        <v>43</v>
      </c>
      <c r="O507" t="s">
        <v>43</v>
      </c>
      <c r="P507" t="s">
        <v>43</v>
      </c>
      <c r="Q507" t="s">
        <v>82</v>
      </c>
      <c r="R507" t="s">
        <v>82</v>
      </c>
      <c r="S507" t="s">
        <v>378</v>
      </c>
      <c r="T507" t="s">
        <v>259</v>
      </c>
      <c r="U507" t="s">
        <v>114</v>
      </c>
      <c r="V507" t="s">
        <v>185</v>
      </c>
      <c r="W507" t="s">
        <v>167</v>
      </c>
      <c r="X507" t="s">
        <v>43</v>
      </c>
      <c r="Y507" t="s">
        <v>43</v>
      </c>
      <c r="Z507" t="s">
        <v>43</v>
      </c>
      <c r="AA507" t="s">
        <v>43</v>
      </c>
      <c r="AB507" t="s">
        <v>43</v>
      </c>
      <c r="AC507" t="s">
        <v>182</v>
      </c>
      <c r="AD507" t="s">
        <v>82</v>
      </c>
      <c r="AE507" t="s">
        <v>53</v>
      </c>
      <c r="AF507" t="s">
        <v>182</v>
      </c>
      <c r="AG507" t="s">
        <v>53</v>
      </c>
      <c r="AH507" t="s">
        <v>1541</v>
      </c>
    </row>
    <row r="508" spans="1:34" x14ac:dyDescent="0.25">
      <c r="A508" t="s">
        <v>1583</v>
      </c>
      <c r="B508" t="s">
        <v>57</v>
      </c>
      <c r="C508" t="s">
        <v>172</v>
      </c>
      <c r="D508" t="s">
        <v>59</v>
      </c>
      <c r="E508">
        <v>11</v>
      </c>
      <c r="F508">
        <v>5</v>
      </c>
      <c r="G508" t="s">
        <v>1584</v>
      </c>
      <c r="H508" t="s">
        <v>811</v>
      </c>
      <c r="I508" t="s">
        <v>43</v>
      </c>
      <c r="J508" t="s">
        <v>43</v>
      </c>
      <c r="K508" t="s">
        <v>43</v>
      </c>
      <c r="L508" t="s">
        <v>43</v>
      </c>
      <c r="M508" t="s">
        <v>43</v>
      </c>
      <c r="N508" t="s">
        <v>43</v>
      </c>
      <c r="O508" t="s">
        <v>43</v>
      </c>
      <c r="P508" t="s">
        <v>43</v>
      </c>
      <c r="Q508" t="s">
        <v>82</v>
      </c>
      <c r="R508" t="s">
        <v>82</v>
      </c>
      <c r="S508" t="s">
        <v>241</v>
      </c>
      <c r="T508" t="s">
        <v>163</v>
      </c>
      <c r="U508" t="s">
        <v>41</v>
      </c>
      <c r="V508" t="s">
        <v>42</v>
      </c>
      <c r="W508" t="s">
        <v>263</v>
      </c>
      <c r="X508" t="s">
        <v>43</v>
      </c>
      <c r="Y508" t="s">
        <v>43</v>
      </c>
      <c r="Z508" t="s">
        <v>43</v>
      </c>
      <c r="AA508" t="s">
        <v>43</v>
      </c>
      <c r="AB508" t="s">
        <v>43</v>
      </c>
      <c r="AC508" t="s">
        <v>182</v>
      </c>
      <c r="AD508" t="s">
        <v>193</v>
      </c>
      <c r="AE508" t="s">
        <v>169</v>
      </c>
      <c r="AF508" t="s">
        <v>182</v>
      </c>
      <c r="AG508" t="s">
        <v>169</v>
      </c>
      <c r="AH508" t="s">
        <v>1541</v>
      </c>
    </row>
    <row r="509" spans="1:34" x14ac:dyDescent="0.25">
      <c r="A509" t="s">
        <v>1585</v>
      </c>
      <c r="B509" t="s">
        <v>57</v>
      </c>
      <c r="C509" t="s">
        <v>172</v>
      </c>
      <c r="D509" t="s">
        <v>148</v>
      </c>
      <c r="E509">
        <v>8</v>
      </c>
      <c r="F509">
        <v>4</v>
      </c>
      <c r="G509" t="s">
        <v>1586</v>
      </c>
      <c r="H509" t="s">
        <v>189</v>
      </c>
      <c r="I509" t="s">
        <v>43</v>
      </c>
      <c r="J509" t="s">
        <v>43</v>
      </c>
      <c r="K509" t="s">
        <v>43</v>
      </c>
      <c r="L509" t="s">
        <v>43</v>
      </c>
      <c r="M509" t="s">
        <v>43</v>
      </c>
      <c r="N509" t="s">
        <v>43</v>
      </c>
      <c r="O509" t="s">
        <v>44</v>
      </c>
      <c r="P509" t="s">
        <v>43</v>
      </c>
      <c r="Q509" t="s">
        <v>241</v>
      </c>
      <c r="R509" t="s">
        <v>241</v>
      </c>
      <c r="S509" t="s">
        <v>82</v>
      </c>
      <c r="T509" t="s">
        <v>163</v>
      </c>
      <c r="U509" t="s">
        <v>41</v>
      </c>
      <c r="V509" t="s">
        <v>126</v>
      </c>
      <c r="W509" t="s">
        <v>185</v>
      </c>
      <c r="X509" t="s">
        <v>43</v>
      </c>
      <c r="Y509" t="s">
        <v>43</v>
      </c>
      <c r="Z509" t="s">
        <v>43</v>
      </c>
      <c r="AA509" t="s">
        <v>43</v>
      </c>
      <c r="AB509" t="s">
        <v>43</v>
      </c>
      <c r="AC509" t="s">
        <v>193</v>
      </c>
      <c r="AD509" t="s">
        <v>182</v>
      </c>
      <c r="AE509" t="s">
        <v>169</v>
      </c>
      <c r="AF509" t="s">
        <v>193</v>
      </c>
      <c r="AG509" t="s">
        <v>169</v>
      </c>
      <c r="AH509" t="s">
        <v>1541</v>
      </c>
    </row>
    <row r="510" spans="1:34" x14ac:dyDescent="0.25">
      <c r="A510" t="s">
        <v>1587</v>
      </c>
      <c r="B510" t="s">
        <v>804</v>
      </c>
      <c r="C510" t="s">
        <v>108</v>
      </c>
      <c r="D510" t="s">
        <v>268</v>
      </c>
      <c r="E510">
        <v>8</v>
      </c>
      <c r="F510">
        <v>4</v>
      </c>
      <c r="G510" t="s">
        <v>1588</v>
      </c>
      <c r="H510" t="s">
        <v>283</v>
      </c>
      <c r="I510" t="s">
        <v>44</v>
      </c>
      <c r="J510" t="s">
        <v>43</v>
      </c>
      <c r="K510" t="s">
        <v>44</v>
      </c>
      <c r="L510" t="s">
        <v>44</v>
      </c>
      <c r="M510" t="s">
        <v>43</v>
      </c>
      <c r="N510" t="s">
        <v>43</v>
      </c>
      <c r="O510" t="s">
        <v>44</v>
      </c>
      <c r="P510" t="s">
        <v>43</v>
      </c>
      <c r="Q510" t="s">
        <v>163</v>
      </c>
      <c r="R510" t="s">
        <v>163</v>
      </c>
      <c r="S510" t="s">
        <v>43</v>
      </c>
      <c r="T510" t="s">
        <v>163</v>
      </c>
      <c r="U510" t="s">
        <v>43</v>
      </c>
      <c r="V510" t="s">
        <v>142</v>
      </c>
      <c r="W510" t="s">
        <v>44</v>
      </c>
      <c r="X510" t="s">
        <v>402</v>
      </c>
      <c r="Y510" t="s">
        <v>43</v>
      </c>
      <c r="Z510" t="s">
        <v>402</v>
      </c>
      <c r="AA510" t="s">
        <v>402</v>
      </c>
      <c r="AB510" t="s">
        <v>402</v>
      </c>
      <c r="AC510" t="s">
        <v>169</v>
      </c>
      <c r="AD510" t="s">
        <v>43</v>
      </c>
      <c r="AE510" t="s">
        <v>169</v>
      </c>
      <c r="AF510" t="s">
        <v>169</v>
      </c>
      <c r="AG510" t="s">
        <v>169</v>
      </c>
      <c r="AH510" t="s">
        <v>1541</v>
      </c>
    </row>
    <row r="511" spans="1:34" x14ac:dyDescent="0.25">
      <c r="A511" t="s">
        <v>1589</v>
      </c>
      <c r="B511" t="s">
        <v>57</v>
      </c>
      <c r="C511" t="s">
        <v>58</v>
      </c>
      <c r="D511" t="s">
        <v>123</v>
      </c>
      <c r="E511">
        <v>24</v>
      </c>
      <c r="F511">
        <v>2</v>
      </c>
      <c r="G511" t="s">
        <v>1590</v>
      </c>
      <c r="H511" t="s">
        <v>629</v>
      </c>
      <c r="I511" t="s">
        <v>44</v>
      </c>
      <c r="J511" t="s">
        <v>44</v>
      </c>
      <c r="K511" t="s">
        <v>63</v>
      </c>
      <c r="L511" t="s">
        <v>44</v>
      </c>
      <c r="M511" t="s">
        <v>43</v>
      </c>
      <c r="N511" t="s">
        <v>43</v>
      </c>
      <c r="O511" t="s">
        <v>63</v>
      </c>
      <c r="P511" t="s">
        <v>43</v>
      </c>
      <c r="Q511" t="s">
        <v>162</v>
      </c>
      <c r="R511" t="s">
        <v>162</v>
      </c>
      <c r="S511" t="s">
        <v>200</v>
      </c>
      <c r="T511" t="s">
        <v>113</v>
      </c>
      <c r="U511" t="s">
        <v>142</v>
      </c>
      <c r="V511" t="s">
        <v>126</v>
      </c>
      <c r="W511" t="s">
        <v>272</v>
      </c>
      <c r="X511" t="s">
        <v>134</v>
      </c>
      <c r="Y511" t="s">
        <v>134</v>
      </c>
      <c r="Z511" t="s">
        <v>318</v>
      </c>
      <c r="AA511" t="s">
        <v>134</v>
      </c>
      <c r="AB511" t="s">
        <v>318</v>
      </c>
      <c r="AC511" t="s">
        <v>163</v>
      </c>
      <c r="AD511" t="s">
        <v>50</v>
      </c>
      <c r="AE511" t="s">
        <v>320</v>
      </c>
      <c r="AF511" t="s">
        <v>163</v>
      </c>
      <c r="AG511" t="s">
        <v>320</v>
      </c>
      <c r="AH511" t="s">
        <v>1541</v>
      </c>
    </row>
    <row r="512" spans="1:34" x14ac:dyDescent="0.25">
      <c r="A512" t="s">
        <v>1591</v>
      </c>
      <c r="B512" t="s">
        <v>57</v>
      </c>
      <c r="C512" t="s">
        <v>524</v>
      </c>
      <c r="D512" t="s">
        <v>304</v>
      </c>
      <c r="E512">
        <v>17</v>
      </c>
      <c r="F512">
        <v>2</v>
      </c>
      <c r="G512" t="s">
        <v>1592</v>
      </c>
      <c r="H512" t="s">
        <v>297</v>
      </c>
      <c r="I512" t="s">
        <v>63</v>
      </c>
      <c r="J512" t="s">
        <v>44</v>
      </c>
      <c r="K512" t="s">
        <v>114</v>
      </c>
      <c r="L512" t="s">
        <v>63</v>
      </c>
      <c r="M512" t="s">
        <v>43</v>
      </c>
      <c r="N512" t="s">
        <v>43</v>
      </c>
      <c r="O512" t="s">
        <v>44</v>
      </c>
      <c r="P512" t="s">
        <v>43</v>
      </c>
      <c r="Q512" t="s">
        <v>44</v>
      </c>
      <c r="R512" t="s">
        <v>44</v>
      </c>
      <c r="S512" t="s">
        <v>163</v>
      </c>
      <c r="T512" t="s">
        <v>222</v>
      </c>
      <c r="U512" t="s">
        <v>44</v>
      </c>
      <c r="V512" t="s">
        <v>40</v>
      </c>
      <c r="W512" t="s">
        <v>142</v>
      </c>
      <c r="X512" t="s">
        <v>532</v>
      </c>
      <c r="Y512" t="s">
        <v>51</v>
      </c>
      <c r="Z512" t="s">
        <v>349</v>
      </c>
      <c r="AA512" t="s">
        <v>532</v>
      </c>
      <c r="AB512" t="s">
        <v>349</v>
      </c>
      <c r="AC512" t="s">
        <v>51</v>
      </c>
      <c r="AD512" t="s">
        <v>181</v>
      </c>
      <c r="AE512" t="s">
        <v>301</v>
      </c>
      <c r="AF512" t="s">
        <v>51</v>
      </c>
      <c r="AG512" t="s">
        <v>301</v>
      </c>
      <c r="AH512" t="s">
        <v>1541</v>
      </c>
    </row>
    <row r="513" spans="1:34" x14ac:dyDescent="0.25">
      <c r="A513" t="s">
        <v>1593</v>
      </c>
      <c r="B513" t="s">
        <v>57</v>
      </c>
      <c r="C513" t="s">
        <v>108</v>
      </c>
      <c r="D513" t="s">
        <v>42</v>
      </c>
      <c r="E513">
        <v>2</v>
      </c>
      <c r="F513">
        <v>0</v>
      </c>
      <c r="G513" t="s">
        <v>517</v>
      </c>
      <c r="H513" t="s">
        <v>398</v>
      </c>
      <c r="I513" t="s">
        <v>43</v>
      </c>
      <c r="J513" t="s">
        <v>43</v>
      </c>
      <c r="K513" t="s">
        <v>43</v>
      </c>
      <c r="L513" t="s">
        <v>43</v>
      </c>
      <c r="M513" t="s">
        <v>43</v>
      </c>
      <c r="N513" t="s">
        <v>43</v>
      </c>
      <c r="O513" t="s">
        <v>44</v>
      </c>
      <c r="P513" t="s">
        <v>43</v>
      </c>
      <c r="Q513" t="s">
        <v>43</v>
      </c>
      <c r="R513" t="s">
        <v>43</v>
      </c>
      <c r="S513" t="s">
        <v>43</v>
      </c>
      <c r="T513" t="s">
        <v>43</v>
      </c>
      <c r="U513" t="s">
        <v>43</v>
      </c>
      <c r="V513" t="s">
        <v>63</v>
      </c>
      <c r="W513" t="s">
        <v>44</v>
      </c>
      <c r="X513" t="s">
        <v>43</v>
      </c>
      <c r="Y513" t="s">
        <v>43</v>
      </c>
      <c r="Z513" t="s">
        <v>43</v>
      </c>
      <c r="AA513" t="s">
        <v>43</v>
      </c>
      <c r="AB513" t="s">
        <v>43</v>
      </c>
      <c r="AC513" t="s">
        <v>43</v>
      </c>
      <c r="AD513" t="s">
        <v>43</v>
      </c>
      <c r="AE513" t="s">
        <v>43</v>
      </c>
      <c r="AF513" t="s">
        <v>43</v>
      </c>
      <c r="AG513" t="s">
        <v>43</v>
      </c>
      <c r="AH513" t="s">
        <v>1541</v>
      </c>
    </row>
    <row r="514" spans="1:34" x14ac:dyDescent="0.25">
      <c r="A514" t="s">
        <v>1594</v>
      </c>
      <c r="B514" t="s">
        <v>57</v>
      </c>
      <c r="C514" t="s">
        <v>77</v>
      </c>
      <c r="D514" t="s">
        <v>140</v>
      </c>
      <c r="E514">
        <v>1</v>
      </c>
      <c r="F514">
        <v>0</v>
      </c>
      <c r="G514" t="s">
        <v>127</v>
      </c>
      <c r="H514" t="s">
        <v>241</v>
      </c>
      <c r="I514" t="s">
        <v>43</v>
      </c>
      <c r="J514" t="s">
        <v>43</v>
      </c>
      <c r="K514" t="s">
        <v>43</v>
      </c>
      <c r="L514" t="s">
        <v>43</v>
      </c>
      <c r="M514" t="s">
        <v>43</v>
      </c>
      <c r="N514" t="s">
        <v>43</v>
      </c>
      <c r="O514" t="s">
        <v>43</v>
      </c>
      <c r="P514" t="s">
        <v>43</v>
      </c>
      <c r="Q514" t="s">
        <v>43</v>
      </c>
      <c r="R514" t="s">
        <v>43</v>
      </c>
      <c r="S514" t="s">
        <v>43</v>
      </c>
      <c r="T514" t="s">
        <v>43</v>
      </c>
      <c r="U514" t="s">
        <v>43</v>
      </c>
      <c r="V514" t="s">
        <v>43</v>
      </c>
      <c r="W514" t="s">
        <v>43</v>
      </c>
      <c r="X514" t="s">
        <v>43</v>
      </c>
      <c r="Y514" t="s">
        <v>43</v>
      </c>
      <c r="Z514" t="s">
        <v>43</v>
      </c>
      <c r="AA514" t="s">
        <v>43</v>
      </c>
      <c r="AB514" t="s">
        <v>43</v>
      </c>
      <c r="AC514" t="s">
        <v>43</v>
      </c>
      <c r="AD514" t="s">
        <v>43</v>
      </c>
      <c r="AE514" t="s">
        <v>43</v>
      </c>
      <c r="AF514" t="s">
        <v>43</v>
      </c>
      <c r="AG514" t="s">
        <v>43</v>
      </c>
      <c r="AH514" t="s">
        <v>1541</v>
      </c>
    </row>
    <row r="515" spans="1:34" x14ac:dyDescent="0.25">
      <c r="A515" t="s">
        <v>1595</v>
      </c>
      <c r="B515" t="s">
        <v>57</v>
      </c>
      <c r="C515" t="s">
        <v>524</v>
      </c>
      <c r="D515" t="s">
        <v>203</v>
      </c>
      <c r="E515">
        <v>2</v>
      </c>
      <c r="F515">
        <v>0</v>
      </c>
      <c r="G515" t="s">
        <v>142</v>
      </c>
      <c r="H515" t="s">
        <v>82</v>
      </c>
      <c r="I515" t="s">
        <v>43</v>
      </c>
      <c r="J515" t="s">
        <v>43</v>
      </c>
      <c r="K515" t="s">
        <v>43</v>
      </c>
      <c r="L515" t="s">
        <v>43</v>
      </c>
      <c r="M515" t="s">
        <v>43</v>
      </c>
      <c r="N515" t="s">
        <v>43</v>
      </c>
      <c r="O515" t="s">
        <v>43</v>
      </c>
      <c r="P515" t="s">
        <v>43</v>
      </c>
      <c r="Q515" t="s">
        <v>43</v>
      </c>
      <c r="R515" t="s">
        <v>43</v>
      </c>
      <c r="S515" t="s">
        <v>43</v>
      </c>
      <c r="T515" t="s">
        <v>43</v>
      </c>
      <c r="U515" t="s">
        <v>43</v>
      </c>
      <c r="V515" t="s">
        <v>43</v>
      </c>
      <c r="W515" t="s">
        <v>43</v>
      </c>
      <c r="X515" t="s">
        <v>43</v>
      </c>
      <c r="Y515" t="s">
        <v>43</v>
      </c>
      <c r="Z515" t="s">
        <v>43</v>
      </c>
      <c r="AA515" t="s">
        <v>43</v>
      </c>
      <c r="AB515" t="s">
        <v>43</v>
      </c>
      <c r="AC515" t="s">
        <v>43</v>
      </c>
      <c r="AD515" t="s">
        <v>43</v>
      </c>
      <c r="AE515" t="s">
        <v>43</v>
      </c>
      <c r="AF515" t="s">
        <v>43</v>
      </c>
      <c r="AG515" t="s">
        <v>43</v>
      </c>
      <c r="AH515" t="s">
        <v>1541</v>
      </c>
    </row>
    <row r="516" spans="1:34" x14ac:dyDescent="0.25">
      <c r="A516" t="s">
        <v>1596</v>
      </c>
      <c r="B516" t="s">
        <v>136</v>
      </c>
      <c r="C516" t="s">
        <v>36</v>
      </c>
      <c r="D516" t="s">
        <v>268</v>
      </c>
      <c r="E516">
        <v>37</v>
      </c>
      <c r="F516">
        <v>34</v>
      </c>
      <c r="G516" t="s">
        <v>1597</v>
      </c>
      <c r="H516" t="s">
        <v>1172</v>
      </c>
      <c r="I516" t="s">
        <v>44</v>
      </c>
      <c r="J516" t="s">
        <v>63</v>
      </c>
      <c r="K516" t="s">
        <v>114</v>
      </c>
      <c r="L516" t="s">
        <v>44</v>
      </c>
      <c r="M516" t="s">
        <v>43</v>
      </c>
      <c r="N516" t="s">
        <v>43</v>
      </c>
      <c r="O516" t="s">
        <v>231</v>
      </c>
      <c r="P516" t="s">
        <v>44</v>
      </c>
      <c r="Q516" t="s">
        <v>175</v>
      </c>
      <c r="R516" t="s">
        <v>175</v>
      </c>
      <c r="S516" t="s">
        <v>177</v>
      </c>
      <c r="T516" t="s">
        <v>145</v>
      </c>
      <c r="U516" t="s">
        <v>94</v>
      </c>
      <c r="V516" t="s">
        <v>971</v>
      </c>
      <c r="W516" t="s">
        <v>78</v>
      </c>
      <c r="X516" t="s">
        <v>358</v>
      </c>
      <c r="Y516" t="s">
        <v>169</v>
      </c>
      <c r="Z516" t="s">
        <v>120</v>
      </c>
      <c r="AA516" t="s">
        <v>358</v>
      </c>
      <c r="AB516" t="s">
        <v>120</v>
      </c>
      <c r="AC516" t="s">
        <v>169</v>
      </c>
      <c r="AD516" t="s">
        <v>181</v>
      </c>
      <c r="AE516" t="s">
        <v>118</v>
      </c>
      <c r="AF516" t="s">
        <v>169</v>
      </c>
      <c r="AG516" t="s">
        <v>118</v>
      </c>
      <c r="AH516" t="s">
        <v>1598</v>
      </c>
    </row>
    <row r="517" spans="1:34" x14ac:dyDescent="0.25">
      <c r="A517" t="s">
        <v>1599</v>
      </c>
      <c r="B517" t="s">
        <v>411</v>
      </c>
      <c r="C517" t="s">
        <v>108</v>
      </c>
      <c r="D517" t="s">
        <v>201</v>
      </c>
      <c r="E517">
        <v>33</v>
      </c>
      <c r="F517">
        <v>32</v>
      </c>
      <c r="G517" t="s">
        <v>1174</v>
      </c>
      <c r="H517" t="s">
        <v>661</v>
      </c>
      <c r="I517" t="s">
        <v>114</v>
      </c>
      <c r="J517" t="s">
        <v>83</v>
      </c>
      <c r="K517" t="s">
        <v>142</v>
      </c>
      <c r="L517" t="s">
        <v>114</v>
      </c>
      <c r="M517" t="s">
        <v>43</v>
      </c>
      <c r="N517" t="s">
        <v>43</v>
      </c>
      <c r="O517" t="s">
        <v>81</v>
      </c>
      <c r="P517" t="s">
        <v>44</v>
      </c>
      <c r="Q517" t="s">
        <v>378</v>
      </c>
      <c r="R517" t="s">
        <v>378</v>
      </c>
      <c r="S517" t="s">
        <v>63</v>
      </c>
      <c r="T517" t="s">
        <v>405</v>
      </c>
      <c r="U517" t="s">
        <v>140</v>
      </c>
      <c r="V517" t="s">
        <v>409</v>
      </c>
      <c r="W517" t="s">
        <v>231</v>
      </c>
      <c r="X517" t="s">
        <v>120</v>
      </c>
      <c r="Y517" t="s">
        <v>53</v>
      </c>
      <c r="Z517" t="s">
        <v>103</v>
      </c>
      <c r="AA517" t="s">
        <v>120</v>
      </c>
      <c r="AB517" t="s">
        <v>103</v>
      </c>
      <c r="AC517" t="s">
        <v>182</v>
      </c>
      <c r="AD517" t="s">
        <v>169</v>
      </c>
      <c r="AE517" t="s">
        <v>242</v>
      </c>
      <c r="AF517" t="s">
        <v>182</v>
      </c>
      <c r="AG517" t="s">
        <v>242</v>
      </c>
      <c r="AH517" t="s">
        <v>1598</v>
      </c>
    </row>
    <row r="518" spans="1:34" x14ac:dyDescent="0.25">
      <c r="A518" t="s">
        <v>1600</v>
      </c>
      <c r="B518" t="s">
        <v>57</v>
      </c>
      <c r="C518" t="s">
        <v>77</v>
      </c>
      <c r="D518" t="s">
        <v>141</v>
      </c>
      <c r="E518">
        <v>28</v>
      </c>
      <c r="F518">
        <v>28</v>
      </c>
      <c r="G518" t="s">
        <v>323</v>
      </c>
      <c r="H518" t="s">
        <v>123</v>
      </c>
      <c r="I518" t="s">
        <v>43</v>
      </c>
      <c r="J518" t="s">
        <v>43</v>
      </c>
      <c r="K518" t="s">
        <v>43</v>
      </c>
      <c r="L518" t="s">
        <v>43</v>
      </c>
      <c r="M518" t="s">
        <v>43</v>
      </c>
      <c r="N518" t="s">
        <v>43</v>
      </c>
      <c r="O518" t="s">
        <v>63</v>
      </c>
      <c r="P518" t="s">
        <v>43</v>
      </c>
      <c r="Q518" t="s">
        <v>43</v>
      </c>
      <c r="R518" t="s">
        <v>43</v>
      </c>
      <c r="S518" t="s">
        <v>43</v>
      </c>
      <c r="T518" t="s">
        <v>43</v>
      </c>
      <c r="U518" t="s">
        <v>43</v>
      </c>
      <c r="V518" t="s">
        <v>126</v>
      </c>
      <c r="W518" t="s">
        <v>43</v>
      </c>
      <c r="X518" t="s">
        <v>43</v>
      </c>
      <c r="Y518" t="s">
        <v>43</v>
      </c>
      <c r="Z518" t="s">
        <v>43</v>
      </c>
      <c r="AA518" t="s">
        <v>43</v>
      </c>
      <c r="AB518" t="s">
        <v>43</v>
      </c>
      <c r="AC518" t="s">
        <v>43</v>
      </c>
      <c r="AD518" t="s">
        <v>43</v>
      </c>
      <c r="AE518" t="s">
        <v>43</v>
      </c>
      <c r="AF518" t="s">
        <v>43</v>
      </c>
      <c r="AG518" t="s">
        <v>43</v>
      </c>
      <c r="AH518" t="s">
        <v>1598</v>
      </c>
    </row>
    <row r="519" spans="1:34" x14ac:dyDescent="0.25">
      <c r="A519" t="s">
        <v>1601</v>
      </c>
      <c r="B519" t="s">
        <v>171</v>
      </c>
      <c r="C519" t="s">
        <v>137</v>
      </c>
      <c r="D519" t="s">
        <v>272</v>
      </c>
      <c r="E519">
        <v>34</v>
      </c>
      <c r="F519">
        <v>27</v>
      </c>
      <c r="G519" t="s">
        <v>1602</v>
      </c>
      <c r="H519" t="s">
        <v>1603</v>
      </c>
      <c r="I519" t="s">
        <v>81</v>
      </c>
      <c r="J519" t="s">
        <v>44</v>
      </c>
      <c r="K519" t="s">
        <v>126</v>
      </c>
      <c r="L519" t="s">
        <v>83</v>
      </c>
      <c r="M519" t="s">
        <v>44</v>
      </c>
      <c r="N519" t="s">
        <v>44</v>
      </c>
      <c r="O519" t="s">
        <v>63</v>
      </c>
      <c r="P519" t="s">
        <v>43</v>
      </c>
      <c r="Q519" t="s">
        <v>337</v>
      </c>
      <c r="R519" t="s">
        <v>81</v>
      </c>
      <c r="S519" t="s">
        <v>162</v>
      </c>
      <c r="T519" t="s">
        <v>590</v>
      </c>
      <c r="U519" t="s">
        <v>190</v>
      </c>
      <c r="V519" t="s">
        <v>816</v>
      </c>
      <c r="W519" t="s">
        <v>67</v>
      </c>
      <c r="X519" t="s">
        <v>402</v>
      </c>
      <c r="Y519" t="s">
        <v>168</v>
      </c>
      <c r="Z519" t="s">
        <v>51</v>
      </c>
      <c r="AA519" t="s">
        <v>151</v>
      </c>
      <c r="AB519" t="s">
        <v>402</v>
      </c>
      <c r="AC519" t="s">
        <v>98</v>
      </c>
      <c r="AD519" t="s">
        <v>181</v>
      </c>
      <c r="AE519" t="s">
        <v>72</v>
      </c>
      <c r="AF519" t="s">
        <v>402</v>
      </c>
      <c r="AG519" t="s">
        <v>163</v>
      </c>
      <c r="AH519" t="s">
        <v>1598</v>
      </c>
    </row>
    <row r="520" spans="1:34" x14ac:dyDescent="0.25">
      <c r="A520" t="s">
        <v>1604</v>
      </c>
      <c r="B520" t="s">
        <v>76</v>
      </c>
      <c r="C520" t="s">
        <v>172</v>
      </c>
      <c r="D520" t="s">
        <v>201</v>
      </c>
      <c r="E520">
        <v>32</v>
      </c>
      <c r="F520">
        <v>26</v>
      </c>
      <c r="G520" t="s">
        <v>1605</v>
      </c>
      <c r="H520" t="s">
        <v>1606</v>
      </c>
      <c r="I520" t="s">
        <v>43</v>
      </c>
      <c r="J520" t="s">
        <v>63</v>
      </c>
      <c r="K520" t="s">
        <v>63</v>
      </c>
      <c r="L520" t="s">
        <v>43</v>
      </c>
      <c r="M520" t="s">
        <v>43</v>
      </c>
      <c r="N520" t="s">
        <v>43</v>
      </c>
      <c r="O520" t="s">
        <v>44</v>
      </c>
      <c r="P520" t="s">
        <v>43</v>
      </c>
      <c r="Q520" t="s">
        <v>223</v>
      </c>
      <c r="R520" t="s">
        <v>223</v>
      </c>
      <c r="S520" t="s">
        <v>222</v>
      </c>
      <c r="T520" t="s">
        <v>224</v>
      </c>
      <c r="U520" t="s">
        <v>623</v>
      </c>
      <c r="V520" t="s">
        <v>499</v>
      </c>
      <c r="W520" t="s">
        <v>1566</v>
      </c>
      <c r="X520" t="s">
        <v>43</v>
      </c>
      <c r="Y520" t="s">
        <v>242</v>
      </c>
      <c r="Z520" t="s">
        <v>242</v>
      </c>
      <c r="AA520" t="s">
        <v>43</v>
      </c>
      <c r="AB520" t="s">
        <v>242</v>
      </c>
      <c r="AC520" t="s">
        <v>169</v>
      </c>
      <c r="AD520" t="s">
        <v>168</v>
      </c>
      <c r="AE520" t="s">
        <v>204</v>
      </c>
      <c r="AF520" t="s">
        <v>169</v>
      </c>
      <c r="AG520" t="s">
        <v>204</v>
      </c>
      <c r="AH520" t="s">
        <v>1598</v>
      </c>
    </row>
    <row r="521" spans="1:34" x14ac:dyDescent="0.25">
      <c r="A521" t="s">
        <v>1607</v>
      </c>
      <c r="B521" t="s">
        <v>57</v>
      </c>
      <c r="C521" t="s">
        <v>108</v>
      </c>
      <c r="D521" t="s">
        <v>78</v>
      </c>
      <c r="E521">
        <v>28</v>
      </c>
      <c r="F521">
        <v>25</v>
      </c>
      <c r="G521" t="s">
        <v>1608</v>
      </c>
      <c r="H521" t="s">
        <v>187</v>
      </c>
      <c r="I521" t="s">
        <v>44</v>
      </c>
      <c r="J521" t="s">
        <v>44</v>
      </c>
      <c r="K521" t="s">
        <v>63</v>
      </c>
      <c r="L521" t="s">
        <v>44</v>
      </c>
      <c r="M521" t="s">
        <v>43</v>
      </c>
      <c r="N521" t="s">
        <v>43</v>
      </c>
      <c r="O521" t="s">
        <v>40</v>
      </c>
      <c r="P521" t="s">
        <v>43</v>
      </c>
      <c r="Q521" t="s">
        <v>241</v>
      </c>
      <c r="R521" t="s">
        <v>241</v>
      </c>
      <c r="S521" t="s">
        <v>200</v>
      </c>
      <c r="T521" t="s">
        <v>416</v>
      </c>
      <c r="U521" t="s">
        <v>180</v>
      </c>
      <c r="V521" t="s">
        <v>943</v>
      </c>
      <c r="W521" t="s">
        <v>1384</v>
      </c>
      <c r="X521" t="s">
        <v>193</v>
      </c>
      <c r="Y521" t="s">
        <v>193</v>
      </c>
      <c r="Z521" t="s">
        <v>242</v>
      </c>
      <c r="AA521" t="s">
        <v>193</v>
      </c>
      <c r="AB521" t="s">
        <v>242</v>
      </c>
      <c r="AC521" t="s">
        <v>119</v>
      </c>
      <c r="AD521" t="s">
        <v>168</v>
      </c>
      <c r="AE521" t="s">
        <v>169</v>
      </c>
      <c r="AF521" t="s">
        <v>119</v>
      </c>
      <c r="AG521" t="s">
        <v>169</v>
      </c>
      <c r="AH521" t="s">
        <v>1598</v>
      </c>
    </row>
    <row r="522" spans="1:34" x14ac:dyDescent="0.25">
      <c r="A522" t="s">
        <v>1609</v>
      </c>
      <c r="B522" t="s">
        <v>376</v>
      </c>
      <c r="C522" t="s">
        <v>86</v>
      </c>
      <c r="D522" t="s">
        <v>203</v>
      </c>
      <c r="E522">
        <v>29</v>
      </c>
      <c r="F522">
        <v>25</v>
      </c>
      <c r="G522" t="s">
        <v>1610</v>
      </c>
      <c r="H522" t="s">
        <v>1075</v>
      </c>
      <c r="I522" t="s">
        <v>114</v>
      </c>
      <c r="J522" t="s">
        <v>63</v>
      </c>
      <c r="K522" t="s">
        <v>81</v>
      </c>
      <c r="L522" t="s">
        <v>114</v>
      </c>
      <c r="M522" t="s">
        <v>43</v>
      </c>
      <c r="N522" t="s">
        <v>43</v>
      </c>
      <c r="O522" t="s">
        <v>114</v>
      </c>
      <c r="P522" t="s">
        <v>43</v>
      </c>
      <c r="Q522" t="s">
        <v>282</v>
      </c>
      <c r="R522" t="s">
        <v>282</v>
      </c>
      <c r="S522" t="s">
        <v>382</v>
      </c>
      <c r="T522" t="s">
        <v>487</v>
      </c>
      <c r="U522" t="s">
        <v>578</v>
      </c>
      <c r="V522" t="s">
        <v>260</v>
      </c>
      <c r="W522" t="s">
        <v>1415</v>
      </c>
      <c r="X522" t="s">
        <v>118</v>
      </c>
      <c r="Y522" t="s">
        <v>120</v>
      </c>
      <c r="Z522" t="s">
        <v>134</v>
      </c>
      <c r="AA522" t="s">
        <v>118</v>
      </c>
      <c r="AB522" t="s">
        <v>134</v>
      </c>
      <c r="AC522" t="s">
        <v>53</v>
      </c>
      <c r="AD522" t="s">
        <v>218</v>
      </c>
      <c r="AE522" t="s">
        <v>73</v>
      </c>
      <c r="AF522" t="s">
        <v>53</v>
      </c>
      <c r="AG522" t="s">
        <v>73</v>
      </c>
      <c r="AH522" t="s">
        <v>1598</v>
      </c>
    </row>
    <row r="523" spans="1:34" x14ac:dyDescent="0.25">
      <c r="A523" t="s">
        <v>1611</v>
      </c>
      <c r="B523" t="s">
        <v>57</v>
      </c>
      <c r="C523" t="s">
        <v>36</v>
      </c>
      <c r="D523" t="s">
        <v>37</v>
      </c>
      <c r="E523">
        <v>33</v>
      </c>
      <c r="F523">
        <v>23</v>
      </c>
      <c r="G523" t="s">
        <v>1612</v>
      </c>
      <c r="H523" t="s">
        <v>268</v>
      </c>
      <c r="I523" t="s">
        <v>83</v>
      </c>
      <c r="J523" t="s">
        <v>63</v>
      </c>
      <c r="K523" t="s">
        <v>126</v>
      </c>
      <c r="L523" t="s">
        <v>83</v>
      </c>
      <c r="M523" t="s">
        <v>43</v>
      </c>
      <c r="N523" t="s">
        <v>43</v>
      </c>
      <c r="O523" t="s">
        <v>83</v>
      </c>
      <c r="P523" t="s">
        <v>44</v>
      </c>
      <c r="Q523" t="s">
        <v>175</v>
      </c>
      <c r="R523" t="s">
        <v>175</v>
      </c>
      <c r="S523" t="s">
        <v>246</v>
      </c>
      <c r="T523" t="s">
        <v>83</v>
      </c>
      <c r="U523" t="s">
        <v>62</v>
      </c>
      <c r="V523" t="s">
        <v>735</v>
      </c>
      <c r="W523" t="s">
        <v>180</v>
      </c>
      <c r="X523" t="s">
        <v>205</v>
      </c>
      <c r="Y523" t="s">
        <v>242</v>
      </c>
      <c r="Z523" t="s">
        <v>54</v>
      </c>
      <c r="AA523" t="s">
        <v>205</v>
      </c>
      <c r="AB523" t="s">
        <v>54</v>
      </c>
      <c r="AC523" t="s">
        <v>242</v>
      </c>
      <c r="AD523" t="s">
        <v>242</v>
      </c>
      <c r="AE523" t="s">
        <v>205</v>
      </c>
      <c r="AF523" t="s">
        <v>242</v>
      </c>
      <c r="AG523" t="s">
        <v>205</v>
      </c>
      <c r="AH523" t="s">
        <v>1598</v>
      </c>
    </row>
    <row r="524" spans="1:34" x14ac:dyDescent="0.25">
      <c r="A524" t="s">
        <v>1613</v>
      </c>
      <c r="B524" t="s">
        <v>411</v>
      </c>
      <c r="C524" t="s">
        <v>36</v>
      </c>
      <c r="D524" t="s">
        <v>37</v>
      </c>
      <c r="E524">
        <v>25</v>
      </c>
      <c r="F524">
        <v>23</v>
      </c>
      <c r="G524" t="s">
        <v>1614</v>
      </c>
      <c r="H524" t="s">
        <v>144</v>
      </c>
      <c r="I524" t="s">
        <v>63</v>
      </c>
      <c r="J524" t="s">
        <v>114</v>
      </c>
      <c r="K524" t="s">
        <v>81</v>
      </c>
      <c r="L524" t="s">
        <v>63</v>
      </c>
      <c r="M524" t="s">
        <v>43</v>
      </c>
      <c r="N524" t="s">
        <v>43</v>
      </c>
      <c r="O524" t="s">
        <v>41</v>
      </c>
      <c r="P524" t="s">
        <v>43</v>
      </c>
      <c r="Q524" t="s">
        <v>70</v>
      </c>
      <c r="R524" t="s">
        <v>70</v>
      </c>
      <c r="S524" t="s">
        <v>255</v>
      </c>
      <c r="T524" t="s">
        <v>177</v>
      </c>
      <c r="U524" t="s">
        <v>272</v>
      </c>
      <c r="V524" t="s">
        <v>1415</v>
      </c>
      <c r="W524" t="s">
        <v>272</v>
      </c>
      <c r="X524" t="s">
        <v>120</v>
      </c>
      <c r="Y524" t="s">
        <v>118</v>
      </c>
      <c r="Z524" t="s">
        <v>103</v>
      </c>
      <c r="AA524" t="s">
        <v>120</v>
      </c>
      <c r="AB524" t="s">
        <v>103</v>
      </c>
      <c r="AC524" t="s">
        <v>358</v>
      </c>
      <c r="AD524" t="s">
        <v>242</v>
      </c>
      <c r="AE524" t="s">
        <v>204</v>
      </c>
      <c r="AF524" t="s">
        <v>358</v>
      </c>
      <c r="AG524" t="s">
        <v>204</v>
      </c>
      <c r="AH524" t="s">
        <v>1598</v>
      </c>
    </row>
    <row r="525" spans="1:34" x14ac:dyDescent="0.25">
      <c r="A525" t="s">
        <v>1615</v>
      </c>
      <c r="B525" t="s">
        <v>1616</v>
      </c>
      <c r="C525" t="s">
        <v>58</v>
      </c>
      <c r="D525" t="s">
        <v>272</v>
      </c>
      <c r="E525">
        <v>24</v>
      </c>
      <c r="F525">
        <v>22</v>
      </c>
      <c r="G525" t="s">
        <v>1617</v>
      </c>
      <c r="H525" t="s">
        <v>860</v>
      </c>
      <c r="I525" t="s">
        <v>81</v>
      </c>
      <c r="J525" t="s">
        <v>114</v>
      </c>
      <c r="K525" t="s">
        <v>40</v>
      </c>
      <c r="L525" t="s">
        <v>81</v>
      </c>
      <c r="M525" t="s">
        <v>43</v>
      </c>
      <c r="N525" t="s">
        <v>43</v>
      </c>
      <c r="O525" t="s">
        <v>43</v>
      </c>
      <c r="P525" t="s">
        <v>44</v>
      </c>
      <c r="Q525" t="s">
        <v>189</v>
      </c>
      <c r="R525" t="s">
        <v>189</v>
      </c>
      <c r="S525" t="s">
        <v>175</v>
      </c>
      <c r="T525" t="s">
        <v>92</v>
      </c>
      <c r="U525" t="s">
        <v>49</v>
      </c>
      <c r="V525" t="s">
        <v>225</v>
      </c>
      <c r="W525" t="s">
        <v>1024</v>
      </c>
      <c r="X525" t="s">
        <v>54</v>
      </c>
      <c r="Y525" t="s">
        <v>218</v>
      </c>
      <c r="Z525" t="s">
        <v>510</v>
      </c>
      <c r="AA525" t="s">
        <v>54</v>
      </c>
      <c r="AB525" t="s">
        <v>510</v>
      </c>
      <c r="AC525" t="s">
        <v>134</v>
      </c>
      <c r="AD525" t="s">
        <v>120</v>
      </c>
      <c r="AE525" t="s">
        <v>163</v>
      </c>
      <c r="AF525" t="s">
        <v>134</v>
      </c>
      <c r="AG525" t="s">
        <v>163</v>
      </c>
      <c r="AH525" t="s">
        <v>1598</v>
      </c>
    </row>
    <row r="526" spans="1:34" x14ac:dyDescent="0.25">
      <c r="A526" t="s">
        <v>1618</v>
      </c>
      <c r="B526" t="s">
        <v>804</v>
      </c>
      <c r="C526" t="s">
        <v>86</v>
      </c>
      <c r="D526" t="s">
        <v>201</v>
      </c>
      <c r="E526">
        <v>32</v>
      </c>
      <c r="F526">
        <v>16</v>
      </c>
      <c r="G526" t="s">
        <v>1619</v>
      </c>
      <c r="H526" t="s">
        <v>1620</v>
      </c>
      <c r="I526" t="s">
        <v>126</v>
      </c>
      <c r="J526" t="s">
        <v>43</v>
      </c>
      <c r="K526" t="s">
        <v>126</v>
      </c>
      <c r="L526" t="s">
        <v>81</v>
      </c>
      <c r="M526" t="s">
        <v>44</v>
      </c>
      <c r="N526" t="s">
        <v>44</v>
      </c>
      <c r="O526" t="s">
        <v>44</v>
      </c>
      <c r="P526" t="s">
        <v>43</v>
      </c>
      <c r="Q526" t="s">
        <v>81</v>
      </c>
      <c r="R526" t="s">
        <v>547</v>
      </c>
      <c r="S526" t="s">
        <v>416</v>
      </c>
      <c r="T526" t="s">
        <v>290</v>
      </c>
      <c r="U526" t="s">
        <v>717</v>
      </c>
      <c r="V526" t="s">
        <v>227</v>
      </c>
      <c r="W526" t="s">
        <v>249</v>
      </c>
      <c r="X526" t="s">
        <v>500</v>
      </c>
      <c r="Y526" t="s">
        <v>43</v>
      </c>
      <c r="Z526" t="s">
        <v>500</v>
      </c>
      <c r="AA526" t="s">
        <v>250</v>
      </c>
      <c r="AB526" t="s">
        <v>250</v>
      </c>
      <c r="AC526" t="s">
        <v>250</v>
      </c>
      <c r="AD526" t="s">
        <v>82</v>
      </c>
      <c r="AE526" t="s">
        <v>315</v>
      </c>
      <c r="AF526" t="s">
        <v>163</v>
      </c>
      <c r="AG526" t="s">
        <v>251</v>
      </c>
      <c r="AH526" t="s">
        <v>1598</v>
      </c>
    </row>
    <row r="527" spans="1:34" x14ac:dyDescent="0.25">
      <c r="A527" t="s">
        <v>1621</v>
      </c>
      <c r="B527" t="s">
        <v>376</v>
      </c>
      <c r="C527" t="s">
        <v>108</v>
      </c>
      <c r="D527" t="s">
        <v>185</v>
      </c>
      <c r="E527">
        <v>16</v>
      </c>
      <c r="F527">
        <v>15</v>
      </c>
      <c r="G527" t="s">
        <v>1622</v>
      </c>
      <c r="H527" t="s">
        <v>1186</v>
      </c>
      <c r="I527" t="s">
        <v>43</v>
      </c>
      <c r="J527" t="s">
        <v>43</v>
      </c>
      <c r="K527" t="s">
        <v>43</v>
      </c>
      <c r="L527" t="s">
        <v>43</v>
      </c>
      <c r="M527" t="s">
        <v>43</v>
      </c>
      <c r="N527" t="s">
        <v>43</v>
      </c>
      <c r="O527" t="s">
        <v>126</v>
      </c>
      <c r="P527" t="s">
        <v>43</v>
      </c>
      <c r="Q527" t="s">
        <v>163</v>
      </c>
      <c r="R527" t="s">
        <v>163</v>
      </c>
      <c r="S527" t="s">
        <v>43</v>
      </c>
      <c r="T527" t="s">
        <v>163</v>
      </c>
      <c r="U527" t="s">
        <v>127</v>
      </c>
      <c r="V527" t="s">
        <v>494</v>
      </c>
      <c r="W527" t="s">
        <v>114</v>
      </c>
      <c r="X527" t="s">
        <v>43</v>
      </c>
      <c r="Y527" t="s">
        <v>43</v>
      </c>
      <c r="Z527" t="s">
        <v>43</v>
      </c>
      <c r="AA527" t="s">
        <v>43</v>
      </c>
      <c r="AB527" t="s">
        <v>43</v>
      </c>
      <c r="AC527" t="s">
        <v>182</v>
      </c>
      <c r="AD527" t="s">
        <v>43</v>
      </c>
      <c r="AE527" t="s">
        <v>182</v>
      </c>
      <c r="AF527" t="s">
        <v>182</v>
      </c>
      <c r="AG527" t="s">
        <v>182</v>
      </c>
      <c r="AH527" t="s">
        <v>1598</v>
      </c>
    </row>
    <row r="528" spans="1:34" x14ac:dyDescent="0.25">
      <c r="A528" t="s">
        <v>1623</v>
      </c>
      <c r="B528" t="s">
        <v>1624</v>
      </c>
      <c r="C528" t="s">
        <v>108</v>
      </c>
      <c r="D528" t="s">
        <v>59</v>
      </c>
      <c r="E528">
        <v>15</v>
      </c>
      <c r="F528">
        <v>15</v>
      </c>
      <c r="G528" t="s">
        <v>1625</v>
      </c>
      <c r="H528" t="s">
        <v>1323</v>
      </c>
      <c r="I528" t="s">
        <v>44</v>
      </c>
      <c r="J528" t="s">
        <v>63</v>
      </c>
      <c r="K528" t="s">
        <v>114</v>
      </c>
      <c r="L528" t="s">
        <v>44</v>
      </c>
      <c r="M528" t="s">
        <v>43</v>
      </c>
      <c r="N528" t="s">
        <v>43</v>
      </c>
      <c r="O528" t="s">
        <v>81</v>
      </c>
      <c r="P528" t="s">
        <v>44</v>
      </c>
      <c r="Q528" t="s">
        <v>112</v>
      </c>
      <c r="R528" t="s">
        <v>112</v>
      </c>
      <c r="S528" t="s">
        <v>113</v>
      </c>
      <c r="T528" t="s">
        <v>114</v>
      </c>
      <c r="U528" t="s">
        <v>227</v>
      </c>
      <c r="V528" t="s">
        <v>165</v>
      </c>
      <c r="W528" t="s">
        <v>213</v>
      </c>
      <c r="X528" t="s">
        <v>181</v>
      </c>
      <c r="Y528" t="s">
        <v>156</v>
      </c>
      <c r="Z528" t="s">
        <v>103</v>
      </c>
      <c r="AA528" t="s">
        <v>181</v>
      </c>
      <c r="AB528" t="s">
        <v>103</v>
      </c>
      <c r="AC528" t="s">
        <v>358</v>
      </c>
      <c r="AD528" t="s">
        <v>194</v>
      </c>
      <c r="AE528" t="s">
        <v>103</v>
      </c>
      <c r="AF528" t="s">
        <v>358</v>
      </c>
      <c r="AG528" t="s">
        <v>103</v>
      </c>
      <c r="AH528" t="s">
        <v>1598</v>
      </c>
    </row>
    <row r="529" spans="1:34" x14ac:dyDescent="0.25">
      <c r="A529" t="s">
        <v>1626</v>
      </c>
      <c r="B529" t="s">
        <v>262</v>
      </c>
      <c r="C529" t="s">
        <v>108</v>
      </c>
      <c r="D529" t="s">
        <v>59</v>
      </c>
      <c r="E529">
        <v>15</v>
      </c>
      <c r="F529">
        <v>15</v>
      </c>
      <c r="G529" t="s">
        <v>1625</v>
      </c>
      <c r="H529" t="s">
        <v>1323</v>
      </c>
      <c r="I529" t="s">
        <v>43</v>
      </c>
      <c r="J529" t="s">
        <v>44</v>
      </c>
      <c r="K529" t="s">
        <v>44</v>
      </c>
      <c r="L529" t="s">
        <v>43</v>
      </c>
      <c r="M529" t="s">
        <v>43</v>
      </c>
      <c r="N529" t="s">
        <v>43</v>
      </c>
      <c r="O529" t="s">
        <v>126</v>
      </c>
      <c r="P529" t="s">
        <v>43</v>
      </c>
      <c r="Q529" t="s">
        <v>176</v>
      </c>
      <c r="R529" t="s">
        <v>176</v>
      </c>
      <c r="S529" t="s">
        <v>163</v>
      </c>
      <c r="T529" t="s">
        <v>259</v>
      </c>
      <c r="U529" t="s">
        <v>41</v>
      </c>
      <c r="V529" t="s">
        <v>268</v>
      </c>
      <c r="W529" t="s">
        <v>44</v>
      </c>
      <c r="X529" t="s">
        <v>43</v>
      </c>
      <c r="Y529" t="s">
        <v>181</v>
      </c>
      <c r="Z529" t="s">
        <v>181</v>
      </c>
      <c r="AA529" t="s">
        <v>43</v>
      </c>
      <c r="AB529" t="s">
        <v>181</v>
      </c>
      <c r="AC529" t="s">
        <v>193</v>
      </c>
      <c r="AD529" t="s">
        <v>182</v>
      </c>
      <c r="AE529" t="s">
        <v>169</v>
      </c>
      <c r="AF529" t="s">
        <v>193</v>
      </c>
      <c r="AG529" t="s">
        <v>169</v>
      </c>
      <c r="AH529" t="s">
        <v>1598</v>
      </c>
    </row>
    <row r="530" spans="1:34" x14ac:dyDescent="0.25">
      <c r="A530" t="s">
        <v>1627</v>
      </c>
      <c r="B530" t="s">
        <v>519</v>
      </c>
      <c r="C530" t="s">
        <v>86</v>
      </c>
      <c r="D530" t="s">
        <v>203</v>
      </c>
      <c r="E530">
        <v>15</v>
      </c>
      <c r="F530">
        <v>13</v>
      </c>
      <c r="G530" t="s">
        <v>1628</v>
      </c>
      <c r="H530" t="s">
        <v>461</v>
      </c>
      <c r="I530" t="s">
        <v>44</v>
      </c>
      <c r="J530" t="s">
        <v>44</v>
      </c>
      <c r="K530" t="s">
        <v>63</v>
      </c>
      <c r="L530" t="s">
        <v>44</v>
      </c>
      <c r="M530" t="s">
        <v>43</v>
      </c>
      <c r="N530" t="s">
        <v>43</v>
      </c>
      <c r="O530" t="s">
        <v>43</v>
      </c>
      <c r="P530" t="s">
        <v>43</v>
      </c>
      <c r="Q530" t="s">
        <v>63</v>
      </c>
      <c r="R530" t="s">
        <v>63</v>
      </c>
      <c r="S530" t="s">
        <v>222</v>
      </c>
      <c r="T530" t="s">
        <v>382</v>
      </c>
      <c r="U530" t="s">
        <v>273</v>
      </c>
      <c r="V530" t="s">
        <v>62</v>
      </c>
      <c r="W530" t="s">
        <v>943</v>
      </c>
      <c r="X530" t="s">
        <v>120</v>
      </c>
      <c r="Y530" t="s">
        <v>120</v>
      </c>
      <c r="Z530" t="s">
        <v>151</v>
      </c>
      <c r="AA530" t="s">
        <v>120</v>
      </c>
      <c r="AB530" t="s">
        <v>151</v>
      </c>
      <c r="AC530" t="s">
        <v>151</v>
      </c>
      <c r="AD530" t="s">
        <v>53</v>
      </c>
      <c r="AE530" t="s">
        <v>163</v>
      </c>
      <c r="AF530" t="s">
        <v>151</v>
      </c>
      <c r="AG530" t="s">
        <v>163</v>
      </c>
      <c r="AH530" t="s">
        <v>1598</v>
      </c>
    </row>
    <row r="531" spans="1:34" x14ac:dyDescent="0.25">
      <c r="A531" t="s">
        <v>1629</v>
      </c>
      <c r="B531" t="s">
        <v>1630</v>
      </c>
      <c r="C531" t="s">
        <v>86</v>
      </c>
      <c r="D531" t="s">
        <v>140</v>
      </c>
      <c r="E531">
        <v>26</v>
      </c>
      <c r="F531">
        <v>12</v>
      </c>
      <c r="G531" t="s">
        <v>1631</v>
      </c>
      <c r="H531" t="s">
        <v>393</v>
      </c>
      <c r="I531" t="s">
        <v>44</v>
      </c>
      <c r="J531" t="s">
        <v>114</v>
      </c>
      <c r="K531" t="s">
        <v>83</v>
      </c>
      <c r="L531" t="s">
        <v>44</v>
      </c>
      <c r="M531" t="s">
        <v>43</v>
      </c>
      <c r="N531" t="s">
        <v>43</v>
      </c>
      <c r="O531" t="s">
        <v>63</v>
      </c>
      <c r="P531" t="s">
        <v>43</v>
      </c>
      <c r="Q531" t="s">
        <v>175</v>
      </c>
      <c r="R531" t="s">
        <v>175</v>
      </c>
      <c r="S531" t="s">
        <v>405</v>
      </c>
      <c r="T531" t="s">
        <v>189</v>
      </c>
      <c r="U531" t="s">
        <v>90</v>
      </c>
      <c r="V531" t="s">
        <v>623</v>
      </c>
      <c r="W531" t="s">
        <v>963</v>
      </c>
      <c r="X531" t="s">
        <v>242</v>
      </c>
      <c r="Y531" t="s">
        <v>402</v>
      </c>
      <c r="Z531" t="s">
        <v>163</v>
      </c>
      <c r="AA531" t="s">
        <v>242</v>
      </c>
      <c r="AB531" t="s">
        <v>163</v>
      </c>
      <c r="AC531" t="s">
        <v>218</v>
      </c>
      <c r="AD531" t="s">
        <v>241</v>
      </c>
      <c r="AE531" t="s">
        <v>616</v>
      </c>
      <c r="AF531" t="s">
        <v>218</v>
      </c>
      <c r="AG531" t="s">
        <v>616</v>
      </c>
      <c r="AH531" t="s">
        <v>1598</v>
      </c>
    </row>
    <row r="532" spans="1:34" x14ac:dyDescent="0.25">
      <c r="A532" t="s">
        <v>1632</v>
      </c>
      <c r="B532" t="s">
        <v>207</v>
      </c>
      <c r="C532" t="s">
        <v>108</v>
      </c>
      <c r="D532" t="s">
        <v>185</v>
      </c>
      <c r="E532">
        <v>13</v>
      </c>
      <c r="F532">
        <v>12</v>
      </c>
      <c r="G532" t="s">
        <v>1633</v>
      </c>
      <c r="H532" t="s">
        <v>615</v>
      </c>
      <c r="I532" t="s">
        <v>44</v>
      </c>
      <c r="J532" t="s">
        <v>43</v>
      </c>
      <c r="K532" t="s">
        <v>44</v>
      </c>
      <c r="L532" t="s">
        <v>44</v>
      </c>
      <c r="M532" t="s">
        <v>43</v>
      </c>
      <c r="N532" t="s">
        <v>43</v>
      </c>
      <c r="O532" t="s">
        <v>44</v>
      </c>
      <c r="P532" t="s">
        <v>43</v>
      </c>
      <c r="Q532" t="s">
        <v>222</v>
      </c>
      <c r="R532" t="s">
        <v>222</v>
      </c>
      <c r="S532" t="s">
        <v>82</v>
      </c>
      <c r="T532" t="s">
        <v>162</v>
      </c>
      <c r="U532" t="s">
        <v>142</v>
      </c>
      <c r="V532" t="s">
        <v>147</v>
      </c>
      <c r="W532" t="s">
        <v>41</v>
      </c>
      <c r="X532" t="s">
        <v>120</v>
      </c>
      <c r="Y532" t="s">
        <v>43</v>
      </c>
      <c r="Z532" t="s">
        <v>120</v>
      </c>
      <c r="AA532" t="s">
        <v>120</v>
      </c>
      <c r="AB532" t="s">
        <v>120</v>
      </c>
      <c r="AC532" t="s">
        <v>204</v>
      </c>
      <c r="AD532" t="s">
        <v>119</v>
      </c>
      <c r="AE532" t="s">
        <v>53</v>
      </c>
      <c r="AF532" t="s">
        <v>204</v>
      </c>
      <c r="AG532" t="s">
        <v>53</v>
      </c>
      <c r="AH532" t="s">
        <v>1598</v>
      </c>
    </row>
    <row r="533" spans="1:34" x14ac:dyDescent="0.25">
      <c r="A533" t="s">
        <v>1634</v>
      </c>
      <c r="B533" t="s">
        <v>1635</v>
      </c>
      <c r="C533" t="s">
        <v>77</v>
      </c>
      <c r="D533" t="s">
        <v>201</v>
      </c>
      <c r="E533">
        <v>10</v>
      </c>
      <c r="F533">
        <v>10</v>
      </c>
      <c r="G533" t="s">
        <v>412</v>
      </c>
      <c r="H533" t="s">
        <v>231</v>
      </c>
      <c r="I533" t="s">
        <v>43</v>
      </c>
      <c r="J533" t="s">
        <v>43</v>
      </c>
      <c r="K533" t="s">
        <v>43</v>
      </c>
      <c r="L533" t="s">
        <v>43</v>
      </c>
      <c r="M533" t="s">
        <v>43</v>
      </c>
      <c r="N533" t="s">
        <v>43</v>
      </c>
      <c r="O533" t="s">
        <v>43</v>
      </c>
      <c r="P533" t="s">
        <v>43</v>
      </c>
      <c r="Q533" t="s">
        <v>43</v>
      </c>
      <c r="R533" t="s">
        <v>43</v>
      </c>
      <c r="S533" t="s">
        <v>241</v>
      </c>
      <c r="T533" t="s">
        <v>241</v>
      </c>
      <c r="U533" t="s">
        <v>43</v>
      </c>
      <c r="V533" t="s">
        <v>44</v>
      </c>
      <c r="W533" t="s">
        <v>43</v>
      </c>
      <c r="X533" t="s">
        <v>43</v>
      </c>
      <c r="Y533" t="s">
        <v>43</v>
      </c>
      <c r="Z533" t="s">
        <v>43</v>
      </c>
      <c r="AA533" t="s">
        <v>43</v>
      </c>
      <c r="AB533" t="s">
        <v>43</v>
      </c>
      <c r="AC533" t="s">
        <v>43</v>
      </c>
      <c r="AD533" t="s">
        <v>182</v>
      </c>
      <c r="AE533" t="s">
        <v>182</v>
      </c>
      <c r="AF533" t="s">
        <v>43</v>
      </c>
      <c r="AG533" t="s">
        <v>182</v>
      </c>
      <c r="AH533" t="s">
        <v>1598</v>
      </c>
    </row>
    <row r="534" spans="1:34" x14ac:dyDescent="0.25">
      <c r="A534" t="s">
        <v>1636</v>
      </c>
      <c r="B534" t="s">
        <v>891</v>
      </c>
      <c r="C534" t="s">
        <v>137</v>
      </c>
      <c r="D534" t="s">
        <v>141</v>
      </c>
      <c r="E534">
        <v>15</v>
      </c>
      <c r="F534">
        <v>10</v>
      </c>
      <c r="G534" t="s">
        <v>1637</v>
      </c>
      <c r="H534" t="s">
        <v>1379</v>
      </c>
      <c r="I534" t="s">
        <v>83</v>
      </c>
      <c r="J534" t="s">
        <v>44</v>
      </c>
      <c r="K534" t="s">
        <v>81</v>
      </c>
      <c r="L534" t="s">
        <v>83</v>
      </c>
      <c r="M534" t="s">
        <v>43</v>
      </c>
      <c r="N534" t="s">
        <v>43</v>
      </c>
      <c r="O534" t="s">
        <v>44</v>
      </c>
      <c r="P534" t="s">
        <v>43</v>
      </c>
      <c r="Q534" t="s">
        <v>189</v>
      </c>
      <c r="R534" t="s">
        <v>189</v>
      </c>
      <c r="S534" t="s">
        <v>255</v>
      </c>
      <c r="T534" t="s">
        <v>92</v>
      </c>
      <c r="U534" t="s">
        <v>185</v>
      </c>
      <c r="V534" t="s">
        <v>127</v>
      </c>
      <c r="W534" t="s">
        <v>399</v>
      </c>
      <c r="X534" t="s">
        <v>251</v>
      </c>
      <c r="Y534" t="s">
        <v>82</v>
      </c>
      <c r="Z534" t="s">
        <v>617</v>
      </c>
      <c r="AA534" t="s">
        <v>251</v>
      </c>
      <c r="AB534" t="s">
        <v>617</v>
      </c>
      <c r="AC534" t="s">
        <v>315</v>
      </c>
      <c r="AD534" t="s">
        <v>194</v>
      </c>
      <c r="AE534" t="s">
        <v>99</v>
      </c>
      <c r="AF534" t="s">
        <v>315</v>
      </c>
      <c r="AG534" t="s">
        <v>99</v>
      </c>
      <c r="AH534" t="s">
        <v>1598</v>
      </c>
    </row>
    <row r="535" spans="1:34" x14ac:dyDescent="0.25">
      <c r="A535" t="s">
        <v>1638</v>
      </c>
      <c r="B535" t="s">
        <v>432</v>
      </c>
      <c r="C535" t="s">
        <v>108</v>
      </c>
      <c r="D535" t="s">
        <v>37</v>
      </c>
      <c r="E535">
        <v>14</v>
      </c>
      <c r="F535">
        <v>8</v>
      </c>
      <c r="G535" t="s">
        <v>1639</v>
      </c>
      <c r="H535" t="s">
        <v>1070</v>
      </c>
      <c r="I535" t="s">
        <v>43</v>
      </c>
      <c r="J535" t="s">
        <v>44</v>
      </c>
      <c r="K535" t="s">
        <v>44</v>
      </c>
      <c r="L535" t="s">
        <v>43</v>
      </c>
      <c r="M535" t="s">
        <v>43</v>
      </c>
      <c r="N535" t="s">
        <v>43</v>
      </c>
      <c r="O535" t="s">
        <v>81</v>
      </c>
      <c r="P535" t="s">
        <v>44</v>
      </c>
      <c r="Q535" t="s">
        <v>43</v>
      </c>
      <c r="R535" t="s">
        <v>43</v>
      </c>
      <c r="S535" t="s">
        <v>241</v>
      </c>
      <c r="T535" t="s">
        <v>241</v>
      </c>
      <c r="U535" t="s">
        <v>126</v>
      </c>
      <c r="V535" t="s">
        <v>227</v>
      </c>
      <c r="W535" t="s">
        <v>90</v>
      </c>
      <c r="X535" t="s">
        <v>43</v>
      </c>
      <c r="Y535" t="s">
        <v>204</v>
      </c>
      <c r="Z535" t="s">
        <v>204</v>
      </c>
      <c r="AA535" t="s">
        <v>43</v>
      </c>
      <c r="AB535" t="s">
        <v>204</v>
      </c>
      <c r="AC535" t="s">
        <v>43</v>
      </c>
      <c r="AD535" t="s">
        <v>182</v>
      </c>
      <c r="AE535" t="s">
        <v>182</v>
      </c>
      <c r="AF535" t="s">
        <v>43</v>
      </c>
      <c r="AG535" t="s">
        <v>182</v>
      </c>
      <c r="AH535" t="s">
        <v>1598</v>
      </c>
    </row>
    <row r="536" spans="1:34" x14ac:dyDescent="0.25">
      <c r="A536" t="s">
        <v>1640</v>
      </c>
      <c r="B536" t="s">
        <v>57</v>
      </c>
      <c r="C536" t="s">
        <v>137</v>
      </c>
      <c r="D536" t="s">
        <v>165</v>
      </c>
      <c r="E536">
        <v>21</v>
      </c>
      <c r="F536">
        <v>7</v>
      </c>
      <c r="G536" t="s">
        <v>1390</v>
      </c>
      <c r="H536" t="s">
        <v>1070</v>
      </c>
      <c r="I536" t="s">
        <v>63</v>
      </c>
      <c r="J536" t="s">
        <v>44</v>
      </c>
      <c r="K536" t="s">
        <v>114</v>
      </c>
      <c r="L536" t="s">
        <v>44</v>
      </c>
      <c r="M536" t="s">
        <v>44</v>
      </c>
      <c r="N536" t="s">
        <v>44</v>
      </c>
      <c r="O536" t="s">
        <v>43</v>
      </c>
      <c r="P536" t="s">
        <v>43</v>
      </c>
      <c r="Q536" t="s">
        <v>406</v>
      </c>
      <c r="R536" t="s">
        <v>405</v>
      </c>
      <c r="S536" t="s">
        <v>241</v>
      </c>
      <c r="T536" t="s">
        <v>224</v>
      </c>
      <c r="U536" t="s">
        <v>63</v>
      </c>
      <c r="V536" t="s">
        <v>42</v>
      </c>
      <c r="W536" t="s">
        <v>123</v>
      </c>
      <c r="X536" t="s">
        <v>103</v>
      </c>
      <c r="Y536" t="s">
        <v>204</v>
      </c>
      <c r="Z536" t="s">
        <v>72</v>
      </c>
      <c r="AA536" t="s">
        <v>204</v>
      </c>
      <c r="AB536" t="s">
        <v>103</v>
      </c>
      <c r="AC536" t="s">
        <v>510</v>
      </c>
      <c r="AD536" t="s">
        <v>182</v>
      </c>
      <c r="AE536" t="s">
        <v>112</v>
      </c>
      <c r="AF536" t="s">
        <v>163</v>
      </c>
      <c r="AG536" t="s">
        <v>466</v>
      </c>
      <c r="AH536" t="s">
        <v>1598</v>
      </c>
    </row>
    <row r="537" spans="1:34" x14ac:dyDescent="0.25">
      <c r="A537" t="s">
        <v>1641</v>
      </c>
      <c r="B537" t="s">
        <v>207</v>
      </c>
      <c r="C537" t="s">
        <v>108</v>
      </c>
      <c r="D537" t="s">
        <v>201</v>
      </c>
      <c r="E537">
        <v>12</v>
      </c>
      <c r="F537">
        <v>5</v>
      </c>
      <c r="G537" t="s">
        <v>1642</v>
      </c>
      <c r="H537" t="s">
        <v>590</v>
      </c>
      <c r="I537" t="s">
        <v>43</v>
      </c>
      <c r="J537" t="s">
        <v>43</v>
      </c>
      <c r="K537" t="s">
        <v>43</v>
      </c>
      <c r="L537" t="s">
        <v>43</v>
      </c>
      <c r="M537" t="s">
        <v>43</v>
      </c>
      <c r="N537" t="s">
        <v>43</v>
      </c>
      <c r="O537" t="s">
        <v>63</v>
      </c>
      <c r="P537" t="s">
        <v>43</v>
      </c>
      <c r="Q537" t="s">
        <v>112</v>
      </c>
      <c r="R537" t="s">
        <v>112</v>
      </c>
      <c r="S537" t="s">
        <v>241</v>
      </c>
      <c r="T537" t="s">
        <v>70</v>
      </c>
      <c r="U537" t="s">
        <v>63</v>
      </c>
      <c r="V537" t="s">
        <v>203</v>
      </c>
      <c r="W537" t="s">
        <v>126</v>
      </c>
      <c r="X537" t="s">
        <v>43</v>
      </c>
      <c r="Y537" t="s">
        <v>43</v>
      </c>
      <c r="Z537" t="s">
        <v>43</v>
      </c>
      <c r="AA537" t="s">
        <v>43</v>
      </c>
      <c r="AB537" t="s">
        <v>43</v>
      </c>
      <c r="AC537" t="s">
        <v>168</v>
      </c>
      <c r="AD537" t="s">
        <v>358</v>
      </c>
      <c r="AE537" t="s">
        <v>120</v>
      </c>
      <c r="AF537" t="s">
        <v>168</v>
      </c>
      <c r="AG537" t="s">
        <v>120</v>
      </c>
      <c r="AH537" t="s">
        <v>1598</v>
      </c>
    </row>
    <row r="538" spans="1:34" x14ac:dyDescent="0.25">
      <c r="A538" t="s">
        <v>1643</v>
      </c>
      <c r="B538" t="s">
        <v>57</v>
      </c>
      <c r="C538" t="s">
        <v>86</v>
      </c>
      <c r="D538" t="s">
        <v>141</v>
      </c>
      <c r="E538">
        <v>14</v>
      </c>
      <c r="F538">
        <v>5</v>
      </c>
      <c r="G538" t="s">
        <v>1644</v>
      </c>
      <c r="H538" t="s">
        <v>702</v>
      </c>
      <c r="I538" t="s">
        <v>43</v>
      </c>
      <c r="J538" t="s">
        <v>43</v>
      </c>
      <c r="K538" t="s">
        <v>43</v>
      </c>
      <c r="L538" t="s">
        <v>43</v>
      </c>
      <c r="M538" t="s">
        <v>43</v>
      </c>
      <c r="N538" t="s">
        <v>43</v>
      </c>
      <c r="O538" t="s">
        <v>44</v>
      </c>
      <c r="P538" t="s">
        <v>43</v>
      </c>
      <c r="Q538" t="s">
        <v>163</v>
      </c>
      <c r="R538" t="s">
        <v>163</v>
      </c>
      <c r="S538" t="s">
        <v>112</v>
      </c>
      <c r="T538" t="s">
        <v>378</v>
      </c>
      <c r="U538" t="s">
        <v>40</v>
      </c>
      <c r="V538" t="s">
        <v>40</v>
      </c>
      <c r="W538" t="s">
        <v>42</v>
      </c>
      <c r="X538" t="s">
        <v>43</v>
      </c>
      <c r="Y538" t="s">
        <v>43</v>
      </c>
      <c r="Z538" t="s">
        <v>43</v>
      </c>
      <c r="AA538" t="s">
        <v>43</v>
      </c>
      <c r="AB538" t="s">
        <v>43</v>
      </c>
      <c r="AC538" t="s">
        <v>169</v>
      </c>
      <c r="AD538" t="s">
        <v>181</v>
      </c>
      <c r="AE538" t="s">
        <v>118</v>
      </c>
      <c r="AF538" t="s">
        <v>169</v>
      </c>
      <c r="AG538" t="s">
        <v>118</v>
      </c>
      <c r="AH538" t="s">
        <v>1598</v>
      </c>
    </row>
    <row r="539" spans="1:34" x14ac:dyDescent="0.25">
      <c r="A539" t="s">
        <v>1645</v>
      </c>
      <c r="B539" t="s">
        <v>675</v>
      </c>
      <c r="C539" t="s">
        <v>108</v>
      </c>
      <c r="D539" t="s">
        <v>201</v>
      </c>
      <c r="E539">
        <v>8</v>
      </c>
      <c r="F539">
        <v>5</v>
      </c>
      <c r="G539" t="s">
        <v>1646</v>
      </c>
      <c r="H539" t="s">
        <v>634</v>
      </c>
      <c r="I539" t="s">
        <v>43</v>
      </c>
      <c r="J539" t="s">
        <v>43</v>
      </c>
      <c r="K539" t="s">
        <v>43</v>
      </c>
      <c r="L539" t="s">
        <v>43</v>
      </c>
      <c r="M539" t="s">
        <v>43</v>
      </c>
      <c r="N539" t="s">
        <v>43</v>
      </c>
      <c r="O539" t="s">
        <v>63</v>
      </c>
      <c r="P539" t="s">
        <v>43</v>
      </c>
      <c r="Q539" t="s">
        <v>82</v>
      </c>
      <c r="R539" t="s">
        <v>82</v>
      </c>
      <c r="S539" t="s">
        <v>82</v>
      </c>
      <c r="T539" t="s">
        <v>82</v>
      </c>
      <c r="U539" t="s">
        <v>81</v>
      </c>
      <c r="V539" t="s">
        <v>89</v>
      </c>
      <c r="W539" t="s">
        <v>44</v>
      </c>
      <c r="X539" t="s">
        <v>43</v>
      </c>
      <c r="Y539" t="s">
        <v>43</v>
      </c>
      <c r="Z539" t="s">
        <v>43</v>
      </c>
      <c r="AA539" t="s">
        <v>43</v>
      </c>
      <c r="AB539" t="s">
        <v>43</v>
      </c>
      <c r="AC539" t="s">
        <v>119</v>
      </c>
      <c r="AD539" t="s">
        <v>119</v>
      </c>
      <c r="AE539" t="s">
        <v>358</v>
      </c>
      <c r="AF539" t="s">
        <v>119</v>
      </c>
      <c r="AG539" t="s">
        <v>358</v>
      </c>
      <c r="AH539" t="s">
        <v>1598</v>
      </c>
    </row>
    <row r="540" spans="1:34" x14ac:dyDescent="0.25">
      <c r="A540" t="s">
        <v>1647</v>
      </c>
      <c r="B540" t="s">
        <v>207</v>
      </c>
      <c r="C540" t="s">
        <v>58</v>
      </c>
      <c r="D540" t="s">
        <v>201</v>
      </c>
      <c r="E540">
        <v>16</v>
      </c>
      <c r="F540">
        <v>3</v>
      </c>
      <c r="G540" t="s">
        <v>1648</v>
      </c>
      <c r="H540" t="s">
        <v>629</v>
      </c>
      <c r="I540" t="s">
        <v>43</v>
      </c>
      <c r="J540" t="s">
        <v>43</v>
      </c>
      <c r="K540" t="s">
        <v>43</v>
      </c>
      <c r="L540" t="s">
        <v>43</v>
      </c>
      <c r="M540" t="s">
        <v>43</v>
      </c>
      <c r="N540" t="s">
        <v>43</v>
      </c>
      <c r="O540" t="s">
        <v>43</v>
      </c>
      <c r="P540" t="s">
        <v>43</v>
      </c>
      <c r="Q540" t="s">
        <v>176</v>
      </c>
      <c r="R540" t="s">
        <v>176</v>
      </c>
      <c r="S540" t="s">
        <v>112</v>
      </c>
      <c r="T540" t="s">
        <v>398</v>
      </c>
      <c r="U540" t="s">
        <v>127</v>
      </c>
      <c r="V540" t="s">
        <v>231</v>
      </c>
      <c r="W540" t="s">
        <v>304</v>
      </c>
      <c r="X540" t="s">
        <v>43</v>
      </c>
      <c r="Y540" t="s">
        <v>43</v>
      </c>
      <c r="Z540" t="s">
        <v>43</v>
      </c>
      <c r="AA540" t="s">
        <v>43</v>
      </c>
      <c r="AB540" t="s">
        <v>43</v>
      </c>
      <c r="AC540" t="s">
        <v>82</v>
      </c>
      <c r="AD540" t="s">
        <v>242</v>
      </c>
      <c r="AE540" t="s">
        <v>151</v>
      </c>
      <c r="AF540" t="s">
        <v>82</v>
      </c>
      <c r="AG540" t="s">
        <v>151</v>
      </c>
      <c r="AH540" t="s">
        <v>1598</v>
      </c>
    </row>
    <row r="541" spans="1:34" x14ac:dyDescent="0.25">
      <c r="A541" t="s">
        <v>1649</v>
      </c>
      <c r="B541" t="s">
        <v>880</v>
      </c>
      <c r="C541" t="s">
        <v>58</v>
      </c>
      <c r="D541" t="s">
        <v>272</v>
      </c>
      <c r="E541">
        <v>6</v>
      </c>
      <c r="F541">
        <v>1</v>
      </c>
      <c r="G541" t="s">
        <v>339</v>
      </c>
      <c r="H541" t="s">
        <v>164</v>
      </c>
      <c r="I541" t="s">
        <v>43</v>
      </c>
      <c r="J541" t="s">
        <v>43</v>
      </c>
      <c r="K541" t="s">
        <v>43</v>
      </c>
      <c r="L541" t="s">
        <v>43</v>
      </c>
      <c r="M541" t="s">
        <v>43</v>
      </c>
      <c r="N541" t="s">
        <v>43</v>
      </c>
      <c r="O541" t="s">
        <v>43</v>
      </c>
      <c r="P541" t="s">
        <v>44</v>
      </c>
      <c r="Q541" t="s">
        <v>241</v>
      </c>
      <c r="R541" t="s">
        <v>241</v>
      </c>
      <c r="S541" t="s">
        <v>43</v>
      </c>
      <c r="T541" t="s">
        <v>241</v>
      </c>
      <c r="U541" t="s">
        <v>63</v>
      </c>
      <c r="V541" t="s">
        <v>63</v>
      </c>
      <c r="W541" t="s">
        <v>276</v>
      </c>
      <c r="X541" t="s">
        <v>43</v>
      </c>
      <c r="Y541" t="s">
        <v>43</v>
      </c>
      <c r="Z541" t="s">
        <v>43</v>
      </c>
      <c r="AA541" t="s">
        <v>43</v>
      </c>
      <c r="AB541" t="s">
        <v>43</v>
      </c>
      <c r="AC541" t="s">
        <v>82</v>
      </c>
      <c r="AD541" t="s">
        <v>182</v>
      </c>
      <c r="AE541" t="s">
        <v>53</v>
      </c>
      <c r="AF541" t="s">
        <v>82</v>
      </c>
      <c r="AG541" t="s">
        <v>53</v>
      </c>
      <c r="AH541" t="s">
        <v>1598</v>
      </c>
    </row>
    <row r="542" spans="1:34" x14ac:dyDescent="0.25">
      <c r="A542" t="s">
        <v>1650</v>
      </c>
      <c r="B542" t="s">
        <v>1651</v>
      </c>
      <c r="C542" t="s">
        <v>86</v>
      </c>
      <c r="D542" t="s">
        <v>148</v>
      </c>
      <c r="E542">
        <v>8</v>
      </c>
      <c r="F542">
        <v>1</v>
      </c>
      <c r="G542" t="s">
        <v>202</v>
      </c>
      <c r="H542" t="s">
        <v>222</v>
      </c>
      <c r="I542" t="s">
        <v>43</v>
      </c>
      <c r="J542" t="s">
        <v>43</v>
      </c>
      <c r="K542" t="s">
        <v>43</v>
      </c>
      <c r="L542" t="s">
        <v>43</v>
      </c>
      <c r="M542" t="s">
        <v>43</v>
      </c>
      <c r="N542" t="s">
        <v>43</v>
      </c>
      <c r="O542" t="s">
        <v>43</v>
      </c>
      <c r="P542" t="s">
        <v>43</v>
      </c>
      <c r="Q542" t="s">
        <v>82</v>
      </c>
      <c r="R542" t="s">
        <v>82</v>
      </c>
      <c r="S542" t="s">
        <v>43</v>
      </c>
      <c r="T542" t="s">
        <v>82</v>
      </c>
      <c r="U542" t="s">
        <v>81</v>
      </c>
      <c r="V542" t="s">
        <v>63</v>
      </c>
      <c r="W542" t="s">
        <v>232</v>
      </c>
      <c r="X542" t="s">
        <v>43</v>
      </c>
      <c r="Y542" t="s">
        <v>43</v>
      </c>
      <c r="Z542" t="s">
        <v>43</v>
      </c>
      <c r="AA542" t="s">
        <v>43</v>
      </c>
      <c r="AB542" t="s">
        <v>43</v>
      </c>
      <c r="AC542" t="s">
        <v>168</v>
      </c>
      <c r="AD542" t="s">
        <v>358</v>
      </c>
      <c r="AE542" t="s">
        <v>242</v>
      </c>
      <c r="AF542" t="s">
        <v>168</v>
      </c>
      <c r="AG542" t="s">
        <v>242</v>
      </c>
      <c r="AH542" t="s">
        <v>1598</v>
      </c>
    </row>
    <row r="543" spans="1:34" x14ac:dyDescent="0.25">
      <c r="A543" t="s">
        <v>1652</v>
      </c>
      <c r="B543" t="s">
        <v>57</v>
      </c>
      <c r="C543" t="s">
        <v>58</v>
      </c>
      <c r="D543" t="s">
        <v>78</v>
      </c>
      <c r="E543">
        <v>12</v>
      </c>
      <c r="F543">
        <v>0</v>
      </c>
      <c r="G543" t="s">
        <v>1298</v>
      </c>
      <c r="H543" t="s">
        <v>223</v>
      </c>
      <c r="I543" t="s">
        <v>43</v>
      </c>
      <c r="J543" t="s">
        <v>43</v>
      </c>
      <c r="K543" t="s">
        <v>43</v>
      </c>
      <c r="L543" t="s">
        <v>43</v>
      </c>
      <c r="M543" t="s">
        <v>43</v>
      </c>
      <c r="N543" t="s">
        <v>43</v>
      </c>
      <c r="O543" t="s">
        <v>44</v>
      </c>
      <c r="P543" t="s">
        <v>43</v>
      </c>
      <c r="Q543" t="s">
        <v>43</v>
      </c>
      <c r="R543" t="s">
        <v>43</v>
      </c>
      <c r="S543" t="s">
        <v>163</v>
      </c>
      <c r="T543" t="s">
        <v>163</v>
      </c>
      <c r="U543" t="s">
        <v>142</v>
      </c>
      <c r="V543" t="s">
        <v>40</v>
      </c>
      <c r="W543" t="s">
        <v>272</v>
      </c>
      <c r="X543" t="s">
        <v>43</v>
      </c>
      <c r="Y543" t="s">
        <v>43</v>
      </c>
      <c r="Z543" t="s">
        <v>43</v>
      </c>
      <c r="AA543" t="s">
        <v>43</v>
      </c>
      <c r="AB543" t="s">
        <v>43</v>
      </c>
      <c r="AC543" t="s">
        <v>43</v>
      </c>
      <c r="AD543" t="s">
        <v>194</v>
      </c>
      <c r="AE543" t="s">
        <v>194</v>
      </c>
      <c r="AF543" t="s">
        <v>43</v>
      </c>
      <c r="AG543" t="s">
        <v>194</v>
      </c>
      <c r="AH543" t="s">
        <v>1598</v>
      </c>
    </row>
    <row r="544" spans="1:34" x14ac:dyDescent="0.25">
      <c r="A544" t="s">
        <v>1653</v>
      </c>
      <c r="B544" t="s">
        <v>57</v>
      </c>
      <c r="C544" t="s">
        <v>36</v>
      </c>
      <c r="D544" t="s">
        <v>165</v>
      </c>
      <c r="E544">
        <v>4</v>
      </c>
      <c r="F544">
        <v>0</v>
      </c>
      <c r="G544" t="s">
        <v>37</v>
      </c>
      <c r="H544" t="s">
        <v>163</v>
      </c>
      <c r="I544" t="s">
        <v>43</v>
      </c>
      <c r="J544" t="s">
        <v>43</v>
      </c>
      <c r="K544" t="s">
        <v>43</v>
      </c>
      <c r="L544" t="s">
        <v>43</v>
      </c>
      <c r="M544" t="s">
        <v>43</v>
      </c>
      <c r="N544" t="s">
        <v>43</v>
      </c>
      <c r="O544" t="s">
        <v>43</v>
      </c>
      <c r="P544" t="s">
        <v>43</v>
      </c>
      <c r="Q544" t="s">
        <v>43</v>
      </c>
      <c r="R544" t="s">
        <v>43</v>
      </c>
      <c r="S544" t="s">
        <v>43</v>
      </c>
      <c r="T544" t="s">
        <v>43</v>
      </c>
      <c r="U544" t="s">
        <v>83</v>
      </c>
      <c r="V544" t="s">
        <v>83</v>
      </c>
      <c r="W544" t="s">
        <v>44</v>
      </c>
      <c r="X544" t="s">
        <v>43</v>
      </c>
      <c r="Y544" t="s">
        <v>43</v>
      </c>
      <c r="Z544" t="s">
        <v>43</v>
      </c>
      <c r="AA544" t="s">
        <v>43</v>
      </c>
      <c r="AB544" t="s">
        <v>43</v>
      </c>
      <c r="AC544" t="s">
        <v>43</v>
      </c>
      <c r="AD544" t="s">
        <v>43</v>
      </c>
      <c r="AE544" t="s">
        <v>43</v>
      </c>
      <c r="AF544" t="s">
        <v>43</v>
      </c>
      <c r="AG544" t="s">
        <v>43</v>
      </c>
      <c r="AH544" t="s">
        <v>1598</v>
      </c>
    </row>
    <row r="545" spans="1:34" x14ac:dyDescent="0.25">
      <c r="A545" t="s">
        <v>1654</v>
      </c>
      <c r="B545" t="s">
        <v>411</v>
      </c>
      <c r="C545" t="s">
        <v>58</v>
      </c>
      <c r="D545" t="s">
        <v>59</v>
      </c>
      <c r="E545">
        <v>2</v>
      </c>
      <c r="F545">
        <v>0</v>
      </c>
      <c r="G545" t="s">
        <v>141</v>
      </c>
      <c r="H545" t="s">
        <v>241</v>
      </c>
      <c r="I545" t="s">
        <v>43</v>
      </c>
      <c r="J545" t="s">
        <v>43</v>
      </c>
      <c r="K545" t="s">
        <v>43</v>
      </c>
      <c r="L545" t="s">
        <v>43</v>
      </c>
      <c r="M545" t="s">
        <v>43</v>
      </c>
      <c r="N545" t="s">
        <v>43</v>
      </c>
      <c r="O545" t="s">
        <v>43</v>
      </c>
      <c r="P545" t="s">
        <v>43</v>
      </c>
      <c r="Q545" t="s">
        <v>82</v>
      </c>
      <c r="R545" t="s">
        <v>82</v>
      </c>
      <c r="S545" t="s">
        <v>43</v>
      </c>
      <c r="T545" t="s">
        <v>82</v>
      </c>
      <c r="U545" t="s">
        <v>43</v>
      </c>
      <c r="V545" t="s">
        <v>43</v>
      </c>
      <c r="W545" t="s">
        <v>114</v>
      </c>
      <c r="X545" t="s">
        <v>43</v>
      </c>
      <c r="Y545" t="s">
        <v>43</v>
      </c>
      <c r="Z545" t="s">
        <v>43</v>
      </c>
      <c r="AA545" t="s">
        <v>43</v>
      </c>
      <c r="AB545" t="s">
        <v>43</v>
      </c>
      <c r="AC545" t="s">
        <v>112</v>
      </c>
      <c r="AD545" t="s">
        <v>43</v>
      </c>
      <c r="AE545" t="s">
        <v>112</v>
      </c>
      <c r="AF545" t="s">
        <v>112</v>
      </c>
      <c r="AG545" t="s">
        <v>112</v>
      </c>
      <c r="AH545" t="s">
        <v>1598</v>
      </c>
    </row>
    <row r="546" spans="1:34" x14ac:dyDescent="0.25">
      <c r="A546" t="s">
        <v>1655</v>
      </c>
      <c r="B546" t="s">
        <v>376</v>
      </c>
      <c r="C546" t="s">
        <v>524</v>
      </c>
      <c r="D546" t="s">
        <v>272</v>
      </c>
      <c r="E546">
        <v>3</v>
      </c>
      <c r="F546">
        <v>0</v>
      </c>
      <c r="G546" t="s">
        <v>167</v>
      </c>
      <c r="H546" t="s">
        <v>241</v>
      </c>
      <c r="I546" t="s">
        <v>43</v>
      </c>
      <c r="J546" t="s">
        <v>43</v>
      </c>
      <c r="K546" t="s">
        <v>43</v>
      </c>
      <c r="L546" t="s">
        <v>43</v>
      </c>
      <c r="M546" t="s">
        <v>43</v>
      </c>
      <c r="N546" t="s">
        <v>43</v>
      </c>
      <c r="O546" t="s">
        <v>43</v>
      </c>
      <c r="P546" t="s">
        <v>43</v>
      </c>
      <c r="Q546" t="s">
        <v>43</v>
      </c>
      <c r="R546" t="s">
        <v>43</v>
      </c>
      <c r="S546" t="s">
        <v>43</v>
      </c>
      <c r="T546" t="s">
        <v>43</v>
      </c>
      <c r="U546" t="s">
        <v>63</v>
      </c>
      <c r="V546" t="s">
        <v>43</v>
      </c>
      <c r="W546" t="s">
        <v>43</v>
      </c>
      <c r="X546" t="s">
        <v>43</v>
      </c>
      <c r="Y546" t="s">
        <v>43</v>
      </c>
      <c r="Z546" t="s">
        <v>43</v>
      </c>
      <c r="AA546" t="s">
        <v>43</v>
      </c>
      <c r="AB546" t="s">
        <v>43</v>
      </c>
      <c r="AC546" t="s">
        <v>43</v>
      </c>
      <c r="AD546" t="s">
        <v>43</v>
      </c>
      <c r="AE546" t="s">
        <v>43</v>
      </c>
      <c r="AF546" t="s">
        <v>43</v>
      </c>
      <c r="AG546" t="s">
        <v>43</v>
      </c>
      <c r="AH546" t="s">
        <v>1598</v>
      </c>
    </row>
    <row r="547" spans="1:34" x14ac:dyDescent="0.25">
      <c r="A547" t="s">
        <v>1656</v>
      </c>
      <c r="B547" t="s">
        <v>196</v>
      </c>
      <c r="C547" t="s">
        <v>36</v>
      </c>
      <c r="D547" t="s">
        <v>148</v>
      </c>
      <c r="E547">
        <v>36</v>
      </c>
      <c r="F547">
        <v>34</v>
      </c>
      <c r="G547" t="s">
        <v>1657</v>
      </c>
      <c r="H547" t="s">
        <v>1293</v>
      </c>
      <c r="I547" t="s">
        <v>83</v>
      </c>
      <c r="J547" t="s">
        <v>126</v>
      </c>
      <c r="K547" t="s">
        <v>231</v>
      </c>
      <c r="L547" t="s">
        <v>83</v>
      </c>
      <c r="M547" t="s">
        <v>43</v>
      </c>
      <c r="N547" t="s">
        <v>43</v>
      </c>
      <c r="O547" t="s">
        <v>41</v>
      </c>
      <c r="P547" t="s">
        <v>43</v>
      </c>
      <c r="Q547" t="s">
        <v>114</v>
      </c>
      <c r="R547" t="s">
        <v>114</v>
      </c>
      <c r="S547" t="s">
        <v>487</v>
      </c>
      <c r="T547" t="s">
        <v>1070</v>
      </c>
      <c r="U547" t="s">
        <v>180</v>
      </c>
      <c r="V547" t="s">
        <v>602</v>
      </c>
      <c r="W547" t="s">
        <v>601</v>
      </c>
      <c r="X547" t="s">
        <v>53</v>
      </c>
      <c r="Y547" t="s">
        <v>194</v>
      </c>
      <c r="Z547" t="s">
        <v>100</v>
      </c>
      <c r="AA547" t="s">
        <v>53</v>
      </c>
      <c r="AB547" t="s">
        <v>100</v>
      </c>
      <c r="AC547" t="s">
        <v>120</v>
      </c>
      <c r="AD547" t="s">
        <v>194</v>
      </c>
      <c r="AE547" t="s">
        <v>51</v>
      </c>
      <c r="AF547" t="s">
        <v>120</v>
      </c>
      <c r="AG547" t="s">
        <v>51</v>
      </c>
      <c r="AH547" t="s">
        <v>1658</v>
      </c>
    </row>
    <row r="548" spans="1:34" x14ac:dyDescent="0.25">
      <c r="A548" t="s">
        <v>1659</v>
      </c>
      <c r="B548" t="s">
        <v>57</v>
      </c>
      <c r="C548" t="s">
        <v>108</v>
      </c>
      <c r="D548" t="s">
        <v>59</v>
      </c>
      <c r="E548">
        <v>34</v>
      </c>
      <c r="F548">
        <v>32</v>
      </c>
      <c r="G548" t="s">
        <v>1660</v>
      </c>
      <c r="H548" t="s">
        <v>304</v>
      </c>
      <c r="I548" t="s">
        <v>114</v>
      </c>
      <c r="J548" t="s">
        <v>43</v>
      </c>
      <c r="K548" t="s">
        <v>114</v>
      </c>
      <c r="L548" t="s">
        <v>114</v>
      </c>
      <c r="M548" t="s">
        <v>43</v>
      </c>
      <c r="N548" t="s">
        <v>43</v>
      </c>
      <c r="O548" t="s">
        <v>41</v>
      </c>
      <c r="P548" t="s">
        <v>43</v>
      </c>
      <c r="Q548" t="s">
        <v>327</v>
      </c>
      <c r="R548" t="s">
        <v>327</v>
      </c>
      <c r="S548" t="s">
        <v>44</v>
      </c>
      <c r="T548" t="s">
        <v>382</v>
      </c>
      <c r="U548" t="s">
        <v>227</v>
      </c>
      <c r="V548" t="s">
        <v>704</v>
      </c>
      <c r="W548" t="s">
        <v>606</v>
      </c>
      <c r="X548" t="s">
        <v>82</v>
      </c>
      <c r="Y548" t="s">
        <v>43</v>
      </c>
      <c r="Z548" t="s">
        <v>82</v>
      </c>
      <c r="AA548" t="s">
        <v>82</v>
      </c>
      <c r="AB548" t="s">
        <v>82</v>
      </c>
      <c r="AC548" t="s">
        <v>181</v>
      </c>
      <c r="AD548" t="s">
        <v>358</v>
      </c>
      <c r="AE548" t="s">
        <v>204</v>
      </c>
      <c r="AF548" t="s">
        <v>181</v>
      </c>
      <c r="AG548" t="s">
        <v>204</v>
      </c>
      <c r="AH548" t="s">
        <v>1658</v>
      </c>
    </row>
    <row r="549" spans="1:34" x14ac:dyDescent="0.25">
      <c r="A549" t="s">
        <v>1661</v>
      </c>
      <c r="B549" t="s">
        <v>57</v>
      </c>
      <c r="C549" t="s">
        <v>108</v>
      </c>
      <c r="D549" t="s">
        <v>78</v>
      </c>
      <c r="E549">
        <v>34</v>
      </c>
      <c r="F549">
        <v>31</v>
      </c>
      <c r="G549" t="s">
        <v>1662</v>
      </c>
      <c r="H549" t="s">
        <v>661</v>
      </c>
      <c r="I549" t="s">
        <v>44</v>
      </c>
      <c r="J549" t="s">
        <v>44</v>
      </c>
      <c r="K549" t="s">
        <v>63</v>
      </c>
      <c r="L549" t="s">
        <v>44</v>
      </c>
      <c r="M549" t="s">
        <v>43</v>
      </c>
      <c r="N549" t="s">
        <v>43</v>
      </c>
      <c r="O549" t="s">
        <v>231</v>
      </c>
      <c r="P549" t="s">
        <v>43</v>
      </c>
      <c r="Q549" t="s">
        <v>200</v>
      </c>
      <c r="R549" t="s">
        <v>200</v>
      </c>
      <c r="S549" t="s">
        <v>200</v>
      </c>
      <c r="T549" t="s">
        <v>177</v>
      </c>
      <c r="U549" t="s">
        <v>40</v>
      </c>
      <c r="V549" t="s">
        <v>190</v>
      </c>
      <c r="W549" t="s">
        <v>232</v>
      </c>
      <c r="X549" t="s">
        <v>358</v>
      </c>
      <c r="Y549" t="s">
        <v>358</v>
      </c>
      <c r="Z549" t="s">
        <v>169</v>
      </c>
      <c r="AA549" t="s">
        <v>358</v>
      </c>
      <c r="AB549" t="s">
        <v>169</v>
      </c>
      <c r="AC549" t="s">
        <v>193</v>
      </c>
      <c r="AD549" t="s">
        <v>193</v>
      </c>
      <c r="AE549" t="s">
        <v>242</v>
      </c>
      <c r="AF549" t="s">
        <v>193</v>
      </c>
      <c r="AG549" t="s">
        <v>242</v>
      </c>
      <c r="AH549" t="s">
        <v>1658</v>
      </c>
    </row>
    <row r="550" spans="1:34" x14ac:dyDescent="0.25">
      <c r="A550" t="s">
        <v>1663</v>
      </c>
      <c r="B550" t="s">
        <v>76</v>
      </c>
      <c r="C550" t="s">
        <v>36</v>
      </c>
      <c r="D550" t="s">
        <v>201</v>
      </c>
      <c r="E550">
        <v>36</v>
      </c>
      <c r="F550">
        <v>29</v>
      </c>
      <c r="G550" t="s">
        <v>1664</v>
      </c>
      <c r="H550" t="s">
        <v>1665</v>
      </c>
      <c r="I550" t="s">
        <v>44</v>
      </c>
      <c r="J550" t="s">
        <v>43</v>
      </c>
      <c r="K550" t="s">
        <v>44</v>
      </c>
      <c r="L550" t="s">
        <v>44</v>
      </c>
      <c r="M550" t="s">
        <v>43</v>
      </c>
      <c r="N550" t="s">
        <v>43</v>
      </c>
      <c r="O550" t="s">
        <v>114</v>
      </c>
      <c r="P550" t="s">
        <v>43</v>
      </c>
      <c r="Q550" t="s">
        <v>70</v>
      </c>
      <c r="R550" t="s">
        <v>70</v>
      </c>
      <c r="S550" t="s">
        <v>241</v>
      </c>
      <c r="T550" t="s">
        <v>259</v>
      </c>
      <c r="U550" t="s">
        <v>142</v>
      </c>
      <c r="V550" t="s">
        <v>499</v>
      </c>
      <c r="W550" t="s">
        <v>185</v>
      </c>
      <c r="X550" t="s">
        <v>358</v>
      </c>
      <c r="Y550" t="s">
        <v>43</v>
      </c>
      <c r="Z550" t="s">
        <v>358</v>
      </c>
      <c r="AA550" t="s">
        <v>358</v>
      </c>
      <c r="AB550" t="s">
        <v>358</v>
      </c>
      <c r="AC550" t="s">
        <v>182</v>
      </c>
      <c r="AD550" t="s">
        <v>119</v>
      </c>
      <c r="AE550" t="s">
        <v>358</v>
      </c>
      <c r="AF550" t="s">
        <v>182</v>
      </c>
      <c r="AG550" t="s">
        <v>358</v>
      </c>
      <c r="AH550" t="s">
        <v>1658</v>
      </c>
    </row>
    <row r="551" spans="1:34" x14ac:dyDescent="0.25">
      <c r="A551" t="s">
        <v>1666</v>
      </c>
      <c r="B551" t="s">
        <v>1667</v>
      </c>
      <c r="C551" t="s">
        <v>108</v>
      </c>
      <c r="D551" t="s">
        <v>201</v>
      </c>
      <c r="E551">
        <v>31</v>
      </c>
      <c r="F551">
        <v>29</v>
      </c>
      <c r="G551" t="s">
        <v>1363</v>
      </c>
      <c r="H551" t="s">
        <v>88</v>
      </c>
      <c r="I551" t="s">
        <v>63</v>
      </c>
      <c r="J551" t="s">
        <v>43</v>
      </c>
      <c r="K551" t="s">
        <v>63</v>
      </c>
      <c r="L551" t="s">
        <v>63</v>
      </c>
      <c r="M551" t="s">
        <v>43</v>
      </c>
      <c r="N551" t="s">
        <v>43</v>
      </c>
      <c r="O551" t="s">
        <v>89</v>
      </c>
      <c r="P551" t="s">
        <v>44</v>
      </c>
      <c r="Q551" t="s">
        <v>188</v>
      </c>
      <c r="R551" t="s">
        <v>188</v>
      </c>
      <c r="S551" t="s">
        <v>259</v>
      </c>
      <c r="T551" t="s">
        <v>83</v>
      </c>
      <c r="U551" t="s">
        <v>127</v>
      </c>
      <c r="V551" t="s">
        <v>372</v>
      </c>
      <c r="W551" t="s">
        <v>185</v>
      </c>
      <c r="X551" t="s">
        <v>181</v>
      </c>
      <c r="Y551" t="s">
        <v>43</v>
      </c>
      <c r="Z551" t="s">
        <v>181</v>
      </c>
      <c r="AA551" t="s">
        <v>181</v>
      </c>
      <c r="AB551" t="s">
        <v>181</v>
      </c>
      <c r="AC551" t="s">
        <v>204</v>
      </c>
      <c r="AD551" t="s">
        <v>358</v>
      </c>
      <c r="AE551" t="s">
        <v>218</v>
      </c>
      <c r="AF551" t="s">
        <v>204</v>
      </c>
      <c r="AG551" t="s">
        <v>218</v>
      </c>
      <c r="AH551" t="s">
        <v>1658</v>
      </c>
    </row>
    <row r="552" spans="1:34" x14ac:dyDescent="0.25">
      <c r="A552" t="s">
        <v>1668</v>
      </c>
      <c r="B552" t="s">
        <v>57</v>
      </c>
      <c r="C552" t="s">
        <v>77</v>
      </c>
      <c r="D552" t="s">
        <v>140</v>
      </c>
      <c r="E552">
        <v>30</v>
      </c>
      <c r="F552">
        <v>29</v>
      </c>
      <c r="G552" t="s">
        <v>1363</v>
      </c>
      <c r="H552" t="s">
        <v>88</v>
      </c>
      <c r="I552" t="s">
        <v>43</v>
      </c>
      <c r="J552" t="s">
        <v>43</v>
      </c>
      <c r="K552" t="s">
        <v>43</v>
      </c>
      <c r="L552" t="s">
        <v>43</v>
      </c>
      <c r="M552" t="s">
        <v>43</v>
      </c>
      <c r="N552" t="s">
        <v>43</v>
      </c>
      <c r="O552" t="s">
        <v>63</v>
      </c>
      <c r="P552" t="s">
        <v>43</v>
      </c>
      <c r="Q552" t="s">
        <v>43</v>
      </c>
      <c r="R552" t="s">
        <v>43</v>
      </c>
      <c r="S552" t="s">
        <v>82</v>
      </c>
      <c r="T552" t="s">
        <v>82</v>
      </c>
      <c r="U552" t="s">
        <v>43</v>
      </c>
      <c r="V552" t="s">
        <v>43</v>
      </c>
      <c r="W552" t="s">
        <v>43</v>
      </c>
      <c r="X552" t="s">
        <v>43</v>
      </c>
      <c r="Y552" t="s">
        <v>43</v>
      </c>
      <c r="Z552" t="s">
        <v>43</v>
      </c>
      <c r="AA552" t="s">
        <v>43</v>
      </c>
      <c r="AB552" t="s">
        <v>43</v>
      </c>
      <c r="AC552" t="s">
        <v>43</v>
      </c>
      <c r="AD552" t="s">
        <v>43</v>
      </c>
      <c r="AE552" t="s">
        <v>43</v>
      </c>
      <c r="AF552" t="s">
        <v>43</v>
      </c>
      <c r="AG552" t="s">
        <v>43</v>
      </c>
      <c r="AH552" t="s">
        <v>1658</v>
      </c>
    </row>
    <row r="553" spans="1:34" x14ac:dyDescent="0.25">
      <c r="A553" t="s">
        <v>1669</v>
      </c>
      <c r="B553" t="s">
        <v>1073</v>
      </c>
      <c r="C553" t="s">
        <v>108</v>
      </c>
      <c r="D553" t="s">
        <v>201</v>
      </c>
      <c r="E553">
        <v>32</v>
      </c>
      <c r="F553">
        <v>28</v>
      </c>
      <c r="G553" t="s">
        <v>1670</v>
      </c>
      <c r="H553" t="s">
        <v>125</v>
      </c>
      <c r="I553" t="s">
        <v>43</v>
      </c>
      <c r="J553" t="s">
        <v>43</v>
      </c>
      <c r="K553" t="s">
        <v>43</v>
      </c>
      <c r="L553" t="s">
        <v>43</v>
      </c>
      <c r="M553" t="s">
        <v>43</v>
      </c>
      <c r="N553" t="s">
        <v>43</v>
      </c>
      <c r="O553" t="s">
        <v>83</v>
      </c>
      <c r="P553" t="s">
        <v>43</v>
      </c>
      <c r="Q553" t="s">
        <v>112</v>
      </c>
      <c r="R553" t="s">
        <v>112</v>
      </c>
      <c r="S553" t="s">
        <v>254</v>
      </c>
      <c r="T553" t="s">
        <v>416</v>
      </c>
      <c r="U553" t="s">
        <v>231</v>
      </c>
      <c r="V553" t="s">
        <v>494</v>
      </c>
      <c r="W553" t="s">
        <v>127</v>
      </c>
      <c r="X553" t="s">
        <v>43</v>
      </c>
      <c r="Y553" t="s">
        <v>43</v>
      </c>
      <c r="Z553" t="s">
        <v>43</v>
      </c>
      <c r="AA553" t="s">
        <v>43</v>
      </c>
      <c r="AB553" t="s">
        <v>43</v>
      </c>
      <c r="AC553" t="s">
        <v>119</v>
      </c>
      <c r="AD553" t="s">
        <v>193</v>
      </c>
      <c r="AE553" t="s">
        <v>168</v>
      </c>
      <c r="AF553" t="s">
        <v>119</v>
      </c>
      <c r="AG553" t="s">
        <v>168</v>
      </c>
      <c r="AH553" t="s">
        <v>1658</v>
      </c>
    </row>
    <row r="554" spans="1:34" x14ac:dyDescent="0.25">
      <c r="A554" t="s">
        <v>979</v>
      </c>
      <c r="B554" t="s">
        <v>57</v>
      </c>
      <c r="C554" t="s">
        <v>58</v>
      </c>
      <c r="D554" t="s">
        <v>272</v>
      </c>
      <c r="E554">
        <v>29</v>
      </c>
      <c r="F554">
        <v>21</v>
      </c>
      <c r="G554" t="s">
        <v>1436</v>
      </c>
      <c r="H554" t="s">
        <v>1437</v>
      </c>
      <c r="I554" t="s">
        <v>83</v>
      </c>
      <c r="J554" t="s">
        <v>44</v>
      </c>
      <c r="K554" t="s">
        <v>81</v>
      </c>
      <c r="L554" t="s">
        <v>83</v>
      </c>
      <c r="M554" t="s">
        <v>43</v>
      </c>
      <c r="N554" t="s">
        <v>43</v>
      </c>
      <c r="O554" t="s">
        <v>44</v>
      </c>
      <c r="P554" t="s">
        <v>43</v>
      </c>
      <c r="Q554" t="s">
        <v>993</v>
      </c>
      <c r="R554" t="s">
        <v>993</v>
      </c>
      <c r="S554" t="s">
        <v>282</v>
      </c>
      <c r="T554" t="s">
        <v>840</v>
      </c>
      <c r="U554" t="s">
        <v>109</v>
      </c>
      <c r="V554" t="s">
        <v>127</v>
      </c>
      <c r="W554" t="s">
        <v>293</v>
      </c>
      <c r="X554" t="s">
        <v>241</v>
      </c>
      <c r="Y554" t="s">
        <v>168</v>
      </c>
      <c r="Z554" t="s">
        <v>50</v>
      </c>
      <c r="AA554" t="s">
        <v>241</v>
      </c>
      <c r="AB554" t="s">
        <v>50</v>
      </c>
      <c r="AC554" t="s">
        <v>98</v>
      </c>
      <c r="AD554" t="s">
        <v>218</v>
      </c>
      <c r="AE554" t="s">
        <v>251</v>
      </c>
      <c r="AF554" t="s">
        <v>98</v>
      </c>
      <c r="AG554" t="s">
        <v>251</v>
      </c>
      <c r="AH554" t="s">
        <v>1658</v>
      </c>
    </row>
    <row r="555" spans="1:34" x14ac:dyDescent="0.25">
      <c r="A555" t="s">
        <v>278</v>
      </c>
      <c r="B555" t="s">
        <v>57</v>
      </c>
      <c r="C555" t="s">
        <v>86</v>
      </c>
      <c r="D555" t="s">
        <v>141</v>
      </c>
      <c r="E555">
        <v>30</v>
      </c>
      <c r="F555">
        <v>20</v>
      </c>
      <c r="G555" t="s">
        <v>1671</v>
      </c>
      <c r="H555" t="s">
        <v>948</v>
      </c>
      <c r="I555" t="s">
        <v>114</v>
      </c>
      <c r="J555" t="s">
        <v>114</v>
      </c>
      <c r="K555" t="s">
        <v>126</v>
      </c>
      <c r="L555" t="s">
        <v>63</v>
      </c>
      <c r="M555" t="s">
        <v>44</v>
      </c>
      <c r="N555" t="s">
        <v>44</v>
      </c>
      <c r="O555" t="s">
        <v>63</v>
      </c>
      <c r="P555" t="s">
        <v>43</v>
      </c>
      <c r="Q555" t="s">
        <v>188</v>
      </c>
      <c r="R555" t="s">
        <v>327</v>
      </c>
      <c r="S555" t="s">
        <v>224</v>
      </c>
      <c r="T555" t="s">
        <v>600</v>
      </c>
      <c r="U555" t="s">
        <v>49</v>
      </c>
      <c r="V555" t="s">
        <v>955</v>
      </c>
      <c r="W555" t="s">
        <v>1566</v>
      </c>
      <c r="X555" t="s">
        <v>156</v>
      </c>
      <c r="Y555" t="s">
        <v>156</v>
      </c>
      <c r="Z555" t="s">
        <v>163</v>
      </c>
      <c r="AA555" t="s">
        <v>82</v>
      </c>
      <c r="AB555" t="s">
        <v>50</v>
      </c>
      <c r="AC555" t="s">
        <v>156</v>
      </c>
      <c r="AD555" t="s">
        <v>156</v>
      </c>
      <c r="AE555" t="s">
        <v>163</v>
      </c>
      <c r="AF555" t="s">
        <v>204</v>
      </c>
      <c r="AG555" t="s">
        <v>73</v>
      </c>
      <c r="AH555" t="s">
        <v>1658</v>
      </c>
    </row>
    <row r="556" spans="1:34" x14ac:dyDescent="0.25">
      <c r="A556" t="s">
        <v>1672</v>
      </c>
      <c r="B556" t="s">
        <v>414</v>
      </c>
      <c r="C556" t="s">
        <v>36</v>
      </c>
      <c r="D556" t="s">
        <v>140</v>
      </c>
      <c r="E556">
        <v>27</v>
      </c>
      <c r="F556">
        <v>16</v>
      </c>
      <c r="G556" t="s">
        <v>1503</v>
      </c>
      <c r="H556" t="s">
        <v>167</v>
      </c>
      <c r="I556" t="s">
        <v>44</v>
      </c>
      <c r="J556" t="s">
        <v>43</v>
      </c>
      <c r="K556" t="s">
        <v>44</v>
      </c>
      <c r="L556" t="s">
        <v>43</v>
      </c>
      <c r="M556" t="s">
        <v>44</v>
      </c>
      <c r="N556" t="s">
        <v>44</v>
      </c>
      <c r="O556" t="s">
        <v>40</v>
      </c>
      <c r="P556" t="s">
        <v>43</v>
      </c>
      <c r="Q556" t="s">
        <v>254</v>
      </c>
      <c r="R556" t="s">
        <v>163</v>
      </c>
      <c r="S556" t="s">
        <v>70</v>
      </c>
      <c r="T556" t="s">
        <v>398</v>
      </c>
      <c r="U556" t="s">
        <v>114</v>
      </c>
      <c r="V556" t="s">
        <v>425</v>
      </c>
      <c r="W556" t="s">
        <v>231</v>
      </c>
      <c r="X556" t="s">
        <v>169</v>
      </c>
      <c r="Y556" t="s">
        <v>43</v>
      </c>
      <c r="Z556" t="s">
        <v>169</v>
      </c>
      <c r="AA556" t="s">
        <v>43</v>
      </c>
      <c r="AB556" t="s">
        <v>43</v>
      </c>
      <c r="AC556" t="s">
        <v>181</v>
      </c>
      <c r="AD556" t="s">
        <v>193</v>
      </c>
      <c r="AE556" t="s">
        <v>204</v>
      </c>
      <c r="AF556" t="s">
        <v>182</v>
      </c>
      <c r="AG556" t="s">
        <v>169</v>
      </c>
      <c r="AH556" t="s">
        <v>1658</v>
      </c>
    </row>
    <row r="557" spans="1:34" x14ac:dyDescent="0.25">
      <c r="A557" t="s">
        <v>1673</v>
      </c>
      <c r="B557" t="s">
        <v>360</v>
      </c>
      <c r="C557" t="s">
        <v>137</v>
      </c>
      <c r="D557" t="s">
        <v>37</v>
      </c>
      <c r="E557">
        <v>21</v>
      </c>
      <c r="F557">
        <v>15</v>
      </c>
      <c r="G557" t="s">
        <v>1674</v>
      </c>
      <c r="H557" t="s">
        <v>701</v>
      </c>
      <c r="I557" t="s">
        <v>126</v>
      </c>
      <c r="J557" t="s">
        <v>114</v>
      </c>
      <c r="K557" t="s">
        <v>41</v>
      </c>
      <c r="L557" t="s">
        <v>83</v>
      </c>
      <c r="M557" t="s">
        <v>63</v>
      </c>
      <c r="N557" t="s">
        <v>63</v>
      </c>
      <c r="O557" t="s">
        <v>142</v>
      </c>
      <c r="P557" t="s">
        <v>63</v>
      </c>
      <c r="Q557" t="s">
        <v>924</v>
      </c>
      <c r="R557" t="s">
        <v>387</v>
      </c>
      <c r="S557" t="s">
        <v>63</v>
      </c>
      <c r="T557" t="s">
        <v>258</v>
      </c>
      <c r="U557" t="s">
        <v>126</v>
      </c>
      <c r="V557" t="s">
        <v>263</v>
      </c>
      <c r="W557" t="s">
        <v>704</v>
      </c>
      <c r="X557" t="s">
        <v>318</v>
      </c>
      <c r="Y557" t="s">
        <v>134</v>
      </c>
      <c r="Z557" t="s">
        <v>569</v>
      </c>
      <c r="AA557" t="s">
        <v>51</v>
      </c>
      <c r="AB557" t="s">
        <v>374</v>
      </c>
      <c r="AC557" t="s">
        <v>348</v>
      </c>
      <c r="AD557" t="s">
        <v>218</v>
      </c>
      <c r="AE557" t="s">
        <v>217</v>
      </c>
      <c r="AF557" t="s">
        <v>97</v>
      </c>
      <c r="AG557" t="s">
        <v>617</v>
      </c>
      <c r="AH557" t="s">
        <v>1658</v>
      </c>
    </row>
    <row r="558" spans="1:34" x14ac:dyDescent="0.25">
      <c r="A558" t="s">
        <v>1675</v>
      </c>
      <c r="B558" t="s">
        <v>57</v>
      </c>
      <c r="C558" t="s">
        <v>172</v>
      </c>
      <c r="D558" t="s">
        <v>123</v>
      </c>
      <c r="E558">
        <v>24</v>
      </c>
      <c r="F558">
        <v>14</v>
      </c>
      <c r="G558" t="s">
        <v>1255</v>
      </c>
      <c r="H558" t="s">
        <v>1249</v>
      </c>
      <c r="I558" t="s">
        <v>43</v>
      </c>
      <c r="J558" t="s">
        <v>63</v>
      </c>
      <c r="K558" t="s">
        <v>63</v>
      </c>
      <c r="L558" t="s">
        <v>43</v>
      </c>
      <c r="M558" t="s">
        <v>43</v>
      </c>
      <c r="N558" t="s">
        <v>43</v>
      </c>
      <c r="O558" t="s">
        <v>114</v>
      </c>
      <c r="P558" t="s">
        <v>43</v>
      </c>
      <c r="Q558" t="s">
        <v>241</v>
      </c>
      <c r="R558" t="s">
        <v>241</v>
      </c>
      <c r="S558" t="s">
        <v>398</v>
      </c>
      <c r="T558" t="s">
        <v>254</v>
      </c>
      <c r="U558" t="s">
        <v>167</v>
      </c>
      <c r="V558" t="s">
        <v>49</v>
      </c>
      <c r="W558" t="s">
        <v>298</v>
      </c>
      <c r="X558" t="s">
        <v>43</v>
      </c>
      <c r="Y558" t="s">
        <v>118</v>
      </c>
      <c r="Z558" t="s">
        <v>118</v>
      </c>
      <c r="AA558" t="s">
        <v>43</v>
      </c>
      <c r="AB558" t="s">
        <v>118</v>
      </c>
      <c r="AC558" t="s">
        <v>119</v>
      </c>
      <c r="AD558" t="s">
        <v>169</v>
      </c>
      <c r="AE558" t="s">
        <v>181</v>
      </c>
      <c r="AF558" t="s">
        <v>119</v>
      </c>
      <c r="AG558" t="s">
        <v>181</v>
      </c>
      <c r="AH558" t="s">
        <v>1658</v>
      </c>
    </row>
    <row r="559" spans="1:34" x14ac:dyDescent="0.25">
      <c r="A559" t="s">
        <v>1676</v>
      </c>
      <c r="B559" t="s">
        <v>1677</v>
      </c>
      <c r="C559" t="s">
        <v>58</v>
      </c>
      <c r="D559" t="s">
        <v>201</v>
      </c>
      <c r="E559">
        <v>14</v>
      </c>
      <c r="F559">
        <v>14</v>
      </c>
      <c r="G559" t="s">
        <v>1678</v>
      </c>
      <c r="H559" t="s">
        <v>476</v>
      </c>
      <c r="I559" t="s">
        <v>126</v>
      </c>
      <c r="J559" t="s">
        <v>44</v>
      </c>
      <c r="K559" t="s">
        <v>142</v>
      </c>
      <c r="L559" t="s">
        <v>81</v>
      </c>
      <c r="M559" t="s">
        <v>44</v>
      </c>
      <c r="N559" t="s">
        <v>44</v>
      </c>
      <c r="O559" t="s">
        <v>114</v>
      </c>
      <c r="P559" t="s">
        <v>43</v>
      </c>
      <c r="Q559" t="s">
        <v>487</v>
      </c>
      <c r="R559" t="s">
        <v>387</v>
      </c>
      <c r="S559" t="s">
        <v>416</v>
      </c>
      <c r="T559" t="s">
        <v>1000</v>
      </c>
      <c r="U559" t="s">
        <v>59</v>
      </c>
      <c r="V559" t="s">
        <v>225</v>
      </c>
      <c r="W559" t="s">
        <v>400</v>
      </c>
      <c r="X559" t="s">
        <v>374</v>
      </c>
      <c r="Y559" t="s">
        <v>242</v>
      </c>
      <c r="Z559" t="s">
        <v>481</v>
      </c>
      <c r="AA559" t="s">
        <v>251</v>
      </c>
      <c r="AB559" t="s">
        <v>374</v>
      </c>
      <c r="AC559" t="s">
        <v>374</v>
      </c>
      <c r="AD559" t="s">
        <v>53</v>
      </c>
      <c r="AE559" t="s">
        <v>106</v>
      </c>
      <c r="AF559" t="s">
        <v>500</v>
      </c>
      <c r="AG559" t="s">
        <v>320</v>
      </c>
      <c r="AH559" t="s">
        <v>1658</v>
      </c>
    </row>
    <row r="560" spans="1:34" x14ac:dyDescent="0.25">
      <c r="A560" t="s">
        <v>1679</v>
      </c>
      <c r="B560" t="s">
        <v>57</v>
      </c>
      <c r="C560" t="s">
        <v>524</v>
      </c>
      <c r="D560" t="s">
        <v>62</v>
      </c>
      <c r="E560">
        <v>20</v>
      </c>
      <c r="F560">
        <v>12</v>
      </c>
      <c r="G560" t="s">
        <v>881</v>
      </c>
      <c r="H560" t="s">
        <v>753</v>
      </c>
      <c r="I560" t="s">
        <v>43</v>
      </c>
      <c r="J560" t="s">
        <v>43</v>
      </c>
      <c r="K560" t="s">
        <v>43</v>
      </c>
      <c r="L560" t="s">
        <v>43</v>
      </c>
      <c r="M560" t="s">
        <v>43</v>
      </c>
      <c r="N560" t="s">
        <v>43</v>
      </c>
      <c r="O560" t="s">
        <v>44</v>
      </c>
      <c r="P560" t="s">
        <v>43</v>
      </c>
      <c r="Q560" t="s">
        <v>112</v>
      </c>
      <c r="R560" t="s">
        <v>112</v>
      </c>
      <c r="S560" t="s">
        <v>82</v>
      </c>
      <c r="T560" t="s">
        <v>176</v>
      </c>
      <c r="U560" t="s">
        <v>276</v>
      </c>
      <c r="V560" t="s">
        <v>203</v>
      </c>
      <c r="W560" t="s">
        <v>272</v>
      </c>
      <c r="X560" t="s">
        <v>43</v>
      </c>
      <c r="Y560" t="s">
        <v>43</v>
      </c>
      <c r="Z560" t="s">
        <v>43</v>
      </c>
      <c r="AA560" t="s">
        <v>43</v>
      </c>
      <c r="AB560" t="s">
        <v>43</v>
      </c>
      <c r="AC560" t="s">
        <v>193</v>
      </c>
      <c r="AD560" t="s">
        <v>119</v>
      </c>
      <c r="AE560" t="s">
        <v>168</v>
      </c>
      <c r="AF560" t="s">
        <v>193</v>
      </c>
      <c r="AG560" t="s">
        <v>168</v>
      </c>
      <c r="AH560" t="s">
        <v>1658</v>
      </c>
    </row>
    <row r="561" spans="1:34" x14ac:dyDescent="0.25">
      <c r="A561" t="s">
        <v>1680</v>
      </c>
      <c r="B561" t="s">
        <v>422</v>
      </c>
      <c r="C561" t="s">
        <v>108</v>
      </c>
      <c r="D561" t="s">
        <v>263</v>
      </c>
      <c r="E561">
        <v>13</v>
      </c>
      <c r="F561">
        <v>11</v>
      </c>
      <c r="G561" t="s">
        <v>1681</v>
      </c>
      <c r="H561" t="s">
        <v>461</v>
      </c>
      <c r="I561" t="s">
        <v>43</v>
      </c>
      <c r="J561" t="s">
        <v>44</v>
      </c>
      <c r="K561" t="s">
        <v>44</v>
      </c>
      <c r="L561" t="s">
        <v>43</v>
      </c>
      <c r="M561" t="s">
        <v>43</v>
      </c>
      <c r="N561" t="s">
        <v>43</v>
      </c>
      <c r="O561" t="s">
        <v>83</v>
      </c>
      <c r="P561" t="s">
        <v>43</v>
      </c>
      <c r="Q561" t="s">
        <v>43</v>
      </c>
      <c r="R561" t="s">
        <v>43</v>
      </c>
      <c r="S561" t="s">
        <v>259</v>
      </c>
      <c r="T561" t="s">
        <v>259</v>
      </c>
      <c r="U561" t="s">
        <v>41</v>
      </c>
      <c r="V561" t="s">
        <v>304</v>
      </c>
      <c r="W561" t="s">
        <v>201</v>
      </c>
      <c r="X561" t="s">
        <v>43</v>
      </c>
      <c r="Y561" t="s">
        <v>120</v>
      </c>
      <c r="Z561" t="s">
        <v>120</v>
      </c>
      <c r="AA561" t="s">
        <v>43</v>
      </c>
      <c r="AB561" t="s">
        <v>120</v>
      </c>
      <c r="AC561" t="s">
        <v>43</v>
      </c>
      <c r="AD561" t="s">
        <v>181</v>
      </c>
      <c r="AE561" t="s">
        <v>242</v>
      </c>
      <c r="AF561" t="s">
        <v>43</v>
      </c>
      <c r="AG561" t="s">
        <v>242</v>
      </c>
      <c r="AH561" t="s">
        <v>1658</v>
      </c>
    </row>
    <row r="562" spans="1:34" x14ac:dyDescent="0.25">
      <c r="A562" t="s">
        <v>1682</v>
      </c>
      <c r="B562" t="s">
        <v>57</v>
      </c>
      <c r="C562" t="s">
        <v>36</v>
      </c>
      <c r="D562" t="s">
        <v>62</v>
      </c>
      <c r="E562">
        <v>12</v>
      </c>
      <c r="F562">
        <v>11</v>
      </c>
      <c r="G562" t="s">
        <v>1683</v>
      </c>
      <c r="H562" t="s">
        <v>462</v>
      </c>
      <c r="I562" t="s">
        <v>43</v>
      </c>
      <c r="J562" t="s">
        <v>43</v>
      </c>
      <c r="K562" t="s">
        <v>43</v>
      </c>
      <c r="L562" t="s">
        <v>43</v>
      </c>
      <c r="M562" t="s">
        <v>43</v>
      </c>
      <c r="N562" t="s">
        <v>43</v>
      </c>
      <c r="O562" t="s">
        <v>63</v>
      </c>
      <c r="P562" t="s">
        <v>43</v>
      </c>
      <c r="Q562" t="s">
        <v>43</v>
      </c>
      <c r="R562" t="s">
        <v>43</v>
      </c>
      <c r="S562" t="s">
        <v>378</v>
      </c>
      <c r="T562" t="s">
        <v>259</v>
      </c>
      <c r="U562" t="s">
        <v>90</v>
      </c>
      <c r="V562" t="s">
        <v>372</v>
      </c>
      <c r="W562" t="s">
        <v>83</v>
      </c>
      <c r="X562" t="s">
        <v>43</v>
      </c>
      <c r="Y562" t="s">
        <v>43</v>
      </c>
      <c r="Z562" t="s">
        <v>43</v>
      </c>
      <c r="AA562" t="s">
        <v>43</v>
      </c>
      <c r="AB562" t="s">
        <v>43</v>
      </c>
      <c r="AC562" t="s">
        <v>43</v>
      </c>
      <c r="AD562" t="s">
        <v>181</v>
      </c>
      <c r="AE562" t="s">
        <v>181</v>
      </c>
      <c r="AF562" t="s">
        <v>43</v>
      </c>
      <c r="AG562" t="s">
        <v>181</v>
      </c>
      <c r="AH562" t="s">
        <v>1658</v>
      </c>
    </row>
    <row r="563" spans="1:34" x14ac:dyDescent="0.25">
      <c r="A563" t="s">
        <v>1684</v>
      </c>
      <c r="B563" t="s">
        <v>57</v>
      </c>
      <c r="C563" t="s">
        <v>108</v>
      </c>
      <c r="D563" t="s">
        <v>272</v>
      </c>
      <c r="E563">
        <v>12</v>
      </c>
      <c r="F563">
        <v>11</v>
      </c>
      <c r="G563" t="s">
        <v>1685</v>
      </c>
      <c r="H563" t="s">
        <v>521</v>
      </c>
      <c r="I563" t="s">
        <v>43</v>
      </c>
      <c r="J563" t="s">
        <v>43</v>
      </c>
      <c r="K563" t="s">
        <v>43</v>
      </c>
      <c r="L563" t="s">
        <v>43</v>
      </c>
      <c r="M563" t="s">
        <v>43</v>
      </c>
      <c r="N563" t="s">
        <v>43</v>
      </c>
      <c r="O563" t="s">
        <v>114</v>
      </c>
      <c r="P563" t="s">
        <v>43</v>
      </c>
      <c r="Q563" t="s">
        <v>176</v>
      </c>
      <c r="R563" t="s">
        <v>176</v>
      </c>
      <c r="S563" t="s">
        <v>82</v>
      </c>
      <c r="T563" t="s">
        <v>70</v>
      </c>
      <c r="U563" t="s">
        <v>40</v>
      </c>
      <c r="V563" t="s">
        <v>109</v>
      </c>
      <c r="W563" t="s">
        <v>272</v>
      </c>
      <c r="X563" t="s">
        <v>43</v>
      </c>
      <c r="Y563" t="s">
        <v>43</v>
      </c>
      <c r="Z563" t="s">
        <v>43</v>
      </c>
      <c r="AA563" t="s">
        <v>43</v>
      </c>
      <c r="AB563" t="s">
        <v>43</v>
      </c>
      <c r="AC563" t="s">
        <v>168</v>
      </c>
      <c r="AD563" t="s">
        <v>43</v>
      </c>
      <c r="AE563" t="s">
        <v>169</v>
      </c>
      <c r="AF563" t="s">
        <v>168</v>
      </c>
      <c r="AG563" t="s">
        <v>169</v>
      </c>
      <c r="AH563" t="s">
        <v>1658</v>
      </c>
    </row>
    <row r="564" spans="1:34" x14ac:dyDescent="0.25">
      <c r="A564" t="s">
        <v>1686</v>
      </c>
      <c r="B564" t="s">
        <v>804</v>
      </c>
      <c r="C564" t="s">
        <v>137</v>
      </c>
      <c r="D564" t="s">
        <v>62</v>
      </c>
      <c r="E564">
        <v>21</v>
      </c>
      <c r="F564">
        <v>9</v>
      </c>
      <c r="G564" t="s">
        <v>1687</v>
      </c>
      <c r="H564" t="s">
        <v>420</v>
      </c>
      <c r="I564" t="s">
        <v>43</v>
      </c>
      <c r="J564" t="s">
        <v>43</v>
      </c>
      <c r="K564" t="s">
        <v>43</v>
      </c>
      <c r="L564" t="s">
        <v>43</v>
      </c>
      <c r="M564" t="s">
        <v>43</v>
      </c>
      <c r="N564" t="s">
        <v>43</v>
      </c>
      <c r="O564" t="s">
        <v>83</v>
      </c>
      <c r="P564" t="s">
        <v>43</v>
      </c>
      <c r="Q564" t="s">
        <v>223</v>
      </c>
      <c r="R564" t="s">
        <v>223</v>
      </c>
      <c r="S564" t="s">
        <v>82</v>
      </c>
      <c r="T564" t="s">
        <v>164</v>
      </c>
      <c r="U564" t="s">
        <v>142</v>
      </c>
      <c r="V564" t="s">
        <v>63</v>
      </c>
      <c r="W564" t="s">
        <v>801</v>
      </c>
      <c r="X564" t="s">
        <v>43</v>
      </c>
      <c r="Y564" t="s">
        <v>43</v>
      </c>
      <c r="Z564" t="s">
        <v>43</v>
      </c>
      <c r="AA564" t="s">
        <v>43</v>
      </c>
      <c r="AB564" t="s">
        <v>43</v>
      </c>
      <c r="AC564" t="s">
        <v>194</v>
      </c>
      <c r="AD564" t="s">
        <v>119</v>
      </c>
      <c r="AE564" t="s">
        <v>241</v>
      </c>
      <c r="AF564" t="s">
        <v>194</v>
      </c>
      <c r="AG564" t="s">
        <v>241</v>
      </c>
      <c r="AH564" t="s">
        <v>1658</v>
      </c>
    </row>
    <row r="565" spans="1:34" x14ac:dyDescent="0.25">
      <c r="A565" t="s">
        <v>1688</v>
      </c>
      <c r="B565" t="s">
        <v>184</v>
      </c>
      <c r="C565" t="s">
        <v>77</v>
      </c>
      <c r="D565" t="s">
        <v>37</v>
      </c>
      <c r="E565">
        <v>9</v>
      </c>
      <c r="F565">
        <v>9</v>
      </c>
      <c r="G565" t="s">
        <v>1689</v>
      </c>
      <c r="H565" t="s">
        <v>388</v>
      </c>
      <c r="I565" t="s">
        <v>43</v>
      </c>
      <c r="J565" t="s">
        <v>43</v>
      </c>
      <c r="K565" t="s">
        <v>43</v>
      </c>
      <c r="L565" t="s">
        <v>43</v>
      </c>
      <c r="M565" t="s">
        <v>43</v>
      </c>
      <c r="N565" t="s">
        <v>43</v>
      </c>
      <c r="O565" t="s">
        <v>44</v>
      </c>
      <c r="P565" t="s">
        <v>43</v>
      </c>
      <c r="Q565" t="s">
        <v>43</v>
      </c>
      <c r="R565" t="s">
        <v>43</v>
      </c>
      <c r="S565" t="s">
        <v>43</v>
      </c>
      <c r="T565" t="s">
        <v>43</v>
      </c>
      <c r="U565" t="s">
        <v>43</v>
      </c>
      <c r="V565" t="s">
        <v>43</v>
      </c>
      <c r="W565" t="s">
        <v>43</v>
      </c>
      <c r="X565" t="s">
        <v>43</v>
      </c>
      <c r="Y565" t="s">
        <v>43</v>
      </c>
      <c r="Z565" t="s">
        <v>43</v>
      </c>
      <c r="AA565" t="s">
        <v>43</v>
      </c>
      <c r="AB565" t="s">
        <v>43</v>
      </c>
      <c r="AC565" t="s">
        <v>43</v>
      </c>
      <c r="AD565" t="s">
        <v>43</v>
      </c>
      <c r="AE565" t="s">
        <v>43</v>
      </c>
      <c r="AF565" t="s">
        <v>43</v>
      </c>
      <c r="AG565" t="s">
        <v>43</v>
      </c>
      <c r="AH565" t="s">
        <v>1658</v>
      </c>
    </row>
    <row r="566" spans="1:34" x14ac:dyDescent="0.25">
      <c r="A566" t="s">
        <v>1690</v>
      </c>
      <c r="B566" t="s">
        <v>57</v>
      </c>
      <c r="C566" t="s">
        <v>108</v>
      </c>
      <c r="D566" t="s">
        <v>148</v>
      </c>
      <c r="E566">
        <v>10</v>
      </c>
      <c r="F566">
        <v>9</v>
      </c>
      <c r="G566" t="s">
        <v>1691</v>
      </c>
      <c r="H566" t="s">
        <v>497</v>
      </c>
      <c r="I566" t="s">
        <v>43</v>
      </c>
      <c r="J566" t="s">
        <v>43</v>
      </c>
      <c r="K566" t="s">
        <v>43</v>
      </c>
      <c r="L566" t="s">
        <v>43</v>
      </c>
      <c r="M566" t="s">
        <v>43</v>
      </c>
      <c r="N566" t="s">
        <v>43</v>
      </c>
      <c r="O566" t="s">
        <v>114</v>
      </c>
      <c r="P566" t="s">
        <v>44</v>
      </c>
      <c r="Q566" t="s">
        <v>70</v>
      </c>
      <c r="R566" t="s">
        <v>70</v>
      </c>
      <c r="S566" t="s">
        <v>112</v>
      </c>
      <c r="T566" t="s">
        <v>254</v>
      </c>
      <c r="U566" t="s">
        <v>43</v>
      </c>
      <c r="V566" t="s">
        <v>90</v>
      </c>
      <c r="W566" t="s">
        <v>43</v>
      </c>
      <c r="X566" t="s">
        <v>43</v>
      </c>
      <c r="Y566" t="s">
        <v>43</v>
      </c>
      <c r="Z566" t="s">
        <v>43</v>
      </c>
      <c r="AA566" t="s">
        <v>43</v>
      </c>
      <c r="AB566" t="s">
        <v>43</v>
      </c>
      <c r="AC566" t="s">
        <v>242</v>
      </c>
      <c r="AD566" t="s">
        <v>168</v>
      </c>
      <c r="AE566" t="s">
        <v>118</v>
      </c>
      <c r="AF566" t="s">
        <v>242</v>
      </c>
      <c r="AG566" t="s">
        <v>118</v>
      </c>
      <c r="AH566" t="s">
        <v>1658</v>
      </c>
    </row>
    <row r="567" spans="1:34" x14ac:dyDescent="0.25">
      <c r="A567" t="s">
        <v>1692</v>
      </c>
      <c r="B567" t="s">
        <v>1032</v>
      </c>
      <c r="C567" t="s">
        <v>108</v>
      </c>
      <c r="D567" t="s">
        <v>272</v>
      </c>
      <c r="E567">
        <v>11</v>
      </c>
      <c r="F567">
        <v>6</v>
      </c>
      <c r="G567" t="s">
        <v>1693</v>
      </c>
      <c r="H567" t="s">
        <v>702</v>
      </c>
      <c r="I567" t="s">
        <v>43</v>
      </c>
      <c r="J567" t="s">
        <v>43</v>
      </c>
      <c r="K567" t="s">
        <v>43</v>
      </c>
      <c r="L567" t="s">
        <v>43</v>
      </c>
      <c r="M567" t="s">
        <v>43</v>
      </c>
      <c r="N567" t="s">
        <v>43</v>
      </c>
      <c r="O567" t="s">
        <v>44</v>
      </c>
      <c r="P567" t="s">
        <v>43</v>
      </c>
      <c r="Q567" t="s">
        <v>241</v>
      </c>
      <c r="R567" t="s">
        <v>241</v>
      </c>
      <c r="S567" t="s">
        <v>163</v>
      </c>
      <c r="T567" t="s">
        <v>176</v>
      </c>
      <c r="U567" t="s">
        <v>203</v>
      </c>
      <c r="V567" t="s">
        <v>232</v>
      </c>
      <c r="W567" t="s">
        <v>276</v>
      </c>
      <c r="X567" t="s">
        <v>43</v>
      </c>
      <c r="Y567" t="s">
        <v>43</v>
      </c>
      <c r="Z567" t="s">
        <v>43</v>
      </c>
      <c r="AA567" t="s">
        <v>43</v>
      </c>
      <c r="AB567" t="s">
        <v>43</v>
      </c>
      <c r="AC567" t="s">
        <v>193</v>
      </c>
      <c r="AD567" t="s">
        <v>168</v>
      </c>
      <c r="AE567" t="s">
        <v>120</v>
      </c>
      <c r="AF567" t="s">
        <v>193</v>
      </c>
      <c r="AG567" t="s">
        <v>120</v>
      </c>
      <c r="AH567" t="s">
        <v>1658</v>
      </c>
    </row>
    <row r="568" spans="1:34" x14ac:dyDescent="0.25">
      <c r="A568" t="s">
        <v>1694</v>
      </c>
      <c r="B568" t="s">
        <v>411</v>
      </c>
      <c r="C568" t="s">
        <v>108</v>
      </c>
      <c r="D568" t="s">
        <v>263</v>
      </c>
      <c r="E568">
        <v>6</v>
      </c>
      <c r="F568">
        <v>6</v>
      </c>
      <c r="G568" t="s">
        <v>1695</v>
      </c>
      <c r="H568" t="s">
        <v>363</v>
      </c>
      <c r="I568" t="s">
        <v>43</v>
      </c>
      <c r="J568" t="s">
        <v>43</v>
      </c>
      <c r="K568" t="s">
        <v>43</v>
      </c>
      <c r="L568" t="s">
        <v>43</v>
      </c>
      <c r="M568" t="s">
        <v>43</v>
      </c>
      <c r="N568" t="s">
        <v>43</v>
      </c>
      <c r="O568" t="s">
        <v>63</v>
      </c>
      <c r="P568" t="s">
        <v>43</v>
      </c>
      <c r="Q568" t="s">
        <v>241</v>
      </c>
      <c r="R568" t="s">
        <v>241</v>
      </c>
      <c r="S568" t="s">
        <v>43</v>
      </c>
      <c r="T568" t="s">
        <v>241</v>
      </c>
      <c r="U568" t="s">
        <v>43</v>
      </c>
      <c r="V568" t="s">
        <v>81</v>
      </c>
      <c r="W568" t="s">
        <v>44</v>
      </c>
      <c r="X568" t="s">
        <v>43</v>
      </c>
      <c r="Y568" t="s">
        <v>43</v>
      </c>
      <c r="Z568" t="s">
        <v>43</v>
      </c>
      <c r="AA568" t="s">
        <v>43</v>
      </c>
      <c r="AB568" t="s">
        <v>43</v>
      </c>
      <c r="AC568" t="s">
        <v>358</v>
      </c>
      <c r="AD568" t="s">
        <v>43</v>
      </c>
      <c r="AE568" t="s">
        <v>358</v>
      </c>
      <c r="AF568" t="s">
        <v>358</v>
      </c>
      <c r="AG568" t="s">
        <v>358</v>
      </c>
      <c r="AH568" t="s">
        <v>1658</v>
      </c>
    </row>
    <row r="569" spans="1:34" x14ac:dyDescent="0.25">
      <c r="A569" t="s">
        <v>1696</v>
      </c>
      <c r="B569" t="s">
        <v>57</v>
      </c>
      <c r="C569" t="s">
        <v>172</v>
      </c>
      <c r="D569" t="s">
        <v>148</v>
      </c>
      <c r="E569">
        <v>10</v>
      </c>
      <c r="F569">
        <v>4</v>
      </c>
      <c r="G569" t="s">
        <v>1584</v>
      </c>
      <c r="H569" t="s">
        <v>811</v>
      </c>
      <c r="I569" t="s">
        <v>43</v>
      </c>
      <c r="J569" t="s">
        <v>43</v>
      </c>
      <c r="K569" t="s">
        <v>43</v>
      </c>
      <c r="L569" t="s">
        <v>43</v>
      </c>
      <c r="M569" t="s">
        <v>43</v>
      </c>
      <c r="N569" t="s">
        <v>43</v>
      </c>
      <c r="O569" t="s">
        <v>44</v>
      </c>
      <c r="P569" t="s">
        <v>43</v>
      </c>
      <c r="Q569" t="s">
        <v>70</v>
      </c>
      <c r="R569" t="s">
        <v>70</v>
      </c>
      <c r="S569" t="s">
        <v>378</v>
      </c>
      <c r="T569" t="s">
        <v>222</v>
      </c>
      <c r="U569" t="s">
        <v>81</v>
      </c>
      <c r="V569" t="s">
        <v>276</v>
      </c>
      <c r="W569" t="s">
        <v>89</v>
      </c>
      <c r="X569" t="s">
        <v>43</v>
      </c>
      <c r="Y569" t="s">
        <v>43</v>
      </c>
      <c r="Z569" t="s">
        <v>43</v>
      </c>
      <c r="AA569" t="s">
        <v>43</v>
      </c>
      <c r="AB569" t="s">
        <v>43</v>
      </c>
      <c r="AC569" t="s">
        <v>82</v>
      </c>
      <c r="AD569" t="s">
        <v>118</v>
      </c>
      <c r="AE569" t="s">
        <v>402</v>
      </c>
      <c r="AF569" t="s">
        <v>82</v>
      </c>
      <c r="AG569" t="s">
        <v>402</v>
      </c>
      <c r="AH569" t="s">
        <v>1658</v>
      </c>
    </row>
    <row r="570" spans="1:34" x14ac:dyDescent="0.25">
      <c r="A570" t="s">
        <v>1697</v>
      </c>
      <c r="B570" t="s">
        <v>897</v>
      </c>
      <c r="C570" t="s">
        <v>36</v>
      </c>
      <c r="D570" t="s">
        <v>272</v>
      </c>
      <c r="E570">
        <v>15</v>
      </c>
      <c r="F570">
        <v>4</v>
      </c>
      <c r="G570" t="s">
        <v>628</v>
      </c>
      <c r="H570" t="s">
        <v>629</v>
      </c>
      <c r="I570" t="s">
        <v>43</v>
      </c>
      <c r="J570" t="s">
        <v>43</v>
      </c>
      <c r="K570" t="s">
        <v>43</v>
      </c>
      <c r="L570" t="s">
        <v>43</v>
      </c>
      <c r="M570" t="s">
        <v>43</v>
      </c>
      <c r="N570" t="s">
        <v>43</v>
      </c>
      <c r="O570" t="s">
        <v>63</v>
      </c>
      <c r="P570" t="s">
        <v>43</v>
      </c>
      <c r="Q570" t="s">
        <v>259</v>
      </c>
      <c r="R570" t="s">
        <v>259</v>
      </c>
      <c r="S570" t="s">
        <v>163</v>
      </c>
      <c r="T570" t="s">
        <v>254</v>
      </c>
      <c r="U570" t="s">
        <v>114</v>
      </c>
      <c r="V570" t="s">
        <v>276</v>
      </c>
      <c r="W570" t="s">
        <v>185</v>
      </c>
      <c r="X570" t="s">
        <v>43</v>
      </c>
      <c r="Y570" t="s">
        <v>43</v>
      </c>
      <c r="Z570" t="s">
        <v>43</v>
      </c>
      <c r="AA570" t="s">
        <v>43</v>
      </c>
      <c r="AB570" t="s">
        <v>43</v>
      </c>
      <c r="AC570" t="s">
        <v>215</v>
      </c>
      <c r="AD570" t="s">
        <v>169</v>
      </c>
      <c r="AE570" t="s">
        <v>402</v>
      </c>
      <c r="AF570" t="s">
        <v>215</v>
      </c>
      <c r="AG570" t="s">
        <v>402</v>
      </c>
      <c r="AH570" t="s">
        <v>1658</v>
      </c>
    </row>
    <row r="571" spans="1:34" x14ac:dyDescent="0.25">
      <c r="A571" t="s">
        <v>1698</v>
      </c>
      <c r="B571" t="s">
        <v>891</v>
      </c>
      <c r="C571" t="s">
        <v>58</v>
      </c>
      <c r="D571" t="s">
        <v>141</v>
      </c>
      <c r="E571">
        <v>8</v>
      </c>
      <c r="F571">
        <v>3</v>
      </c>
      <c r="G571" t="s">
        <v>1699</v>
      </c>
      <c r="H571" t="s">
        <v>145</v>
      </c>
      <c r="I571" t="s">
        <v>43</v>
      </c>
      <c r="J571" t="s">
        <v>43</v>
      </c>
      <c r="K571" t="s">
        <v>43</v>
      </c>
      <c r="L571" t="s">
        <v>43</v>
      </c>
      <c r="M571" t="s">
        <v>43</v>
      </c>
      <c r="N571" t="s">
        <v>43</v>
      </c>
      <c r="O571" t="s">
        <v>43</v>
      </c>
      <c r="P571" t="s">
        <v>43</v>
      </c>
      <c r="Q571" t="s">
        <v>163</v>
      </c>
      <c r="R571" t="s">
        <v>163</v>
      </c>
      <c r="S571" t="s">
        <v>176</v>
      </c>
      <c r="T571" t="s">
        <v>259</v>
      </c>
      <c r="U571" t="s">
        <v>142</v>
      </c>
      <c r="V571" t="s">
        <v>41</v>
      </c>
      <c r="W571" t="s">
        <v>232</v>
      </c>
      <c r="X571" t="s">
        <v>43</v>
      </c>
      <c r="Y571" t="s">
        <v>43</v>
      </c>
      <c r="Z571" t="s">
        <v>43</v>
      </c>
      <c r="AA571" t="s">
        <v>43</v>
      </c>
      <c r="AB571" t="s">
        <v>43</v>
      </c>
      <c r="AC571" t="s">
        <v>169</v>
      </c>
      <c r="AD571" t="s">
        <v>118</v>
      </c>
      <c r="AE571" t="s">
        <v>194</v>
      </c>
      <c r="AF571" t="s">
        <v>169</v>
      </c>
      <c r="AG571" t="s">
        <v>194</v>
      </c>
      <c r="AH571" t="s">
        <v>1658</v>
      </c>
    </row>
    <row r="572" spans="1:34" x14ac:dyDescent="0.25">
      <c r="A572" t="s">
        <v>1700</v>
      </c>
      <c r="B572" t="s">
        <v>57</v>
      </c>
      <c r="C572" t="s">
        <v>58</v>
      </c>
      <c r="D572" t="s">
        <v>59</v>
      </c>
      <c r="E572">
        <v>13</v>
      </c>
      <c r="F572">
        <v>3</v>
      </c>
      <c r="G572" t="s">
        <v>1701</v>
      </c>
      <c r="H572" t="s">
        <v>455</v>
      </c>
      <c r="I572" t="s">
        <v>43</v>
      </c>
      <c r="J572" t="s">
        <v>43</v>
      </c>
      <c r="K572" t="s">
        <v>43</v>
      </c>
      <c r="L572" t="s">
        <v>43</v>
      </c>
      <c r="M572" t="s">
        <v>43</v>
      </c>
      <c r="N572" t="s">
        <v>43</v>
      </c>
      <c r="O572" t="s">
        <v>43</v>
      </c>
      <c r="P572" t="s">
        <v>44</v>
      </c>
      <c r="Q572" t="s">
        <v>112</v>
      </c>
      <c r="R572" t="s">
        <v>112</v>
      </c>
      <c r="S572" t="s">
        <v>82</v>
      </c>
      <c r="T572" t="s">
        <v>176</v>
      </c>
      <c r="U572" t="s">
        <v>44</v>
      </c>
      <c r="V572" t="s">
        <v>114</v>
      </c>
      <c r="W572" t="s">
        <v>185</v>
      </c>
      <c r="X572" t="s">
        <v>43</v>
      </c>
      <c r="Y572" t="s">
        <v>43</v>
      </c>
      <c r="Z572" t="s">
        <v>43</v>
      </c>
      <c r="AA572" t="s">
        <v>43</v>
      </c>
      <c r="AB572" t="s">
        <v>43</v>
      </c>
      <c r="AC572" t="s">
        <v>120</v>
      </c>
      <c r="AD572" t="s">
        <v>358</v>
      </c>
      <c r="AE572" t="s">
        <v>53</v>
      </c>
      <c r="AF572" t="s">
        <v>120</v>
      </c>
      <c r="AG572" t="s">
        <v>53</v>
      </c>
      <c r="AH572" t="s">
        <v>1658</v>
      </c>
    </row>
    <row r="573" spans="1:34" x14ac:dyDescent="0.25">
      <c r="A573" t="s">
        <v>1702</v>
      </c>
      <c r="B573" t="s">
        <v>57</v>
      </c>
      <c r="C573" t="s">
        <v>172</v>
      </c>
      <c r="D573" t="s">
        <v>147</v>
      </c>
      <c r="E573">
        <v>8</v>
      </c>
      <c r="F573">
        <v>3</v>
      </c>
      <c r="G573" t="s">
        <v>1703</v>
      </c>
      <c r="H573" t="s">
        <v>297</v>
      </c>
      <c r="I573" t="s">
        <v>43</v>
      </c>
      <c r="J573" t="s">
        <v>43</v>
      </c>
      <c r="K573" t="s">
        <v>43</v>
      </c>
      <c r="L573" t="s">
        <v>43</v>
      </c>
      <c r="M573" t="s">
        <v>43</v>
      </c>
      <c r="N573" t="s">
        <v>43</v>
      </c>
      <c r="O573" t="s">
        <v>44</v>
      </c>
      <c r="P573" t="s">
        <v>43</v>
      </c>
      <c r="Q573" t="s">
        <v>82</v>
      </c>
      <c r="R573" t="s">
        <v>82</v>
      </c>
      <c r="S573" t="s">
        <v>163</v>
      </c>
      <c r="T573" t="s">
        <v>112</v>
      </c>
      <c r="U573" t="s">
        <v>44</v>
      </c>
      <c r="V573" t="s">
        <v>142</v>
      </c>
      <c r="W573" t="s">
        <v>126</v>
      </c>
      <c r="X573" t="s">
        <v>43</v>
      </c>
      <c r="Y573" t="s">
        <v>43</v>
      </c>
      <c r="Z573" t="s">
        <v>43</v>
      </c>
      <c r="AA573" t="s">
        <v>43</v>
      </c>
      <c r="AB573" t="s">
        <v>43</v>
      </c>
      <c r="AC573" t="s">
        <v>193</v>
      </c>
      <c r="AD573" t="s">
        <v>181</v>
      </c>
      <c r="AE573" t="s">
        <v>82</v>
      </c>
      <c r="AF573" t="s">
        <v>193</v>
      </c>
      <c r="AG573" t="s">
        <v>82</v>
      </c>
      <c r="AH573" t="s">
        <v>1658</v>
      </c>
    </row>
    <row r="574" spans="1:34" x14ac:dyDescent="0.25">
      <c r="A574" t="s">
        <v>1704</v>
      </c>
      <c r="B574" t="s">
        <v>57</v>
      </c>
      <c r="C574" t="s">
        <v>36</v>
      </c>
      <c r="D574" t="s">
        <v>268</v>
      </c>
      <c r="E574">
        <v>9</v>
      </c>
      <c r="F574">
        <v>2</v>
      </c>
      <c r="G574" t="s">
        <v>1705</v>
      </c>
      <c r="H574" t="s">
        <v>199</v>
      </c>
      <c r="I574" t="s">
        <v>43</v>
      </c>
      <c r="J574" t="s">
        <v>43</v>
      </c>
      <c r="K574" t="s">
        <v>43</v>
      </c>
      <c r="L574" t="s">
        <v>43</v>
      </c>
      <c r="M574" t="s">
        <v>43</v>
      </c>
      <c r="N574" t="s">
        <v>43</v>
      </c>
      <c r="O574" t="s">
        <v>63</v>
      </c>
      <c r="P574" t="s">
        <v>43</v>
      </c>
      <c r="Q574" t="s">
        <v>112</v>
      </c>
      <c r="R574" t="s">
        <v>112</v>
      </c>
      <c r="S574" t="s">
        <v>82</v>
      </c>
      <c r="T574" t="s">
        <v>112</v>
      </c>
      <c r="U574" t="s">
        <v>114</v>
      </c>
      <c r="V574" t="s">
        <v>40</v>
      </c>
      <c r="W574" t="s">
        <v>114</v>
      </c>
      <c r="X574" t="s">
        <v>43</v>
      </c>
      <c r="Y574" t="s">
        <v>43</v>
      </c>
      <c r="Z574" t="s">
        <v>43</v>
      </c>
      <c r="AA574" t="s">
        <v>43</v>
      </c>
      <c r="AB574" t="s">
        <v>43</v>
      </c>
      <c r="AC574" t="s">
        <v>218</v>
      </c>
      <c r="AD574" t="s">
        <v>358</v>
      </c>
      <c r="AE574" t="s">
        <v>215</v>
      </c>
      <c r="AF574" t="s">
        <v>218</v>
      </c>
      <c r="AG574" t="s">
        <v>215</v>
      </c>
      <c r="AH574" t="s">
        <v>1658</v>
      </c>
    </row>
    <row r="575" spans="1:34" x14ac:dyDescent="0.25">
      <c r="A575" t="s">
        <v>1706</v>
      </c>
      <c r="B575" t="s">
        <v>432</v>
      </c>
      <c r="C575" t="s">
        <v>108</v>
      </c>
      <c r="D575" t="s">
        <v>201</v>
      </c>
      <c r="E575">
        <v>5</v>
      </c>
      <c r="F575">
        <v>2</v>
      </c>
      <c r="G575" t="s">
        <v>1566</v>
      </c>
      <c r="H575" t="s">
        <v>200</v>
      </c>
      <c r="I575" t="s">
        <v>43</v>
      </c>
      <c r="J575" t="s">
        <v>43</v>
      </c>
      <c r="K575" t="s">
        <v>43</v>
      </c>
      <c r="L575" t="s">
        <v>43</v>
      </c>
      <c r="M575" t="s">
        <v>43</v>
      </c>
      <c r="N575" t="s">
        <v>43</v>
      </c>
      <c r="O575" t="s">
        <v>44</v>
      </c>
      <c r="P575" t="s">
        <v>43</v>
      </c>
      <c r="Q575" t="s">
        <v>43</v>
      </c>
      <c r="R575" t="s">
        <v>43</v>
      </c>
      <c r="S575" t="s">
        <v>43</v>
      </c>
      <c r="T575" t="s">
        <v>43</v>
      </c>
      <c r="U575" t="s">
        <v>114</v>
      </c>
      <c r="V575" t="s">
        <v>63</v>
      </c>
      <c r="W575" t="s">
        <v>126</v>
      </c>
      <c r="X575" t="s">
        <v>43</v>
      </c>
      <c r="Y575" t="s">
        <v>43</v>
      </c>
      <c r="Z575" t="s">
        <v>43</v>
      </c>
      <c r="AA575" t="s">
        <v>43</v>
      </c>
      <c r="AB575" t="s">
        <v>43</v>
      </c>
      <c r="AC575" t="s">
        <v>43</v>
      </c>
      <c r="AD575" t="s">
        <v>119</v>
      </c>
      <c r="AE575" t="s">
        <v>119</v>
      </c>
      <c r="AF575" t="s">
        <v>43</v>
      </c>
      <c r="AG575" t="s">
        <v>119</v>
      </c>
      <c r="AH575" t="s">
        <v>1658</v>
      </c>
    </row>
    <row r="576" spans="1:34" x14ac:dyDescent="0.25">
      <c r="A576" t="s">
        <v>1707</v>
      </c>
      <c r="B576" t="s">
        <v>360</v>
      </c>
      <c r="C576" t="s">
        <v>524</v>
      </c>
      <c r="D576" t="s">
        <v>304</v>
      </c>
      <c r="E576">
        <v>4</v>
      </c>
      <c r="F576">
        <v>1</v>
      </c>
      <c r="G576" t="s">
        <v>606</v>
      </c>
      <c r="H576" t="s">
        <v>44</v>
      </c>
      <c r="I576" t="s">
        <v>43</v>
      </c>
      <c r="J576" t="s">
        <v>43</v>
      </c>
      <c r="K576" t="s">
        <v>43</v>
      </c>
      <c r="L576" t="s">
        <v>43</v>
      </c>
      <c r="M576" t="s">
        <v>43</v>
      </c>
      <c r="N576" t="s">
        <v>43</v>
      </c>
      <c r="O576" t="s">
        <v>44</v>
      </c>
      <c r="P576" t="s">
        <v>43</v>
      </c>
      <c r="Q576" t="s">
        <v>43</v>
      </c>
      <c r="R576" t="s">
        <v>43</v>
      </c>
      <c r="S576" t="s">
        <v>112</v>
      </c>
      <c r="T576" t="s">
        <v>112</v>
      </c>
      <c r="U576" t="s">
        <v>63</v>
      </c>
      <c r="V576" t="s">
        <v>114</v>
      </c>
      <c r="W576" t="s">
        <v>43</v>
      </c>
      <c r="X576" t="s">
        <v>43</v>
      </c>
      <c r="Y576" t="s">
        <v>43</v>
      </c>
      <c r="Z576" t="s">
        <v>43</v>
      </c>
      <c r="AA576" t="s">
        <v>43</v>
      </c>
      <c r="AB576" t="s">
        <v>43</v>
      </c>
      <c r="AC576" t="s">
        <v>43</v>
      </c>
      <c r="AD576" t="s">
        <v>102</v>
      </c>
      <c r="AE576" t="s">
        <v>102</v>
      </c>
      <c r="AF576" t="s">
        <v>43</v>
      </c>
      <c r="AG576" t="s">
        <v>102</v>
      </c>
      <c r="AH576" t="s">
        <v>1658</v>
      </c>
    </row>
    <row r="577" spans="1:34" x14ac:dyDescent="0.25">
      <c r="A577" t="s">
        <v>1708</v>
      </c>
      <c r="B577" t="s">
        <v>411</v>
      </c>
      <c r="C577" t="s">
        <v>108</v>
      </c>
      <c r="D577" t="s">
        <v>42</v>
      </c>
      <c r="E577">
        <v>1</v>
      </c>
      <c r="F577">
        <v>0</v>
      </c>
      <c r="G577" t="s">
        <v>123</v>
      </c>
      <c r="H577" t="s">
        <v>163</v>
      </c>
      <c r="I577" t="s">
        <v>43</v>
      </c>
      <c r="J577" t="s">
        <v>43</v>
      </c>
      <c r="K577" t="s">
        <v>43</v>
      </c>
      <c r="L577" t="s">
        <v>43</v>
      </c>
      <c r="M577" t="s">
        <v>43</v>
      </c>
      <c r="N577" t="s">
        <v>43</v>
      </c>
      <c r="O577" t="s">
        <v>43</v>
      </c>
      <c r="P577" t="s">
        <v>43</v>
      </c>
      <c r="Q577" t="s">
        <v>43</v>
      </c>
      <c r="R577" t="s">
        <v>43</v>
      </c>
      <c r="S577" t="s">
        <v>43</v>
      </c>
      <c r="T577" t="s">
        <v>43</v>
      </c>
      <c r="U577" t="s">
        <v>43</v>
      </c>
      <c r="V577" t="s">
        <v>44</v>
      </c>
      <c r="W577" t="s">
        <v>44</v>
      </c>
      <c r="X577" t="s">
        <v>43</v>
      </c>
      <c r="Y577" t="s">
        <v>43</v>
      </c>
      <c r="Z577" t="s">
        <v>43</v>
      </c>
      <c r="AA577" t="s">
        <v>43</v>
      </c>
      <c r="AB577" t="s">
        <v>43</v>
      </c>
      <c r="AC577" t="s">
        <v>43</v>
      </c>
      <c r="AD577" t="s">
        <v>43</v>
      </c>
      <c r="AE577" t="s">
        <v>43</v>
      </c>
      <c r="AF577" t="s">
        <v>43</v>
      </c>
      <c r="AG577" t="s">
        <v>43</v>
      </c>
      <c r="AH577" t="s">
        <v>1658</v>
      </c>
    </row>
    <row r="578" spans="1:34" x14ac:dyDescent="0.25">
      <c r="A578" t="s">
        <v>1709</v>
      </c>
      <c r="B578" t="s">
        <v>57</v>
      </c>
      <c r="C578" t="s">
        <v>137</v>
      </c>
      <c r="D578" t="s">
        <v>62</v>
      </c>
      <c r="E578">
        <v>1</v>
      </c>
      <c r="F578">
        <v>0</v>
      </c>
      <c r="G578" t="s">
        <v>185</v>
      </c>
      <c r="H578" t="s">
        <v>241</v>
      </c>
      <c r="I578" t="s">
        <v>43</v>
      </c>
      <c r="J578" t="s">
        <v>43</v>
      </c>
      <c r="K578" t="s">
        <v>43</v>
      </c>
      <c r="L578" t="s">
        <v>43</v>
      </c>
      <c r="M578" t="s">
        <v>43</v>
      </c>
      <c r="N578" t="s">
        <v>43</v>
      </c>
      <c r="O578" t="s">
        <v>43</v>
      </c>
      <c r="P578" t="s">
        <v>43</v>
      </c>
      <c r="Q578" t="s">
        <v>43</v>
      </c>
      <c r="R578" t="s">
        <v>43</v>
      </c>
      <c r="S578" t="s">
        <v>43</v>
      </c>
      <c r="T578" t="s">
        <v>43</v>
      </c>
      <c r="U578" t="s">
        <v>43</v>
      </c>
      <c r="V578" t="s">
        <v>43</v>
      </c>
      <c r="W578" t="s">
        <v>44</v>
      </c>
      <c r="X578" t="s">
        <v>43</v>
      </c>
      <c r="Y578" t="s">
        <v>43</v>
      </c>
      <c r="Z578" t="s">
        <v>43</v>
      </c>
      <c r="AA578" t="s">
        <v>43</v>
      </c>
      <c r="AB578" t="s">
        <v>43</v>
      </c>
      <c r="AC578" t="s">
        <v>43</v>
      </c>
      <c r="AD578" t="s">
        <v>43</v>
      </c>
      <c r="AE578" t="s">
        <v>43</v>
      </c>
      <c r="AF578" t="s">
        <v>43</v>
      </c>
      <c r="AG578" t="s">
        <v>43</v>
      </c>
      <c r="AH578" t="s">
        <v>1658</v>
      </c>
    </row>
    <row r="579" spans="1:34" x14ac:dyDescent="0.25">
      <c r="A579" t="s">
        <v>1710</v>
      </c>
      <c r="B579" t="s">
        <v>57</v>
      </c>
      <c r="C579" t="s">
        <v>137</v>
      </c>
      <c r="D579" t="s">
        <v>62</v>
      </c>
      <c r="E579">
        <v>2</v>
      </c>
      <c r="F579">
        <v>0</v>
      </c>
      <c r="G579" t="s">
        <v>90</v>
      </c>
      <c r="H579" t="s">
        <v>82</v>
      </c>
      <c r="I579" t="s">
        <v>43</v>
      </c>
      <c r="J579" t="s">
        <v>43</v>
      </c>
      <c r="K579" t="s">
        <v>43</v>
      </c>
      <c r="L579" t="s">
        <v>43</v>
      </c>
      <c r="M579" t="s">
        <v>43</v>
      </c>
      <c r="N579" t="s">
        <v>43</v>
      </c>
      <c r="O579" t="s">
        <v>43</v>
      </c>
      <c r="P579" t="s">
        <v>43</v>
      </c>
      <c r="Q579" t="s">
        <v>43</v>
      </c>
      <c r="R579" t="s">
        <v>43</v>
      </c>
      <c r="S579" t="s">
        <v>43</v>
      </c>
      <c r="T579" t="s">
        <v>43</v>
      </c>
      <c r="U579" t="s">
        <v>43</v>
      </c>
      <c r="V579" t="s">
        <v>43</v>
      </c>
      <c r="W579" t="s">
        <v>43</v>
      </c>
      <c r="X579" t="s">
        <v>43</v>
      </c>
      <c r="Y579" t="s">
        <v>43</v>
      </c>
      <c r="Z579" t="s">
        <v>43</v>
      </c>
      <c r="AA579" t="s">
        <v>43</v>
      </c>
      <c r="AB579" t="s">
        <v>43</v>
      </c>
      <c r="AC579" t="s">
        <v>43</v>
      </c>
      <c r="AD579" t="s">
        <v>43</v>
      </c>
      <c r="AE579" t="s">
        <v>43</v>
      </c>
      <c r="AF579" t="s">
        <v>43</v>
      </c>
      <c r="AG579" t="s">
        <v>43</v>
      </c>
      <c r="AH579" t="s">
        <v>1658</v>
      </c>
    </row>
    <row r="580" spans="1:34" x14ac:dyDescent="0.25">
      <c r="A580" t="s">
        <v>1711</v>
      </c>
      <c r="B580" t="s">
        <v>57</v>
      </c>
      <c r="C580" t="s">
        <v>36</v>
      </c>
      <c r="D580" t="s">
        <v>203</v>
      </c>
      <c r="E580">
        <v>1</v>
      </c>
      <c r="F580">
        <v>0</v>
      </c>
      <c r="G580" t="s">
        <v>231</v>
      </c>
      <c r="H580" t="s">
        <v>82</v>
      </c>
      <c r="I580" t="s">
        <v>43</v>
      </c>
      <c r="J580" t="s">
        <v>43</v>
      </c>
      <c r="K580" t="s">
        <v>43</v>
      </c>
      <c r="L580" t="s">
        <v>43</v>
      </c>
      <c r="M580" t="s">
        <v>43</v>
      </c>
      <c r="N580" t="s">
        <v>43</v>
      </c>
      <c r="O580" t="s">
        <v>43</v>
      </c>
      <c r="P580" t="s">
        <v>43</v>
      </c>
      <c r="Q580" t="s">
        <v>43</v>
      </c>
      <c r="R580" t="s">
        <v>43</v>
      </c>
      <c r="S580" t="s">
        <v>43</v>
      </c>
      <c r="T580" t="s">
        <v>43</v>
      </c>
      <c r="U580" t="s">
        <v>43</v>
      </c>
      <c r="V580" t="s">
        <v>43</v>
      </c>
      <c r="W580" t="s">
        <v>43</v>
      </c>
      <c r="X580" t="s">
        <v>43</v>
      </c>
      <c r="Y580" t="s">
        <v>43</v>
      </c>
      <c r="Z580" t="s">
        <v>43</v>
      </c>
      <c r="AA580" t="s">
        <v>43</v>
      </c>
      <c r="AB580" t="s">
        <v>43</v>
      </c>
      <c r="AC580" t="s">
        <v>43</v>
      </c>
      <c r="AD580" t="s">
        <v>43</v>
      </c>
      <c r="AE580" t="s">
        <v>43</v>
      </c>
      <c r="AF580" t="s">
        <v>43</v>
      </c>
      <c r="AG580" t="s">
        <v>43</v>
      </c>
      <c r="AH580" t="s">
        <v>1658</v>
      </c>
    </row>
    <row r="581" spans="1:34" x14ac:dyDescent="0.25">
      <c r="A581" t="s">
        <v>1712</v>
      </c>
      <c r="B581" t="s">
        <v>360</v>
      </c>
      <c r="C581" t="s">
        <v>137</v>
      </c>
      <c r="D581" t="s">
        <v>42</v>
      </c>
      <c r="E581">
        <v>1</v>
      </c>
      <c r="F581">
        <v>0</v>
      </c>
      <c r="G581" t="s">
        <v>40</v>
      </c>
      <c r="H581" t="s">
        <v>82</v>
      </c>
      <c r="I581" t="s">
        <v>43</v>
      </c>
      <c r="J581" t="s">
        <v>43</v>
      </c>
      <c r="K581" t="s">
        <v>43</v>
      </c>
      <c r="L581" t="s">
        <v>43</v>
      </c>
      <c r="M581" t="s">
        <v>43</v>
      </c>
      <c r="N581" t="s">
        <v>43</v>
      </c>
      <c r="O581" t="s">
        <v>43</v>
      </c>
      <c r="P581" t="s">
        <v>43</v>
      </c>
      <c r="Q581" t="s">
        <v>43</v>
      </c>
      <c r="R581" t="s">
        <v>43</v>
      </c>
      <c r="S581" t="s">
        <v>43</v>
      </c>
      <c r="T581" t="s">
        <v>43</v>
      </c>
      <c r="U581" t="s">
        <v>44</v>
      </c>
      <c r="V581" t="s">
        <v>43</v>
      </c>
      <c r="W581" t="s">
        <v>43</v>
      </c>
      <c r="X581" t="s">
        <v>43</v>
      </c>
      <c r="Y581" t="s">
        <v>43</v>
      </c>
      <c r="Z581" t="s">
        <v>43</v>
      </c>
      <c r="AA581" t="s">
        <v>43</v>
      </c>
      <c r="AB581" t="s">
        <v>43</v>
      </c>
      <c r="AC581" t="s">
        <v>43</v>
      </c>
      <c r="AD581" t="s">
        <v>43</v>
      </c>
      <c r="AE581" t="s">
        <v>43</v>
      </c>
      <c r="AF581" t="s">
        <v>43</v>
      </c>
      <c r="AG581" t="s">
        <v>43</v>
      </c>
      <c r="AH581" t="s">
        <v>1658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CEDEE-2304-4809-8642-C1D7CFED6325}">
  <dimension ref="A1:AN581"/>
  <sheetViews>
    <sheetView topLeftCell="Z1" zoomScaleNormal="100" workbookViewId="0">
      <selection activeCell="AH1" sqref="AH1"/>
    </sheetView>
  </sheetViews>
  <sheetFormatPr defaultRowHeight="15" x14ac:dyDescent="0.25"/>
  <cols>
    <col min="1" max="1" width="25.7109375" bestFit="1" customWidth="1"/>
    <col min="2" max="2" width="9.28515625" bestFit="1" customWidth="1"/>
    <col min="3" max="4" width="21" bestFit="1" customWidth="1"/>
    <col min="5" max="5" width="10.7109375" bestFit="1" customWidth="1"/>
    <col min="6" max="6" width="15.5703125" bestFit="1" customWidth="1"/>
    <col min="7" max="7" width="6.5703125" style="1" bestFit="1" customWidth="1"/>
    <col min="8" max="8" width="15.140625" style="1" bestFit="1" customWidth="1"/>
    <col min="9" max="9" width="17.42578125" bestFit="1" customWidth="1"/>
    <col min="10" max="10" width="8.5703125" bestFit="1" customWidth="1"/>
    <col min="11" max="11" width="10.5703125" bestFit="1" customWidth="1"/>
    <col min="12" max="12" width="25.140625" bestFit="1" customWidth="1"/>
    <col min="13" max="13" width="12.7109375" bestFit="1" customWidth="1"/>
    <col min="14" max="14" width="8.42578125" bestFit="1" customWidth="1"/>
    <col min="15" max="15" width="9.7109375" bestFit="1" customWidth="1"/>
    <col min="16" max="16" width="16" bestFit="1" customWidth="1"/>
    <col min="17" max="17" width="25.140625" bestFit="1" customWidth="1"/>
    <col min="18" max="18" width="10" bestFit="1" customWidth="1"/>
    <col min="19" max="19" width="25.5703125" bestFit="1" customWidth="1"/>
    <col min="20" max="20" width="15" bestFit="1" customWidth="1"/>
    <col min="21" max="21" width="12.5703125" bestFit="1" customWidth="1"/>
    <col min="22" max="22" width="17.85546875" bestFit="1" customWidth="1"/>
    <col min="23" max="23" width="17.85546875" customWidth="1"/>
    <col min="24" max="24" width="29.42578125" bestFit="1" customWidth="1"/>
    <col min="25" max="25" width="18.7109375" bestFit="1" customWidth="1"/>
    <col min="26" max="26" width="23" bestFit="1" customWidth="1"/>
    <col min="27" max="27" width="21.140625" bestFit="1" customWidth="1"/>
    <col min="28" max="28" width="20.85546875" bestFit="1" customWidth="1"/>
    <col min="29" max="30" width="19" bestFit="1" customWidth="1"/>
    <col min="31" max="31" width="20.42578125" bestFit="1" customWidth="1"/>
    <col min="32" max="32" width="26.7109375" bestFit="1" customWidth="1"/>
    <col min="33" max="33" width="35.85546875" bestFit="1" customWidth="1"/>
    <col min="34" max="34" width="34.42578125" bestFit="1" customWidth="1"/>
    <col min="35" max="35" width="28.28515625" bestFit="1" customWidth="1"/>
    <col min="36" max="36" width="30.5703125" bestFit="1" customWidth="1"/>
    <col min="37" max="37" width="35.85546875" bestFit="1" customWidth="1"/>
    <col min="38" max="38" width="40.28515625" bestFit="1" customWidth="1"/>
    <col min="39" max="39" width="46" bestFit="1" customWidth="1"/>
    <col min="40" max="40" width="18.140625" bestFit="1" customWidth="1"/>
  </cols>
  <sheetData>
    <row r="1" spans="1:40" x14ac:dyDescent="0.25">
      <c r="A1" t="s">
        <v>0</v>
      </c>
      <c r="B1" t="s">
        <v>1</v>
      </c>
      <c r="C1" t="s">
        <v>1874</v>
      </c>
      <c r="D1" t="s">
        <v>1875</v>
      </c>
      <c r="E1" t="s">
        <v>1713</v>
      </c>
      <c r="F1" t="s">
        <v>1714</v>
      </c>
      <c r="G1" s="1" t="s">
        <v>3</v>
      </c>
      <c r="H1" s="1" t="s">
        <v>1890</v>
      </c>
      <c r="I1" t="s">
        <v>1715</v>
      </c>
      <c r="J1" t="s">
        <v>5</v>
      </c>
      <c r="K1" t="s">
        <v>1716</v>
      </c>
      <c r="L1" t="s">
        <v>1889</v>
      </c>
      <c r="M1" t="s">
        <v>1717</v>
      </c>
      <c r="N1" t="s">
        <v>1718</v>
      </c>
      <c r="O1" t="s">
        <v>1719</v>
      </c>
      <c r="P1" t="s">
        <v>1720</v>
      </c>
      <c r="Q1" t="s">
        <v>1721</v>
      </c>
      <c r="R1" t="s">
        <v>1722</v>
      </c>
      <c r="S1" t="s">
        <v>1723</v>
      </c>
      <c r="T1" t="s">
        <v>1724</v>
      </c>
      <c r="U1" t="s">
        <v>1725</v>
      </c>
      <c r="V1" t="s">
        <v>1726</v>
      </c>
      <c r="W1" t="s">
        <v>1892</v>
      </c>
      <c r="X1" t="s">
        <v>1727</v>
      </c>
      <c r="Y1" t="s">
        <v>1728</v>
      </c>
      <c r="Z1" t="s">
        <v>1729</v>
      </c>
      <c r="AA1" t="s">
        <v>1730</v>
      </c>
      <c r="AB1" t="s">
        <v>1731</v>
      </c>
      <c r="AC1" t="s">
        <v>1732</v>
      </c>
      <c r="AD1" t="s">
        <v>1733</v>
      </c>
      <c r="AE1" t="s">
        <v>1734</v>
      </c>
      <c r="AF1" t="s">
        <v>1735</v>
      </c>
      <c r="AG1" t="s">
        <v>1736</v>
      </c>
      <c r="AH1" t="s">
        <v>1737</v>
      </c>
      <c r="AI1" t="s">
        <v>1738</v>
      </c>
      <c r="AJ1" t="s">
        <v>1891</v>
      </c>
      <c r="AK1" t="s">
        <v>1739</v>
      </c>
      <c r="AL1" t="s">
        <v>1740</v>
      </c>
      <c r="AM1" t="s">
        <v>1741</v>
      </c>
      <c r="AN1" t="s">
        <v>33</v>
      </c>
    </row>
    <row r="2" spans="1:40" x14ac:dyDescent="0.25">
      <c r="A2" t="s">
        <v>533</v>
      </c>
      <c r="B2" t="s">
        <v>122</v>
      </c>
      <c r="C2" s="4" t="s">
        <v>1742</v>
      </c>
      <c r="D2" t="s">
        <v>1743</v>
      </c>
      <c r="E2" t="s">
        <v>86</v>
      </c>
      <c r="F2" t="str">
        <f>LEFT(premier_player_23_24[[#This Row],[Position]],2)</f>
        <v>MF</v>
      </c>
      <c r="G2" s="3">
        <v>23</v>
      </c>
      <c r="H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" s="3">
        <v>11</v>
      </c>
      <c r="J2" s="3">
        <v>2</v>
      </c>
      <c r="K2" s="2">
        <v>297</v>
      </c>
      <c r="L2" s="2" t="str">
        <f>IF(premier_player_23_24[[#This Row],[Minutes]]&gt;1000,"More than 1000 minutes","Less than 1000 minutes")</f>
        <v>Less than 1000 minutes</v>
      </c>
      <c r="M2" s="2">
        <v>3.3</v>
      </c>
      <c r="N2" s="3">
        <v>1</v>
      </c>
      <c r="O2" s="3">
        <v>2</v>
      </c>
      <c r="P2" s="3">
        <v>3</v>
      </c>
      <c r="Q2" s="3">
        <v>0</v>
      </c>
      <c r="R2" s="3">
        <v>1</v>
      </c>
      <c r="S2" s="3">
        <v>1</v>
      </c>
      <c r="T2" s="2">
        <v>0</v>
      </c>
      <c r="U2" s="2">
        <v>1</v>
      </c>
      <c r="V2" s="2">
        <v>1.3</v>
      </c>
      <c r="W2" s="2">
        <f>premier_player_23_24[[#This Row],[Goals]]-premier_player_23_24[[#This Row],[Expected Goals ]]</f>
        <v>-0.30000000000000004</v>
      </c>
      <c r="X2" s="2">
        <v>0.5</v>
      </c>
      <c r="Y2" s="2">
        <v>1.6</v>
      </c>
      <c r="Z2" s="2">
        <v>2.1</v>
      </c>
      <c r="AA2" s="3">
        <v>12</v>
      </c>
      <c r="AB2" s="3">
        <v>15</v>
      </c>
      <c r="AC2" s="3">
        <v>30</v>
      </c>
      <c r="AD2" s="1">
        <v>0.3</v>
      </c>
      <c r="AE2" s="1">
        <v>0.61</v>
      </c>
      <c r="AF2" s="1">
        <v>0.91</v>
      </c>
      <c r="AG2" s="1">
        <v>0</v>
      </c>
      <c r="AH2" s="1">
        <v>0.61</v>
      </c>
      <c r="AI2" s="1">
        <v>0.38</v>
      </c>
      <c r="AJ2" s="1">
        <v>0.49</v>
      </c>
      <c r="AK2" s="1">
        <v>0.87</v>
      </c>
      <c r="AL2" s="1">
        <v>0.14000000000000001</v>
      </c>
      <c r="AM2" s="1">
        <v>0.64</v>
      </c>
      <c r="AN2" t="s">
        <v>438</v>
      </c>
    </row>
    <row r="3" spans="1:40" x14ac:dyDescent="0.25">
      <c r="A3" t="s">
        <v>458</v>
      </c>
      <c r="B3" t="s">
        <v>57</v>
      </c>
      <c r="C3" s="4" t="s">
        <v>1744</v>
      </c>
      <c r="D3" t="s">
        <v>1745</v>
      </c>
      <c r="E3" t="s">
        <v>137</v>
      </c>
      <c r="F3" t="str">
        <f>LEFT(premier_player_23_24[[#This Row],[Position]],2)</f>
        <v>FW</v>
      </c>
      <c r="G3" s="3">
        <v>21</v>
      </c>
      <c r="H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" s="3">
        <v>35</v>
      </c>
      <c r="J3" s="3">
        <v>35</v>
      </c>
      <c r="K3" s="2">
        <v>2919</v>
      </c>
      <c r="L3" s="2" t="str">
        <f>IF(premier_player_23_24[[#This Row],[Minutes]]&gt;1000,"More than 1000 minutes","Less than 1000 minutes")</f>
        <v>More than 1000 minutes</v>
      </c>
      <c r="M3" s="2">
        <v>32.4</v>
      </c>
      <c r="N3" s="3">
        <v>16</v>
      </c>
      <c r="O3" s="3">
        <v>9</v>
      </c>
      <c r="P3" s="3">
        <v>25</v>
      </c>
      <c r="Q3" s="3">
        <v>10</v>
      </c>
      <c r="R3" s="3">
        <v>6</v>
      </c>
      <c r="S3" s="3">
        <v>6</v>
      </c>
      <c r="T3" s="2">
        <v>4</v>
      </c>
      <c r="U3" s="2">
        <v>0</v>
      </c>
      <c r="V3" s="2">
        <v>15.5</v>
      </c>
      <c r="W3" s="2">
        <f>premier_player_23_24[[#This Row],[Goals]]-premier_player_23_24[[#This Row],[Expected Goals ]]</f>
        <v>0.5</v>
      </c>
      <c r="X3" s="2">
        <v>10.8</v>
      </c>
      <c r="Y3" s="2">
        <v>10.5</v>
      </c>
      <c r="Z3" s="2">
        <v>21.2</v>
      </c>
      <c r="AA3" s="3">
        <v>155</v>
      </c>
      <c r="AB3" s="3">
        <v>126</v>
      </c>
      <c r="AC3" s="3">
        <v>508</v>
      </c>
      <c r="AD3" s="1">
        <v>0.49</v>
      </c>
      <c r="AE3" s="1">
        <v>0.28000000000000003</v>
      </c>
      <c r="AF3" s="1">
        <v>0.77</v>
      </c>
      <c r="AG3" s="1">
        <v>0.31</v>
      </c>
      <c r="AH3" s="1">
        <v>0.59</v>
      </c>
      <c r="AI3" s="1">
        <v>0.48</v>
      </c>
      <c r="AJ3" s="1">
        <v>0.32</v>
      </c>
      <c r="AK3" s="1">
        <v>0.8</v>
      </c>
      <c r="AL3" s="1">
        <v>0.33</v>
      </c>
      <c r="AM3" s="1">
        <v>0.65</v>
      </c>
      <c r="AN3" t="s">
        <v>438</v>
      </c>
    </row>
    <row r="4" spans="1:40" x14ac:dyDescent="0.25">
      <c r="A4" t="s">
        <v>496</v>
      </c>
      <c r="B4" t="s">
        <v>207</v>
      </c>
      <c r="C4" s="4" t="s">
        <v>1746</v>
      </c>
      <c r="D4" t="s">
        <v>1747</v>
      </c>
      <c r="E4" t="s">
        <v>58</v>
      </c>
      <c r="F4" t="str">
        <f>LEFT(premier_player_23_24[[#This Row],[Position]],2)</f>
        <v>FW</v>
      </c>
      <c r="G4" s="3">
        <v>28</v>
      </c>
      <c r="H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" s="3">
        <v>34</v>
      </c>
      <c r="J4" s="3">
        <v>18</v>
      </c>
      <c r="K4" s="2">
        <v>1649</v>
      </c>
      <c r="L4" s="2" t="str">
        <f>IF(premier_player_23_24[[#This Row],[Minutes]]&gt;1000,"More than 1000 minutes","Less than 1000 minutes")</f>
        <v>More than 1000 minutes</v>
      </c>
      <c r="M4" s="2">
        <v>18.3</v>
      </c>
      <c r="N4" s="3">
        <v>12</v>
      </c>
      <c r="O4" s="3">
        <v>1</v>
      </c>
      <c r="P4" s="3">
        <v>13</v>
      </c>
      <c r="Q4" s="3">
        <v>12</v>
      </c>
      <c r="R4" s="3">
        <v>0</v>
      </c>
      <c r="S4" s="3">
        <v>0</v>
      </c>
      <c r="T4" s="2">
        <v>2</v>
      </c>
      <c r="U4" s="2">
        <v>0</v>
      </c>
      <c r="V4" s="2">
        <v>7.9</v>
      </c>
      <c r="W4" s="2">
        <f>premier_player_23_24[[#This Row],[Goals]]-premier_player_23_24[[#This Row],[Expected Goals ]]</f>
        <v>4.0999999999999996</v>
      </c>
      <c r="X4" s="2">
        <v>7.9</v>
      </c>
      <c r="Y4" s="2">
        <v>2.8</v>
      </c>
      <c r="Z4" s="2">
        <v>10.7</v>
      </c>
      <c r="AA4" s="3">
        <v>66</v>
      </c>
      <c r="AB4" s="3">
        <v>76</v>
      </c>
      <c r="AC4" s="3">
        <v>155</v>
      </c>
      <c r="AD4" s="1">
        <v>0.65</v>
      </c>
      <c r="AE4" s="1">
        <v>0.05</v>
      </c>
      <c r="AF4" s="1">
        <v>0.71</v>
      </c>
      <c r="AG4" s="1">
        <v>0.65</v>
      </c>
      <c r="AH4" s="1">
        <v>0.71</v>
      </c>
      <c r="AI4" s="1">
        <v>0.43</v>
      </c>
      <c r="AJ4" s="1">
        <v>0.15</v>
      </c>
      <c r="AK4" s="1">
        <v>0.57999999999999996</v>
      </c>
      <c r="AL4" s="1">
        <v>0.43</v>
      </c>
      <c r="AM4" s="1">
        <v>0.57999999999999996</v>
      </c>
      <c r="AN4" t="s">
        <v>438</v>
      </c>
    </row>
    <row r="5" spans="1:40" x14ac:dyDescent="0.25">
      <c r="A5" t="s">
        <v>473</v>
      </c>
      <c r="B5" t="s">
        <v>262</v>
      </c>
      <c r="C5" s="4" t="s">
        <v>1748</v>
      </c>
      <c r="D5" t="s">
        <v>1749</v>
      </c>
      <c r="E5" t="s">
        <v>86</v>
      </c>
      <c r="F5" t="str">
        <f>LEFT(premier_player_23_24[[#This Row],[Position]],2)</f>
        <v>MF</v>
      </c>
      <c r="G5" s="3">
        <v>24</v>
      </c>
      <c r="H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" s="3">
        <v>37</v>
      </c>
      <c r="J5" s="3">
        <v>30</v>
      </c>
      <c r="K5" s="2">
        <v>2634</v>
      </c>
      <c r="L5" s="2" t="str">
        <f>IF(premier_player_23_24[[#This Row],[Minutes]]&gt;1000,"More than 1000 minutes","Less than 1000 minutes")</f>
        <v>More than 1000 minutes</v>
      </c>
      <c r="M5" s="2">
        <v>29.3</v>
      </c>
      <c r="N5" s="3">
        <v>13</v>
      </c>
      <c r="O5" s="3">
        <v>7</v>
      </c>
      <c r="P5" s="3">
        <v>20</v>
      </c>
      <c r="Q5" s="3">
        <v>12</v>
      </c>
      <c r="R5" s="3">
        <v>1</v>
      </c>
      <c r="S5" s="3">
        <v>1</v>
      </c>
      <c r="T5" s="2">
        <v>11</v>
      </c>
      <c r="U5" s="2">
        <v>0</v>
      </c>
      <c r="V5" s="2">
        <v>12.3</v>
      </c>
      <c r="W5" s="2">
        <f>premier_player_23_24[[#This Row],[Goals]]-premier_player_23_24[[#This Row],[Expected Goals ]]</f>
        <v>0.69999999999999929</v>
      </c>
      <c r="X5" s="2">
        <v>11.6</v>
      </c>
      <c r="Y5" s="2">
        <v>4.4000000000000004</v>
      </c>
      <c r="Z5" s="2">
        <v>15.9</v>
      </c>
      <c r="AA5" s="3">
        <v>55</v>
      </c>
      <c r="AB5" s="3">
        <v>99</v>
      </c>
      <c r="AC5" s="3">
        <v>191</v>
      </c>
      <c r="AD5" s="1">
        <v>0.44</v>
      </c>
      <c r="AE5" s="1">
        <v>0.24</v>
      </c>
      <c r="AF5" s="1">
        <v>0.68</v>
      </c>
      <c r="AG5" s="1">
        <v>0.41</v>
      </c>
      <c r="AH5" s="1">
        <v>0.65</v>
      </c>
      <c r="AI5" s="1">
        <v>0.42</v>
      </c>
      <c r="AJ5" s="1">
        <v>0.15</v>
      </c>
      <c r="AK5" s="1">
        <v>0.56999999999999995</v>
      </c>
      <c r="AL5" s="1">
        <v>0.39</v>
      </c>
      <c r="AM5" s="1">
        <v>0.54</v>
      </c>
      <c r="AN5" t="s">
        <v>438</v>
      </c>
    </row>
    <row r="6" spans="1:40" x14ac:dyDescent="0.25">
      <c r="A6" t="s">
        <v>515</v>
      </c>
      <c r="B6" t="s">
        <v>57</v>
      </c>
      <c r="C6" s="4" t="s">
        <v>1744</v>
      </c>
      <c r="D6" t="s">
        <v>1745</v>
      </c>
      <c r="E6" t="s">
        <v>137</v>
      </c>
      <c r="F6" t="str">
        <f>LEFT(premier_player_23_24[[#This Row],[Position]],2)</f>
        <v>FW</v>
      </c>
      <c r="G6" s="3">
        <v>24</v>
      </c>
      <c r="H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6" s="3">
        <v>27</v>
      </c>
      <c r="J6" s="3">
        <v>10</v>
      </c>
      <c r="K6" s="2">
        <v>1082</v>
      </c>
      <c r="L6" s="2" t="str">
        <f>IF(premier_player_23_24[[#This Row],[Minutes]]&gt;1000,"More than 1000 minutes","Less than 1000 minutes")</f>
        <v>More than 1000 minutes</v>
      </c>
      <c r="M6" s="2">
        <v>12</v>
      </c>
      <c r="N6" s="3">
        <v>5</v>
      </c>
      <c r="O6" s="3">
        <v>2</v>
      </c>
      <c r="P6" s="3">
        <v>7</v>
      </c>
      <c r="Q6" s="3">
        <v>5</v>
      </c>
      <c r="R6" s="3">
        <v>0</v>
      </c>
      <c r="S6" s="3">
        <v>0</v>
      </c>
      <c r="T6" s="2">
        <v>3</v>
      </c>
      <c r="U6" s="2">
        <v>0</v>
      </c>
      <c r="V6" s="2">
        <v>4.5</v>
      </c>
      <c r="W6" s="2">
        <f>premier_player_23_24[[#This Row],[Goals]]-premier_player_23_24[[#This Row],[Expected Goals ]]</f>
        <v>0.5</v>
      </c>
      <c r="X6" s="2">
        <v>4.5</v>
      </c>
      <c r="Y6" s="2">
        <v>0.8</v>
      </c>
      <c r="Z6" s="2">
        <v>5.4</v>
      </c>
      <c r="AA6" s="3">
        <v>22</v>
      </c>
      <c r="AB6" s="3">
        <v>20</v>
      </c>
      <c r="AC6" s="3">
        <v>77</v>
      </c>
      <c r="AD6" s="1">
        <v>0.42</v>
      </c>
      <c r="AE6" s="1">
        <v>0.17</v>
      </c>
      <c r="AF6" s="1">
        <v>0.57999999999999996</v>
      </c>
      <c r="AG6" s="1">
        <v>0.42</v>
      </c>
      <c r="AH6" s="1">
        <v>0.57999999999999996</v>
      </c>
      <c r="AI6" s="1">
        <v>0.38</v>
      </c>
      <c r="AJ6" s="1">
        <v>7.0000000000000007E-2</v>
      </c>
      <c r="AK6" s="1">
        <v>0.45</v>
      </c>
      <c r="AL6" s="1">
        <v>0.38</v>
      </c>
      <c r="AM6" s="1">
        <v>0.45</v>
      </c>
      <c r="AN6" t="s">
        <v>438</v>
      </c>
    </row>
    <row r="7" spans="1:40" x14ac:dyDescent="0.25">
      <c r="A7" t="s">
        <v>501</v>
      </c>
      <c r="B7" t="s">
        <v>76</v>
      </c>
      <c r="C7" s="4" t="s">
        <v>1750</v>
      </c>
      <c r="D7" t="s">
        <v>1751</v>
      </c>
      <c r="E7" t="s">
        <v>137</v>
      </c>
      <c r="F7" t="str">
        <f>LEFT(premier_player_23_24[[#This Row],[Position]],2)</f>
        <v>FW</v>
      </c>
      <c r="G7" s="3">
        <v>26</v>
      </c>
      <c r="H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7" s="3">
        <v>27</v>
      </c>
      <c r="J7" s="3">
        <v>17</v>
      </c>
      <c r="K7" s="2">
        <v>1478</v>
      </c>
      <c r="L7" s="2" t="str">
        <f>IF(premier_player_23_24[[#This Row],[Minutes]]&gt;1000,"More than 1000 minutes","Less than 1000 minutes")</f>
        <v>More than 1000 minutes</v>
      </c>
      <c r="M7" s="2">
        <v>16.399999999999999</v>
      </c>
      <c r="N7" s="3">
        <v>4</v>
      </c>
      <c r="O7" s="3">
        <v>5</v>
      </c>
      <c r="P7" s="3">
        <v>9</v>
      </c>
      <c r="Q7" s="3">
        <v>4</v>
      </c>
      <c r="R7" s="3">
        <v>0</v>
      </c>
      <c r="S7" s="3">
        <v>0</v>
      </c>
      <c r="T7" s="2">
        <v>6</v>
      </c>
      <c r="U7" s="2">
        <v>0</v>
      </c>
      <c r="V7" s="2">
        <v>6.3</v>
      </c>
      <c r="W7" s="2">
        <f>premier_player_23_24[[#This Row],[Goals]]-premier_player_23_24[[#This Row],[Expected Goals ]]</f>
        <v>-2.2999999999999998</v>
      </c>
      <c r="X7" s="2">
        <v>6.3</v>
      </c>
      <c r="Y7" s="2">
        <v>3.8</v>
      </c>
      <c r="Z7" s="2">
        <v>10.1</v>
      </c>
      <c r="AA7" s="3">
        <v>38</v>
      </c>
      <c r="AB7" s="3">
        <v>42</v>
      </c>
      <c r="AC7" s="3">
        <v>155</v>
      </c>
      <c r="AD7" s="1">
        <v>0.24</v>
      </c>
      <c r="AE7" s="1">
        <v>0.3</v>
      </c>
      <c r="AF7" s="1">
        <v>0.55000000000000004</v>
      </c>
      <c r="AG7" s="1">
        <v>0.24</v>
      </c>
      <c r="AH7" s="1">
        <v>0.55000000000000004</v>
      </c>
      <c r="AI7" s="1">
        <v>0.39</v>
      </c>
      <c r="AJ7" s="1">
        <v>0.23</v>
      </c>
      <c r="AK7" s="1">
        <v>0.62</v>
      </c>
      <c r="AL7" s="1">
        <v>0.39</v>
      </c>
      <c r="AM7" s="1">
        <v>0.62</v>
      </c>
      <c r="AN7" t="s">
        <v>438</v>
      </c>
    </row>
    <row r="8" spans="1:40" x14ac:dyDescent="0.25">
      <c r="A8" t="s">
        <v>443</v>
      </c>
      <c r="B8" t="s">
        <v>136</v>
      </c>
      <c r="C8" s="4" t="s">
        <v>1752</v>
      </c>
      <c r="D8" t="s">
        <v>1753</v>
      </c>
      <c r="E8" t="s">
        <v>36</v>
      </c>
      <c r="F8" t="str">
        <f>LEFT(premier_player_23_24[[#This Row],[Position]],2)</f>
        <v>MF</v>
      </c>
      <c r="G8" s="3">
        <v>24</v>
      </c>
      <c r="H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8" s="3">
        <v>35</v>
      </c>
      <c r="J8" s="3">
        <v>35</v>
      </c>
      <c r="K8" s="2">
        <v>3091</v>
      </c>
      <c r="L8" s="2" t="str">
        <f>IF(premier_player_23_24[[#This Row],[Minutes]]&gt;1000,"More than 1000 minutes","Less than 1000 minutes")</f>
        <v>More than 1000 minutes</v>
      </c>
      <c r="M8" s="2">
        <v>34.299999999999997</v>
      </c>
      <c r="N8" s="3">
        <v>8</v>
      </c>
      <c r="O8" s="3">
        <v>10</v>
      </c>
      <c r="P8" s="3">
        <v>18</v>
      </c>
      <c r="Q8" s="3">
        <v>6</v>
      </c>
      <c r="R8" s="3">
        <v>2</v>
      </c>
      <c r="S8" s="3">
        <v>2</v>
      </c>
      <c r="T8" s="2">
        <v>2</v>
      </c>
      <c r="U8" s="2">
        <v>0</v>
      </c>
      <c r="V8" s="2">
        <v>7.4</v>
      </c>
      <c r="W8" s="2">
        <f>premier_player_23_24[[#This Row],[Goals]]-premier_player_23_24[[#This Row],[Expected Goals ]]</f>
        <v>0.59999999999999964</v>
      </c>
      <c r="X8" s="2">
        <v>5.8</v>
      </c>
      <c r="Y8" s="2">
        <v>9.6</v>
      </c>
      <c r="Z8" s="2">
        <v>15.5</v>
      </c>
      <c r="AA8" s="3">
        <v>91</v>
      </c>
      <c r="AB8" s="3">
        <v>344</v>
      </c>
      <c r="AC8" s="3">
        <v>202</v>
      </c>
      <c r="AD8" s="1">
        <v>0.23</v>
      </c>
      <c r="AE8" s="1">
        <v>0.28999999999999998</v>
      </c>
      <c r="AF8" s="1">
        <v>0.52</v>
      </c>
      <c r="AG8" s="1">
        <v>0.17</v>
      </c>
      <c r="AH8" s="1">
        <v>0.47</v>
      </c>
      <c r="AI8" s="1">
        <v>0.22</v>
      </c>
      <c r="AJ8" s="1">
        <v>0.28000000000000003</v>
      </c>
      <c r="AK8" s="1">
        <v>0.5</v>
      </c>
      <c r="AL8" s="1">
        <v>0.17</v>
      </c>
      <c r="AM8" s="1">
        <v>0.45</v>
      </c>
      <c r="AN8" t="s">
        <v>438</v>
      </c>
    </row>
    <row r="9" spans="1:40" x14ac:dyDescent="0.25">
      <c r="A9" t="s">
        <v>483</v>
      </c>
      <c r="B9" t="s">
        <v>76</v>
      </c>
      <c r="C9" s="4" t="s">
        <v>1750</v>
      </c>
      <c r="D9" t="s">
        <v>1751</v>
      </c>
      <c r="E9" t="s">
        <v>137</v>
      </c>
      <c r="F9" t="str">
        <f>LEFT(premier_player_23_24[[#This Row],[Position]],2)</f>
        <v>FW</v>
      </c>
      <c r="G9" s="3">
        <v>22</v>
      </c>
      <c r="H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9" s="3">
        <v>35</v>
      </c>
      <c r="J9" s="3">
        <v>24</v>
      </c>
      <c r="K9" s="2">
        <v>2019</v>
      </c>
      <c r="L9" s="2" t="str">
        <f>IF(premier_player_23_24[[#This Row],[Minutes]]&gt;1000,"More than 1000 minutes","Less than 1000 minutes")</f>
        <v>More than 1000 minutes</v>
      </c>
      <c r="M9" s="2">
        <v>22.4</v>
      </c>
      <c r="N9" s="3">
        <v>6</v>
      </c>
      <c r="O9" s="3">
        <v>4</v>
      </c>
      <c r="P9" s="3">
        <v>10</v>
      </c>
      <c r="Q9" s="3">
        <v>6</v>
      </c>
      <c r="R9" s="3">
        <v>0</v>
      </c>
      <c r="S9" s="3">
        <v>0</v>
      </c>
      <c r="T9" s="2">
        <v>1</v>
      </c>
      <c r="U9" s="2">
        <v>0</v>
      </c>
      <c r="V9" s="2">
        <v>6.8</v>
      </c>
      <c r="W9" s="2">
        <f>premier_player_23_24[[#This Row],[Goals]]-premier_player_23_24[[#This Row],[Expected Goals ]]</f>
        <v>-0.79999999999999982</v>
      </c>
      <c r="X9" s="2">
        <v>6.8</v>
      </c>
      <c r="Y9" s="2">
        <v>6.1</v>
      </c>
      <c r="Z9" s="2">
        <v>12.9</v>
      </c>
      <c r="AA9" s="3">
        <v>127</v>
      </c>
      <c r="AB9" s="3">
        <v>65</v>
      </c>
      <c r="AC9" s="3">
        <v>345</v>
      </c>
      <c r="AD9" s="1">
        <v>0.27</v>
      </c>
      <c r="AE9" s="1">
        <v>0.18</v>
      </c>
      <c r="AF9" s="1">
        <v>0.45</v>
      </c>
      <c r="AG9" s="1">
        <v>0.27</v>
      </c>
      <c r="AH9" s="1">
        <v>0.45</v>
      </c>
      <c r="AI9" s="1">
        <v>0.31</v>
      </c>
      <c r="AJ9" s="1">
        <v>0.27</v>
      </c>
      <c r="AK9" s="1">
        <v>0.57999999999999996</v>
      </c>
      <c r="AL9" s="1">
        <v>0.31</v>
      </c>
      <c r="AM9" s="1">
        <v>0.57999999999999996</v>
      </c>
      <c r="AN9" t="s">
        <v>438</v>
      </c>
    </row>
    <row r="10" spans="1:40" x14ac:dyDescent="0.25">
      <c r="A10" t="s">
        <v>439</v>
      </c>
      <c r="B10" t="s">
        <v>57</v>
      </c>
      <c r="C10" s="4" t="s">
        <v>1744</v>
      </c>
      <c r="D10" t="s">
        <v>1745</v>
      </c>
      <c r="E10" t="s">
        <v>36</v>
      </c>
      <c r="F10" t="str">
        <f>LEFT(premier_player_23_24[[#This Row],[Position]],2)</f>
        <v>MF</v>
      </c>
      <c r="G10" s="3">
        <v>24</v>
      </c>
      <c r="H1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0" s="3">
        <v>38</v>
      </c>
      <c r="J10" s="3">
        <v>37</v>
      </c>
      <c r="K10" s="2">
        <v>3225</v>
      </c>
      <c r="L10" s="2" t="str">
        <f>IF(premier_player_23_24[[#This Row],[Minutes]]&gt;1000,"More than 1000 minutes","Less than 1000 minutes")</f>
        <v>More than 1000 minutes</v>
      </c>
      <c r="M10" s="2">
        <v>35.799999999999997</v>
      </c>
      <c r="N10" s="3">
        <v>7</v>
      </c>
      <c r="O10" s="3">
        <v>8</v>
      </c>
      <c r="P10" s="3">
        <v>15</v>
      </c>
      <c r="Q10" s="3">
        <v>7</v>
      </c>
      <c r="R10" s="3">
        <v>0</v>
      </c>
      <c r="S10" s="3">
        <v>0</v>
      </c>
      <c r="T10" s="2">
        <v>5</v>
      </c>
      <c r="U10" s="2">
        <v>0</v>
      </c>
      <c r="V10" s="2">
        <v>3.3</v>
      </c>
      <c r="W10" s="2">
        <f>premier_player_23_24[[#This Row],[Goals]]-premier_player_23_24[[#This Row],[Expected Goals ]]</f>
        <v>3.7</v>
      </c>
      <c r="X10" s="2">
        <v>3.3</v>
      </c>
      <c r="Y10" s="2">
        <v>5.3</v>
      </c>
      <c r="Z10" s="2">
        <v>8.6</v>
      </c>
      <c r="AA10" s="3">
        <v>75</v>
      </c>
      <c r="AB10" s="3">
        <v>278</v>
      </c>
      <c r="AC10" s="3">
        <v>64</v>
      </c>
      <c r="AD10" s="1">
        <v>0.2</v>
      </c>
      <c r="AE10" s="1">
        <v>0.22</v>
      </c>
      <c r="AF10" s="1">
        <v>0.42</v>
      </c>
      <c r="AG10" s="1">
        <v>0.2</v>
      </c>
      <c r="AH10" s="1">
        <v>0.42</v>
      </c>
      <c r="AI10" s="1">
        <v>0.09</v>
      </c>
      <c r="AJ10" s="1">
        <v>0.15</v>
      </c>
      <c r="AK10" s="1">
        <v>0.24</v>
      </c>
      <c r="AL10" s="1">
        <v>0.09</v>
      </c>
      <c r="AM10" s="1">
        <v>0.24</v>
      </c>
      <c r="AN10" t="s">
        <v>438</v>
      </c>
    </row>
    <row r="11" spans="1:40" x14ac:dyDescent="0.25">
      <c r="A11" t="s">
        <v>507</v>
      </c>
      <c r="B11" t="s">
        <v>508</v>
      </c>
      <c r="C11" s="4" t="s">
        <v>1754</v>
      </c>
      <c r="D11" t="s">
        <v>1755</v>
      </c>
      <c r="E11" t="s">
        <v>108</v>
      </c>
      <c r="F11" t="str">
        <f>LEFT(premier_player_23_24[[#This Row],[Position]],2)</f>
        <v>DF</v>
      </c>
      <c r="G11" s="3">
        <v>23</v>
      </c>
      <c r="H1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1" s="3">
        <v>20</v>
      </c>
      <c r="J11" s="3">
        <v>11</v>
      </c>
      <c r="K11" s="2">
        <v>946</v>
      </c>
      <c r="L11" s="2" t="str">
        <f>IF(premier_player_23_24[[#This Row],[Minutes]]&gt;1000,"More than 1000 minutes","Less than 1000 minutes")</f>
        <v>Less than 1000 minutes</v>
      </c>
      <c r="M11" s="2">
        <v>10.5</v>
      </c>
      <c r="N11" s="3">
        <v>1</v>
      </c>
      <c r="O11" s="3">
        <v>3</v>
      </c>
      <c r="P11" s="3">
        <v>4</v>
      </c>
      <c r="Q11" s="3">
        <v>1</v>
      </c>
      <c r="R11" s="3">
        <v>0</v>
      </c>
      <c r="S11" s="3">
        <v>0</v>
      </c>
      <c r="T11" s="2">
        <v>1</v>
      </c>
      <c r="U11" s="2">
        <v>0</v>
      </c>
      <c r="V11" s="2">
        <v>0.8</v>
      </c>
      <c r="W11" s="2">
        <f>premier_player_23_24[[#This Row],[Goals]]-premier_player_23_24[[#This Row],[Expected Goals ]]</f>
        <v>0.19999999999999996</v>
      </c>
      <c r="X11" s="2">
        <v>0.8</v>
      </c>
      <c r="Y11" s="2">
        <v>0.9</v>
      </c>
      <c r="Z11" s="2">
        <v>1.7</v>
      </c>
      <c r="AA11" s="3">
        <v>4</v>
      </c>
      <c r="AB11" s="3">
        <v>55</v>
      </c>
      <c r="AC11" s="3">
        <v>16</v>
      </c>
      <c r="AD11" s="1">
        <v>0.1</v>
      </c>
      <c r="AE11" s="1">
        <v>0.28999999999999998</v>
      </c>
      <c r="AF11" s="1">
        <v>0.38</v>
      </c>
      <c r="AG11" s="1">
        <v>0.1</v>
      </c>
      <c r="AH11" s="1">
        <v>0.38</v>
      </c>
      <c r="AI11" s="1">
        <v>0.08</v>
      </c>
      <c r="AJ11" s="1">
        <v>0.09</v>
      </c>
      <c r="AK11" s="1">
        <v>0.16</v>
      </c>
      <c r="AL11" s="1">
        <v>0.08</v>
      </c>
      <c r="AM11" s="1">
        <v>0.16</v>
      </c>
      <c r="AN11" t="s">
        <v>438</v>
      </c>
    </row>
    <row r="12" spans="1:40" x14ac:dyDescent="0.25">
      <c r="A12" t="s">
        <v>529</v>
      </c>
      <c r="B12" t="s">
        <v>57</v>
      </c>
      <c r="C12" s="4" t="s">
        <v>1744</v>
      </c>
      <c r="D12" t="s">
        <v>1745</v>
      </c>
      <c r="E12" t="s">
        <v>36</v>
      </c>
      <c r="F12" t="str">
        <f>LEFT(premier_player_23_24[[#This Row],[Position]],2)</f>
        <v>MF</v>
      </c>
      <c r="G12" s="3">
        <v>23</v>
      </c>
      <c r="H1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2" s="3">
        <v>13</v>
      </c>
      <c r="J12" s="3">
        <v>3</v>
      </c>
      <c r="K12" s="2">
        <v>353</v>
      </c>
      <c r="L12" s="2" t="str">
        <f>IF(premier_player_23_24[[#This Row],[Minutes]]&gt;1000,"More than 1000 minutes","Less than 1000 minutes")</f>
        <v>Less than 1000 minutes</v>
      </c>
      <c r="M12" s="2">
        <v>3.9</v>
      </c>
      <c r="N12" s="3">
        <v>0</v>
      </c>
      <c r="O12" s="3">
        <v>1</v>
      </c>
      <c r="P12" s="3">
        <v>1</v>
      </c>
      <c r="Q12" s="3">
        <v>0</v>
      </c>
      <c r="R12" s="3">
        <v>0</v>
      </c>
      <c r="S12" s="3">
        <v>0</v>
      </c>
      <c r="T12" s="2">
        <v>0</v>
      </c>
      <c r="U12" s="2">
        <v>0</v>
      </c>
      <c r="V12" s="2">
        <v>2</v>
      </c>
      <c r="W12" s="2">
        <f>premier_player_23_24[[#This Row],[Goals]]-premier_player_23_24[[#This Row],[Expected Goals ]]</f>
        <v>-2</v>
      </c>
      <c r="X12" s="2">
        <v>2</v>
      </c>
      <c r="Y12" s="2">
        <v>0.2</v>
      </c>
      <c r="Z12" s="2">
        <v>2.2000000000000002</v>
      </c>
      <c r="AA12" s="3">
        <v>11</v>
      </c>
      <c r="AB12" s="3">
        <v>23</v>
      </c>
      <c r="AC12" s="3">
        <v>18</v>
      </c>
      <c r="AD12" s="1">
        <v>0</v>
      </c>
      <c r="AE12" s="1">
        <v>0.25</v>
      </c>
      <c r="AF12" s="1">
        <v>0.25</v>
      </c>
      <c r="AG12" s="1">
        <v>0</v>
      </c>
      <c r="AH12" s="1">
        <v>0.25</v>
      </c>
      <c r="AI12" s="1">
        <v>0.5</v>
      </c>
      <c r="AJ12" s="1">
        <v>0.06</v>
      </c>
      <c r="AK12" s="1">
        <v>0.56000000000000005</v>
      </c>
      <c r="AL12" s="1">
        <v>0.5</v>
      </c>
      <c r="AM12" s="1">
        <v>0.56000000000000005</v>
      </c>
      <c r="AN12" t="s">
        <v>438</v>
      </c>
    </row>
    <row r="13" spans="1:40" x14ac:dyDescent="0.25">
      <c r="A13" t="s">
        <v>452</v>
      </c>
      <c r="B13" t="s">
        <v>57</v>
      </c>
      <c r="C13" s="4" t="s">
        <v>1744</v>
      </c>
      <c r="D13" t="s">
        <v>1745</v>
      </c>
      <c r="E13" t="s">
        <v>108</v>
      </c>
      <c r="F13" t="str">
        <f>LEFT(premier_player_23_24[[#This Row],[Position]],2)</f>
        <v>DF</v>
      </c>
      <c r="G13" s="3">
        <v>25</v>
      </c>
      <c r="H1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3" s="3">
        <v>37</v>
      </c>
      <c r="J13" s="3">
        <v>35</v>
      </c>
      <c r="K13" s="2">
        <v>2988</v>
      </c>
      <c r="L13" s="2" t="str">
        <f>IF(premier_player_23_24[[#This Row],[Minutes]]&gt;1000,"More than 1000 minutes","Less than 1000 minutes")</f>
        <v>More than 1000 minutes</v>
      </c>
      <c r="M13" s="2">
        <v>33.200000000000003</v>
      </c>
      <c r="N13" s="3">
        <v>4</v>
      </c>
      <c r="O13" s="3">
        <v>4</v>
      </c>
      <c r="P13" s="3">
        <v>8</v>
      </c>
      <c r="Q13" s="3">
        <v>4</v>
      </c>
      <c r="R13" s="3">
        <v>0</v>
      </c>
      <c r="S13" s="3">
        <v>0</v>
      </c>
      <c r="T13" s="2">
        <v>8</v>
      </c>
      <c r="U13" s="2">
        <v>0</v>
      </c>
      <c r="V13" s="2">
        <v>1.2</v>
      </c>
      <c r="W13" s="2">
        <f>premier_player_23_24[[#This Row],[Goals]]-premier_player_23_24[[#This Row],[Expected Goals ]]</f>
        <v>2.8</v>
      </c>
      <c r="X13" s="2">
        <v>1.2</v>
      </c>
      <c r="Y13" s="2">
        <v>3.8</v>
      </c>
      <c r="Z13" s="2">
        <v>5</v>
      </c>
      <c r="AA13" s="3">
        <v>44</v>
      </c>
      <c r="AB13" s="3">
        <v>192</v>
      </c>
      <c r="AC13" s="3">
        <v>162</v>
      </c>
      <c r="AD13" s="1">
        <v>0.12</v>
      </c>
      <c r="AE13" s="1">
        <v>0.12</v>
      </c>
      <c r="AF13" s="1">
        <v>0.24</v>
      </c>
      <c r="AG13" s="1">
        <v>0.12</v>
      </c>
      <c r="AH13" s="1">
        <v>0.24</v>
      </c>
      <c r="AI13" s="1">
        <v>0.03</v>
      </c>
      <c r="AJ13" s="1">
        <v>0.11</v>
      </c>
      <c r="AK13" s="1">
        <v>0.15</v>
      </c>
      <c r="AL13" s="1">
        <v>0.03</v>
      </c>
      <c r="AM13" s="1">
        <v>0.15</v>
      </c>
      <c r="AN13" t="s">
        <v>438</v>
      </c>
    </row>
    <row r="14" spans="1:40" x14ac:dyDescent="0.25">
      <c r="A14" t="s">
        <v>511</v>
      </c>
      <c r="B14" t="s">
        <v>354</v>
      </c>
      <c r="C14" s="4" t="s">
        <v>1756</v>
      </c>
      <c r="D14" t="s">
        <v>1757</v>
      </c>
      <c r="E14" t="s">
        <v>108</v>
      </c>
      <c r="F14" t="str">
        <f>LEFT(premier_player_23_24[[#This Row],[Position]],2)</f>
        <v>DF</v>
      </c>
      <c r="G14" s="3">
        <v>24</v>
      </c>
      <c r="H1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4" s="3">
        <v>22</v>
      </c>
      <c r="J14" s="3">
        <v>10</v>
      </c>
      <c r="K14" s="2">
        <v>1149</v>
      </c>
      <c r="L14" s="2" t="str">
        <f>IF(premier_player_23_24[[#This Row],[Minutes]]&gt;1000,"More than 1000 minutes","Less than 1000 minutes")</f>
        <v>More than 1000 minutes</v>
      </c>
      <c r="M14" s="2">
        <v>12.8</v>
      </c>
      <c r="N14" s="3">
        <v>2</v>
      </c>
      <c r="O14" s="3">
        <v>1</v>
      </c>
      <c r="P14" s="3">
        <v>3</v>
      </c>
      <c r="Q14" s="3">
        <v>2</v>
      </c>
      <c r="R14" s="3">
        <v>0</v>
      </c>
      <c r="S14" s="3">
        <v>0</v>
      </c>
      <c r="T14" s="2">
        <v>2</v>
      </c>
      <c r="U14" s="2">
        <v>1</v>
      </c>
      <c r="V14" s="2">
        <v>1.5</v>
      </c>
      <c r="W14" s="2">
        <f>premier_player_23_24[[#This Row],[Goals]]-premier_player_23_24[[#This Row],[Expected Goals ]]</f>
        <v>0.5</v>
      </c>
      <c r="X14" s="2">
        <v>1.5</v>
      </c>
      <c r="Y14" s="2">
        <v>0.4</v>
      </c>
      <c r="Z14" s="2">
        <v>1.9</v>
      </c>
      <c r="AA14" s="3">
        <v>17</v>
      </c>
      <c r="AB14" s="3">
        <v>72</v>
      </c>
      <c r="AC14" s="3">
        <v>37</v>
      </c>
      <c r="AD14" s="1">
        <v>0.16</v>
      </c>
      <c r="AE14" s="1">
        <v>0.08</v>
      </c>
      <c r="AF14" s="1">
        <v>0.23</v>
      </c>
      <c r="AG14" s="1">
        <v>0.16</v>
      </c>
      <c r="AH14" s="1">
        <v>0.23</v>
      </c>
      <c r="AI14" s="1">
        <v>0.12</v>
      </c>
      <c r="AJ14" s="1">
        <v>0.03</v>
      </c>
      <c r="AK14" s="1">
        <v>0.15</v>
      </c>
      <c r="AL14" s="1">
        <v>0.12</v>
      </c>
      <c r="AM14" s="1">
        <v>0.15</v>
      </c>
      <c r="AN14" t="s">
        <v>438</v>
      </c>
    </row>
    <row r="15" spans="1:40" x14ac:dyDescent="0.25">
      <c r="A15" t="s">
        <v>518</v>
      </c>
      <c r="B15" t="s">
        <v>519</v>
      </c>
      <c r="C15" s="4" t="s">
        <v>1758</v>
      </c>
      <c r="D15" t="s">
        <v>1759</v>
      </c>
      <c r="E15" t="s">
        <v>36</v>
      </c>
      <c r="F15" t="str">
        <f>LEFT(premier_player_23_24[[#This Row],[Position]],2)</f>
        <v>MF</v>
      </c>
      <c r="G15" s="3">
        <v>31</v>
      </c>
      <c r="H1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5" s="3">
        <v>24</v>
      </c>
      <c r="J15" s="3">
        <v>10</v>
      </c>
      <c r="K15" s="2">
        <v>921</v>
      </c>
      <c r="L15" s="2" t="str">
        <f>IF(premier_player_23_24[[#This Row],[Minutes]]&gt;1000,"More than 1000 minutes","Less than 1000 minutes")</f>
        <v>Less than 1000 minutes</v>
      </c>
      <c r="M15" s="2">
        <v>10.199999999999999</v>
      </c>
      <c r="N15" s="3">
        <v>0</v>
      </c>
      <c r="O15" s="3">
        <v>2</v>
      </c>
      <c r="P15" s="3">
        <v>2</v>
      </c>
      <c r="Q15" s="3">
        <v>0</v>
      </c>
      <c r="R15" s="3">
        <v>0</v>
      </c>
      <c r="S15" s="3">
        <v>0</v>
      </c>
      <c r="T15" s="2">
        <v>1</v>
      </c>
      <c r="U15" s="2">
        <v>0</v>
      </c>
      <c r="V15" s="2">
        <v>0.1</v>
      </c>
      <c r="W15" s="2">
        <f>premier_player_23_24[[#This Row],[Goals]]-premier_player_23_24[[#This Row],[Expected Goals ]]</f>
        <v>-0.1</v>
      </c>
      <c r="X15" s="2">
        <v>0.1</v>
      </c>
      <c r="Y15" s="2">
        <v>1.4</v>
      </c>
      <c r="Z15" s="2">
        <v>1.5</v>
      </c>
      <c r="AA15" s="3">
        <v>8</v>
      </c>
      <c r="AB15" s="3">
        <v>101</v>
      </c>
      <c r="AC15" s="3">
        <v>8</v>
      </c>
      <c r="AD15" s="1">
        <v>0</v>
      </c>
      <c r="AE15" s="1">
        <v>0.2</v>
      </c>
      <c r="AF15" s="1">
        <v>0.2</v>
      </c>
      <c r="AG15" s="1">
        <v>0</v>
      </c>
      <c r="AH15" s="1">
        <v>0.2</v>
      </c>
      <c r="AI15" s="1">
        <v>0.01</v>
      </c>
      <c r="AJ15" s="1">
        <v>0.13</v>
      </c>
      <c r="AK15" s="1">
        <v>0.14000000000000001</v>
      </c>
      <c r="AL15" s="1">
        <v>0.01</v>
      </c>
      <c r="AM15" s="1">
        <v>0.14000000000000001</v>
      </c>
      <c r="AN15" t="s">
        <v>438</v>
      </c>
    </row>
    <row r="16" spans="1:40" x14ac:dyDescent="0.25">
      <c r="A16" t="s">
        <v>492</v>
      </c>
      <c r="B16" t="s">
        <v>493</v>
      </c>
      <c r="C16" s="4" t="s">
        <v>1760</v>
      </c>
      <c r="D16" t="s">
        <v>1761</v>
      </c>
      <c r="E16" t="s">
        <v>108</v>
      </c>
      <c r="F16" t="str">
        <f>LEFT(premier_player_23_24[[#This Row],[Position]],2)</f>
        <v>DF</v>
      </c>
      <c r="G16" s="3">
        <v>26</v>
      </c>
      <c r="H1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6" s="3">
        <v>27</v>
      </c>
      <c r="J16" s="3">
        <v>20</v>
      </c>
      <c r="K16" s="2">
        <v>1722</v>
      </c>
      <c r="L16" s="2" t="str">
        <f>IF(premier_player_23_24[[#This Row],[Minutes]]&gt;1000,"More than 1000 minutes","Less than 1000 minutes")</f>
        <v>More than 1000 minutes</v>
      </c>
      <c r="M16" s="2">
        <v>19.100000000000001</v>
      </c>
      <c r="N16" s="3">
        <v>1</v>
      </c>
      <c r="O16" s="3">
        <v>2</v>
      </c>
      <c r="P16" s="3">
        <v>3</v>
      </c>
      <c r="Q16" s="3">
        <v>1</v>
      </c>
      <c r="R16" s="3">
        <v>0</v>
      </c>
      <c r="S16" s="3">
        <v>0</v>
      </c>
      <c r="T16" s="2">
        <v>2</v>
      </c>
      <c r="U16" s="2">
        <v>0</v>
      </c>
      <c r="V16" s="2">
        <v>0.6</v>
      </c>
      <c r="W16" s="2">
        <f>premier_player_23_24[[#This Row],[Goals]]-premier_player_23_24[[#This Row],[Expected Goals ]]</f>
        <v>0.4</v>
      </c>
      <c r="X16" s="2">
        <v>0.6</v>
      </c>
      <c r="Y16" s="2">
        <v>2.5</v>
      </c>
      <c r="Z16" s="2">
        <v>3.1</v>
      </c>
      <c r="AA16" s="3">
        <v>40</v>
      </c>
      <c r="AB16" s="3">
        <v>229</v>
      </c>
      <c r="AC16" s="3">
        <v>58</v>
      </c>
      <c r="AD16" s="1">
        <v>0.05</v>
      </c>
      <c r="AE16" s="1">
        <v>0.1</v>
      </c>
      <c r="AF16" s="1">
        <v>0.16</v>
      </c>
      <c r="AG16" s="1">
        <v>0.05</v>
      </c>
      <c r="AH16" s="1">
        <v>0.16</v>
      </c>
      <c r="AI16" s="1">
        <v>0.03</v>
      </c>
      <c r="AJ16" s="1">
        <v>0.13</v>
      </c>
      <c r="AK16" s="1">
        <v>0.16</v>
      </c>
      <c r="AL16" s="1">
        <v>0.03</v>
      </c>
      <c r="AM16" s="1">
        <v>0.16</v>
      </c>
      <c r="AN16" t="s">
        <v>438</v>
      </c>
    </row>
    <row r="17" spans="1:40" x14ac:dyDescent="0.25">
      <c r="A17" t="s">
        <v>467</v>
      </c>
      <c r="B17" t="s">
        <v>76</v>
      </c>
      <c r="C17" s="4" t="s">
        <v>1750</v>
      </c>
      <c r="D17" t="s">
        <v>1751</v>
      </c>
      <c r="E17" t="s">
        <v>108</v>
      </c>
      <c r="F17" t="str">
        <f>LEFT(premier_player_23_24[[#This Row],[Position]],2)</f>
        <v>DF</v>
      </c>
      <c r="G17" s="3">
        <v>25</v>
      </c>
      <c r="H1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7" s="3">
        <v>36</v>
      </c>
      <c r="J17" s="3">
        <v>34</v>
      </c>
      <c r="K17" s="2">
        <v>3044</v>
      </c>
      <c r="L17" s="2" t="str">
        <f>IF(premier_player_23_24[[#This Row],[Minutes]]&gt;1000,"More than 1000 minutes","Less than 1000 minutes")</f>
        <v>More than 1000 minutes</v>
      </c>
      <c r="M17" s="2">
        <v>33.799999999999997</v>
      </c>
      <c r="N17" s="3">
        <v>4</v>
      </c>
      <c r="O17" s="3">
        <v>0</v>
      </c>
      <c r="P17" s="3">
        <v>4</v>
      </c>
      <c r="Q17" s="3">
        <v>4</v>
      </c>
      <c r="R17" s="3">
        <v>0</v>
      </c>
      <c r="S17" s="3">
        <v>0</v>
      </c>
      <c r="T17" s="2">
        <v>4</v>
      </c>
      <c r="U17" s="2">
        <v>0</v>
      </c>
      <c r="V17" s="2">
        <v>4.3</v>
      </c>
      <c r="W17" s="2">
        <f>premier_player_23_24[[#This Row],[Goals]]-premier_player_23_24[[#This Row],[Expected Goals ]]</f>
        <v>-0.29999999999999982</v>
      </c>
      <c r="X17" s="2">
        <v>4.3</v>
      </c>
      <c r="Y17" s="2">
        <v>0.7</v>
      </c>
      <c r="Z17" s="2">
        <v>5</v>
      </c>
      <c r="AA17" s="3">
        <v>13</v>
      </c>
      <c r="AB17" s="3">
        <v>117</v>
      </c>
      <c r="AC17" s="3">
        <v>8</v>
      </c>
      <c r="AD17" s="1">
        <v>0.12</v>
      </c>
      <c r="AE17" s="1">
        <v>0</v>
      </c>
      <c r="AF17" s="1">
        <v>0.12</v>
      </c>
      <c r="AG17" s="1">
        <v>0.12</v>
      </c>
      <c r="AH17" s="1">
        <v>0.12</v>
      </c>
      <c r="AI17" s="1">
        <v>0.13</v>
      </c>
      <c r="AJ17" s="1">
        <v>0.02</v>
      </c>
      <c r="AK17" s="1">
        <v>0.15</v>
      </c>
      <c r="AL17" s="1">
        <v>0.13</v>
      </c>
      <c r="AM17" s="1">
        <v>0.15</v>
      </c>
      <c r="AN17" t="s">
        <v>438</v>
      </c>
    </row>
    <row r="18" spans="1:40" x14ac:dyDescent="0.25">
      <c r="A18" t="s">
        <v>436</v>
      </c>
      <c r="B18" t="s">
        <v>376</v>
      </c>
      <c r="C18" s="4" t="s">
        <v>1762</v>
      </c>
      <c r="D18" t="s">
        <v>1763</v>
      </c>
      <c r="E18" t="s">
        <v>108</v>
      </c>
      <c r="F18" t="str">
        <f>LEFT(premier_player_23_24[[#This Row],[Position]],2)</f>
        <v>DF</v>
      </c>
      <c r="G18" s="3">
        <v>22</v>
      </c>
      <c r="H1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8" s="3">
        <v>38</v>
      </c>
      <c r="J18" s="3">
        <v>38</v>
      </c>
      <c r="K18" s="2">
        <v>3420</v>
      </c>
      <c r="L18" s="2" t="str">
        <f>IF(premier_player_23_24[[#This Row],[Minutes]]&gt;1000,"More than 1000 minutes","Less than 1000 minutes")</f>
        <v>More than 1000 minutes</v>
      </c>
      <c r="M18" s="2">
        <v>38</v>
      </c>
      <c r="N18" s="3">
        <v>2</v>
      </c>
      <c r="O18" s="3">
        <v>1</v>
      </c>
      <c r="P18" s="3">
        <v>3</v>
      </c>
      <c r="Q18" s="3">
        <v>2</v>
      </c>
      <c r="R18" s="3">
        <v>0</v>
      </c>
      <c r="S18" s="3">
        <v>0</v>
      </c>
      <c r="T18" s="2">
        <v>4</v>
      </c>
      <c r="U18" s="2">
        <v>0</v>
      </c>
      <c r="V18" s="2">
        <v>1.6</v>
      </c>
      <c r="W18" s="2">
        <f>premier_player_23_24[[#This Row],[Goals]]-premier_player_23_24[[#This Row],[Expected Goals ]]</f>
        <v>0.39999999999999991</v>
      </c>
      <c r="X18" s="2">
        <v>1.6</v>
      </c>
      <c r="Y18" s="2">
        <v>0.2</v>
      </c>
      <c r="Z18" s="2">
        <v>1.8</v>
      </c>
      <c r="AA18" s="3">
        <v>16</v>
      </c>
      <c r="AB18" s="3">
        <v>157</v>
      </c>
      <c r="AC18" s="3">
        <v>6</v>
      </c>
      <c r="AD18" s="1">
        <v>0.05</v>
      </c>
      <c r="AE18" s="1">
        <v>0.03</v>
      </c>
      <c r="AF18" s="1">
        <v>0.08</v>
      </c>
      <c r="AG18" s="1">
        <v>0.05</v>
      </c>
      <c r="AH18" s="1">
        <v>0.08</v>
      </c>
      <c r="AI18" s="1">
        <v>0.04</v>
      </c>
      <c r="AJ18" s="1">
        <v>0.01</v>
      </c>
      <c r="AK18" s="1">
        <v>0.05</v>
      </c>
      <c r="AL18" s="1">
        <v>0.04</v>
      </c>
      <c r="AM18" s="1">
        <v>0.05</v>
      </c>
      <c r="AN18" t="s">
        <v>438</v>
      </c>
    </row>
    <row r="19" spans="1:40" x14ac:dyDescent="0.25">
      <c r="A19" t="s">
        <v>471</v>
      </c>
      <c r="B19" t="s">
        <v>35</v>
      </c>
      <c r="C19" s="4" t="s">
        <v>1764</v>
      </c>
      <c r="D19" t="s">
        <v>1765</v>
      </c>
      <c r="E19" t="s">
        <v>77</v>
      </c>
      <c r="F19" t="str">
        <f>LEFT(premier_player_23_24[[#This Row],[Position]],2)</f>
        <v>GK</v>
      </c>
      <c r="G19" s="3">
        <v>27</v>
      </c>
      <c r="H1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9" s="3">
        <v>32</v>
      </c>
      <c r="J19" s="3">
        <v>32</v>
      </c>
      <c r="K19" s="2">
        <v>2880</v>
      </c>
      <c r="L19" s="2" t="str">
        <f>IF(premier_player_23_24[[#This Row],[Minutes]]&gt;1000,"More than 1000 minutes","Less than 1000 minutes")</f>
        <v>More than 1000 minutes</v>
      </c>
      <c r="M19" s="2">
        <v>32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2">
        <v>2</v>
      </c>
      <c r="U19" s="2">
        <v>0</v>
      </c>
      <c r="V19" s="2">
        <v>0</v>
      </c>
      <c r="W19" s="2">
        <f>premier_player_23_24[[#This Row],[Goals]]-premier_player_23_24[[#This Row],[Expected Goals ]]</f>
        <v>0</v>
      </c>
      <c r="X19" s="2">
        <v>0</v>
      </c>
      <c r="Y19" s="2">
        <v>0</v>
      </c>
      <c r="Z19" s="2">
        <v>0</v>
      </c>
      <c r="AA19" s="3">
        <v>0</v>
      </c>
      <c r="AB19" s="3">
        <v>2</v>
      </c>
      <c r="AC19" s="3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t="s">
        <v>438</v>
      </c>
    </row>
    <row r="20" spans="1:40" x14ac:dyDescent="0.25">
      <c r="A20" t="s">
        <v>522</v>
      </c>
      <c r="B20" t="s">
        <v>523</v>
      </c>
      <c r="C20" s="4" t="s">
        <v>1766</v>
      </c>
      <c r="D20" t="s">
        <v>1767</v>
      </c>
      <c r="E20" t="s">
        <v>524</v>
      </c>
      <c r="F20" t="str">
        <f>LEFT(premier_player_23_24[[#This Row],[Position]],2)</f>
        <v>MF</v>
      </c>
      <c r="G20" s="3">
        <v>30</v>
      </c>
      <c r="H2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0" s="3">
        <v>14</v>
      </c>
      <c r="J20" s="3">
        <v>9</v>
      </c>
      <c r="K20" s="2">
        <v>788</v>
      </c>
      <c r="L20" s="2" t="str">
        <f>IF(premier_player_23_24[[#This Row],[Minutes]]&gt;1000,"More than 1000 minutes","Less than 1000 minutes")</f>
        <v>Less than 1000 minutes</v>
      </c>
      <c r="M20" s="2">
        <v>8.8000000000000007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2">
        <v>3</v>
      </c>
      <c r="U20" s="2">
        <v>0</v>
      </c>
      <c r="V20" s="2">
        <v>0.4</v>
      </c>
      <c r="W20" s="2">
        <f>premier_player_23_24[[#This Row],[Goals]]-premier_player_23_24[[#This Row],[Expected Goals ]]</f>
        <v>-0.4</v>
      </c>
      <c r="X20" s="2">
        <v>0.4</v>
      </c>
      <c r="Y20" s="2">
        <v>0.3</v>
      </c>
      <c r="Z20" s="2">
        <v>0.7</v>
      </c>
      <c r="AA20" s="3">
        <v>15</v>
      </c>
      <c r="AB20" s="3">
        <v>72</v>
      </c>
      <c r="AC20" s="3">
        <v>10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0.05</v>
      </c>
      <c r="AJ20" s="1">
        <v>0.03</v>
      </c>
      <c r="AK20" s="1">
        <v>0.08</v>
      </c>
      <c r="AL20" s="1">
        <v>0.05</v>
      </c>
      <c r="AM20" s="1">
        <v>0.08</v>
      </c>
      <c r="AN20" t="s">
        <v>438</v>
      </c>
    </row>
    <row r="21" spans="1:40" x14ac:dyDescent="0.25">
      <c r="A21" t="s">
        <v>527</v>
      </c>
      <c r="B21" t="s">
        <v>57</v>
      </c>
      <c r="C21" s="4" t="s">
        <v>1744</v>
      </c>
      <c r="D21" t="s">
        <v>1745</v>
      </c>
      <c r="E21" t="s">
        <v>77</v>
      </c>
      <c r="F21" t="str">
        <f>LEFT(premier_player_23_24[[#This Row],[Position]],2)</f>
        <v>GK</v>
      </c>
      <c r="G21" s="3">
        <v>25</v>
      </c>
      <c r="H2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1" s="3">
        <v>6</v>
      </c>
      <c r="J21" s="3">
        <v>6</v>
      </c>
      <c r="K21" s="2">
        <v>540</v>
      </c>
      <c r="L21" s="2" t="str">
        <f>IF(premier_player_23_24[[#This Row],[Minutes]]&gt;1000,"More than 1000 minutes","Less than 1000 minutes")</f>
        <v>Less than 1000 minutes</v>
      </c>
      <c r="M21" s="2">
        <v>6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2">
        <v>0</v>
      </c>
      <c r="U21" s="2">
        <v>0</v>
      </c>
      <c r="V21" s="2">
        <v>0</v>
      </c>
      <c r="W21" s="2">
        <f>premier_player_23_24[[#This Row],[Goals]]-premier_player_23_24[[#This Row],[Expected Goals ]]</f>
        <v>0</v>
      </c>
      <c r="X21" s="2">
        <v>0</v>
      </c>
      <c r="Y21" s="2">
        <v>0</v>
      </c>
      <c r="Z21" s="2">
        <v>0</v>
      </c>
      <c r="AA21" s="3">
        <v>0</v>
      </c>
      <c r="AB21" s="3">
        <v>2</v>
      </c>
      <c r="AC21" s="3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t="s">
        <v>438</v>
      </c>
    </row>
    <row r="22" spans="1:40" x14ac:dyDescent="0.25">
      <c r="A22" t="s">
        <v>537</v>
      </c>
      <c r="B22" t="s">
        <v>57</v>
      </c>
      <c r="C22" s="4" t="s">
        <v>1744</v>
      </c>
      <c r="D22" t="s">
        <v>1745</v>
      </c>
      <c r="E22" t="s">
        <v>137</v>
      </c>
      <c r="F22" t="str">
        <f>LEFT(premier_player_23_24[[#This Row],[Position]],2)</f>
        <v>FW</v>
      </c>
      <c r="G22" s="3">
        <v>23</v>
      </c>
      <c r="H2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2" s="3">
        <v>15</v>
      </c>
      <c r="J22" s="3">
        <v>1</v>
      </c>
      <c r="K22" s="2">
        <v>268</v>
      </c>
      <c r="L22" s="2" t="str">
        <f>IF(premier_player_23_24[[#This Row],[Minutes]]&gt;1000,"More than 1000 minutes","Less than 1000 minutes")</f>
        <v>Less than 1000 minutes</v>
      </c>
      <c r="M22" s="2">
        <v>3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2">
        <v>1</v>
      </c>
      <c r="U22" s="2">
        <v>0</v>
      </c>
      <c r="V22" s="2">
        <v>0.2</v>
      </c>
      <c r="W22" s="2">
        <f>premier_player_23_24[[#This Row],[Goals]]-premier_player_23_24[[#This Row],[Expected Goals ]]</f>
        <v>-0.2</v>
      </c>
      <c r="X22" s="2">
        <v>0.2</v>
      </c>
      <c r="Y22" s="2">
        <v>0.6</v>
      </c>
      <c r="Z22" s="2">
        <v>0.8</v>
      </c>
      <c r="AA22" s="3">
        <v>9</v>
      </c>
      <c r="AB22" s="3">
        <v>5</v>
      </c>
      <c r="AC22" s="3">
        <v>26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7.0000000000000007E-2</v>
      </c>
      <c r="AJ22" s="1">
        <v>0.2</v>
      </c>
      <c r="AK22" s="1">
        <v>0.27</v>
      </c>
      <c r="AL22" s="1">
        <v>7.0000000000000007E-2</v>
      </c>
      <c r="AM22" s="1">
        <v>0.27</v>
      </c>
      <c r="AN22" t="s">
        <v>438</v>
      </c>
    </row>
    <row r="23" spans="1:40" x14ac:dyDescent="0.25">
      <c r="A23" t="s">
        <v>539</v>
      </c>
      <c r="B23" t="s">
        <v>196</v>
      </c>
      <c r="C23" s="4" t="s">
        <v>1768</v>
      </c>
      <c r="D23" t="s">
        <v>1769</v>
      </c>
      <c r="E23" t="s">
        <v>108</v>
      </c>
      <c r="F23" t="str">
        <f>LEFT(premier_player_23_24[[#This Row],[Position]],2)</f>
        <v>DF</v>
      </c>
      <c r="G23" s="3">
        <v>22</v>
      </c>
      <c r="H2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3" s="3">
        <v>2</v>
      </c>
      <c r="J23" s="3">
        <v>1</v>
      </c>
      <c r="K23" s="2">
        <v>71</v>
      </c>
      <c r="L23" s="2" t="str">
        <f>IF(premier_player_23_24[[#This Row],[Minutes]]&gt;1000,"More than 1000 minutes","Less than 1000 minutes")</f>
        <v>Less than 1000 minutes</v>
      </c>
      <c r="M23" s="2">
        <v>0.8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2">
        <v>2</v>
      </c>
      <c r="U23" s="2">
        <v>0</v>
      </c>
      <c r="V23" s="2">
        <v>0</v>
      </c>
      <c r="W23" s="2">
        <f>premier_player_23_24[[#This Row],[Goals]]-premier_player_23_24[[#This Row],[Expected Goals ]]</f>
        <v>0</v>
      </c>
      <c r="X23" s="2">
        <v>0</v>
      </c>
      <c r="Y23" s="2">
        <v>0</v>
      </c>
      <c r="Z23" s="2">
        <v>0</v>
      </c>
      <c r="AA23" s="3">
        <v>0</v>
      </c>
      <c r="AB23" s="3">
        <v>8</v>
      </c>
      <c r="AC23" s="3">
        <v>5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t="s">
        <v>438</v>
      </c>
    </row>
    <row r="24" spans="1:40" x14ac:dyDescent="0.25">
      <c r="A24" t="s">
        <v>540</v>
      </c>
      <c r="B24" t="s">
        <v>122</v>
      </c>
      <c r="C24" s="4" t="s">
        <v>1742</v>
      </c>
      <c r="D24" t="s">
        <v>1743</v>
      </c>
      <c r="E24" t="s">
        <v>108</v>
      </c>
      <c r="F24" t="str">
        <f>LEFT(premier_player_23_24[[#This Row],[Position]],2)</f>
        <v>DF</v>
      </c>
      <c r="G24" s="3">
        <v>31</v>
      </c>
      <c r="H2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4" s="3">
        <v>3</v>
      </c>
      <c r="J24" s="3">
        <v>0</v>
      </c>
      <c r="K24" s="2">
        <v>62</v>
      </c>
      <c r="L24" s="2" t="str">
        <f>IF(premier_player_23_24[[#This Row],[Minutes]]&gt;1000,"More than 1000 minutes","Less than 1000 minutes")</f>
        <v>Less than 1000 minutes</v>
      </c>
      <c r="M24" s="2">
        <v>0.7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2">
        <v>0</v>
      </c>
      <c r="U24" s="2">
        <v>0</v>
      </c>
      <c r="V24" s="2">
        <v>0</v>
      </c>
      <c r="W24" s="2">
        <f>premier_player_23_24[[#This Row],[Goals]]-premier_player_23_24[[#This Row],[Expected Goals ]]</f>
        <v>0</v>
      </c>
      <c r="X24" s="2">
        <v>0</v>
      </c>
      <c r="Y24" s="2">
        <v>0</v>
      </c>
      <c r="Z24" s="2">
        <v>0</v>
      </c>
      <c r="AA24" s="3">
        <v>0</v>
      </c>
      <c r="AB24" s="3">
        <v>3</v>
      </c>
      <c r="AC24" s="3">
        <v>6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t="s">
        <v>438</v>
      </c>
    </row>
    <row r="25" spans="1:40" x14ac:dyDescent="0.25">
      <c r="A25" t="s">
        <v>542</v>
      </c>
      <c r="B25" t="s">
        <v>303</v>
      </c>
      <c r="C25" s="4" t="s">
        <v>1770</v>
      </c>
      <c r="D25" t="s">
        <v>1771</v>
      </c>
      <c r="E25" t="s">
        <v>36</v>
      </c>
      <c r="F25" t="str">
        <f>LEFT(premier_player_23_24[[#This Row],[Position]],2)</f>
        <v>MF</v>
      </c>
      <c r="G25" s="3">
        <v>31</v>
      </c>
      <c r="H2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5" s="3">
        <v>3</v>
      </c>
      <c r="J25" s="3">
        <v>0</v>
      </c>
      <c r="K25" s="2">
        <v>28</v>
      </c>
      <c r="L25" s="2" t="str">
        <f>IF(premier_player_23_24[[#This Row],[Minutes]]&gt;1000,"More than 1000 minutes","Less than 1000 minutes")</f>
        <v>Less than 1000 minutes</v>
      </c>
      <c r="M25" s="2">
        <v>0.3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2">
        <v>0</v>
      </c>
      <c r="U25" s="2">
        <v>0</v>
      </c>
      <c r="V25" s="2">
        <v>0.1</v>
      </c>
      <c r="W25" s="2">
        <f>premier_player_23_24[[#This Row],[Goals]]-premier_player_23_24[[#This Row],[Expected Goals ]]</f>
        <v>-0.1</v>
      </c>
      <c r="X25" s="2">
        <v>0.1</v>
      </c>
      <c r="Y25" s="2">
        <v>0</v>
      </c>
      <c r="Z25" s="2">
        <v>0.1</v>
      </c>
      <c r="AA25" s="3">
        <v>1</v>
      </c>
      <c r="AB25" s="3">
        <v>1</v>
      </c>
      <c r="AC25" s="3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0.26</v>
      </c>
      <c r="AJ25" s="1">
        <v>0</v>
      </c>
      <c r="AK25" s="1">
        <v>0.26</v>
      </c>
      <c r="AL25" s="1">
        <v>0.26</v>
      </c>
      <c r="AM25" s="1">
        <v>0.26</v>
      </c>
      <c r="AN25" t="s">
        <v>438</v>
      </c>
    </row>
    <row r="26" spans="1:40" x14ac:dyDescent="0.25">
      <c r="A26" t="s">
        <v>543</v>
      </c>
      <c r="B26" t="s">
        <v>57</v>
      </c>
      <c r="C26" s="4" t="s">
        <v>1744</v>
      </c>
      <c r="D26" t="s">
        <v>1745</v>
      </c>
      <c r="E26" t="s">
        <v>137</v>
      </c>
      <c r="F26" t="str">
        <f>LEFT(premier_player_23_24[[#This Row],[Position]],2)</f>
        <v>FW</v>
      </c>
      <c r="G26" s="3">
        <v>16</v>
      </c>
      <c r="H2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6" s="3">
        <v>1</v>
      </c>
      <c r="J26" s="3">
        <v>0</v>
      </c>
      <c r="K26" s="2">
        <v>14</v>
      </c>
      <c r="L26" s="2" t="str">
        <f>IF(premier_player_23_24[[#This Row],[Minutes]]&gt;1000,"More than 1000 minutes","Less than 1000 minutes")</f>
        <v>Less than 1000 minutes</v>
      </c>
      <c r="M26" s="2">
        <v>0.2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2">
        <v>0</v>
      </c>
      <c r="U26" s="2">
        <v>0</v>
      </c>
      <c r="V26" s="2">
        <v>0</v>
      </c>
      <c r="W26" s="2">
        <f>premier_player_23_24[[#This Row],[Goals]]-premier_player_23_24[[#This Row],[Expected Goals ]]</f>
        <v>0</v>
      </c>
      <c r="X26" s="2">
        <v>0</v>
      </c>
      <c r="Y26" s="2">
        <v>0</v>
      </c>
      <c r="Z26" s="2">
        <v>0</v>
      </c>
      <c r="AA26" s="3">
        <v>2</v>
      </c>
      <c r="AB26" s="3">
        <v>2</v>
      </c>
      <c r="AC26" s="3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0.15</v>
      </c>
      <c r="AK26" s="1">
        <v>0.15</v>
      </c>
      <c r="AL26" s="1">
        <v>0</v>
      </c>
      <c r="AM26" s="1">
        <v>0.15</v>
      </c>
      <c r="AN26" t="s">
        <v>438</v>
      </c>
    </row>
    <row r="27" spans="1:40" x14ac:dyDescent="0.25">
      <c r="A27" t="s">
        <v>968</v>
      </c>
      <c r="B27" t="s">
        <v>287</v>
      </c>
      <c r="C27" s="4" t="s">
        <v>1772</v>
      </c>
      <c r="D27" t="s">
        <v>1773</v>
      </c>
      <c r="E27" t="s">
        <v>58</v>
      </c>
      <c r="F27" t="str">
        <f>LEFT(premier_player_23_24[[#This Row],[Position]],2)</f>
        <v>FW</v>
      </c>
      <c r="G27" s="3">
        <v>19</v>
      </c>
      <c r="H2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7" s="3">
        <v>23</v>
      </c>
      <c r="J27" s="3">
        <v>3</v>
      </c>
      <c r="K27" s="2">
        <v>475</v>
      </c>
      <c r="L27" s="2" t="str">
        <f>IF(premier_player_23_24[[#This Row],[Minutes]]&gt;1000,"More than 1000 minutes","Less than 1000 minutes")</f>
        <v>Less than 1000 minutes</v>
      </c>
      <c r="M27" s="2">
        <v>5.3</v>
      </c>
      <c r="N27" s="3">
        <v>5</v>
      </c>
      <c r="O27" s="3">
        <v>0</v>
      </c>
      <c r="P27" s="3">
        <v>5</v>
      </c>
      <c r="Q27" s="3">
        <v>5</v>
      </c>
      <c r="R27" s="3">
        <v>0</v>
      </c>
      <c r="S27" s="3">
        <v>0</v>
      </c>
      <c r="T27" s="2">
        <v>5</v>
      </c>
      <c r="U27" s="2">
        <v>0</v>
      </c>
      <c r="V27" s="2">
        <v>2</v>
      </c>
      <c r="W27" s="2">
        <f>premier_player_23_24[[#This Row],[Goals]]-premier_player_23_24[[#This Row],[Expected Goals ]]</f>
        <v>3</v>
      </c>
      <c r="X27" s="2">
        <v>2</v>
      </c>
      <c r="Y27" s="2">
        <v>0.3</v>
      </c>
      <c r="Z27" s="2">
        <v>2.2999999999999998</v>
      </c>
      <c r="AA27" s="3">
        <v>9</v>
      </c>
      <c r="AB27" s="3">
        <v>9</v>
      </c>
      <c r="AC27" s="3">
        <v>25</v>
      </c>
      <c r="AD27" s="1">
        <v>0.95</v>
      </c>
      <c r="AE27" s="1">
        <v>0</v>
      </c>
      <c r="AF27" s="1">
        <v>0.95</v>
      </c>
      <c r="AG27" s="1">
        <v>0.95</v>
      </c>
      <c r="AH27" s="1">
        <v>0.95</v>
      </c>
      <c r="AI27" s="1">
        <v>0.38</v>
      </c>
      <c r="AJ27" s="1">
        <v>0.06</v>
      </c>
      <c r="AK27" s="1">
        <v>0.44</v>
      </c>
      <c r="AL27" s="1">
        <v>0.38</v>
      </c>
      <c r="AM27" s="1">
        <v>0.44</v>
      </c>
      <c r="AN27" t="s">
        <v>913</v>
      </c>
    </row>
    <row r="28" spans="1:40" x14ac:dyDescent="0.25">
      <c r="A28" t="s">
        <v>907</v>
      </c>
      <c r="B28" t="s">
        <v>57</v>
      </c>
      <c r="C28" s="4" t="s">
        <v>1744</v>
      </c>
      <c r="D28" t="s">
        <v>1745</v>
      </c>
      <c r="E28" t="s">
        <v>137</v>
      </c>
      <c r="F28" t="str">
        <f>LEFT(premier_player_23_24[[#This Row],[Position]],2)</f>
        <v>FW</v>
      </c>
      <c r="G28" s="3">
        <v>27</v>
      </c>
      <c r="H2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8" s="3">
        <v>37</v>
      </c>
      <c r="J28" s="3">
        <v>37</v>
      </c>
      <c r="K28" s="2">
        <v>3217</v>
      </c>
      <c r="L28" s="2" t="str">
        <f>IF(premier_player_23_24[[#This Row],[Minutes]]&gt;1000,"More than 1000 minutes","Less than 1000 minutes")</f>
        <v>More than 1000 minutes</v>
      </c>
      <c r="M28" s="2">
        <v>35.700000000000003</v>
      </c>
      <c r="N28" s="3">
        <v>19</v>
      </c>
      <c r="O28" s="3">
        <v>13</v>
      </c>
      <c r="P28" s="3">
        <v>32</v>
      </c>
      <c r="Q28" s="3">
        <v>19</v>
      </c>
      <c r="R28" s="3">
        <v>0</v>
      </c>
      <c r="S28" s="3">
        <v>0</v>
      </c>
      <c r="T28" s="2">
        <v>4</v>
      </c>
      <c r="U28" s="2">
        <v>0</v>
      </c>
      <c r="V28" s="2">
        <v>16.8</v>
      </c>
      <c r="W28" s="2">
        <f>premier_player_23_24[[#This Row],[Goals]]-premier_player_23_24[[#This Row],[Expected Goals ]]</f>
        <v>2.1999999999999993</v>
      </c>
      <c r="X28" s="2">
        <v>16.8</v>
      </c>
      <c r="Y28" s="2">
        <v>7.3</v>
      </c>
      <c r="Z28" s="2">
        <v>24.2</v>
      </c>
      <c r="AA28" s="3">
        <v>62</v>
      </c>
      <c r="AB28" s="3">
        <v>55</v>
      </c>
      <c r="AC28" s="3">
        <v>214</v>
      </c>
      <c r="AD28" s="1">
        <v>0.53</v>
      </c>
      <c r="AE28" s="1">
        <v>0.36</v>
      </c>
      <c r="AF28" s="1">
        <v>0.9</v>
      </c>
      <c r="AG28" s="1">
        <v>0.53</v>
      </c>
      <c r="AH28" s="1">
        <v>0.9</v>
      </c>
      <c r="AI28" s="1">
        <v>0.47</v>
      </c>
      <c r="AJ28" s="1">
        <v>0.21</v>
      </c>
      <c r="AK28" s="1">
        <v>0.68</v>
      </c>
      <c r="AL28" s="1">
        <v>0.47</v>
      </c>
      <c r="AM28" s="1">
        <v>0.68</v>
      </c>
      <c r="AN28" t="s">
        <v>913</v>
      </c>
    </row>
    <row r="29" spans="1:40" x14ac:dyDescent="0.25">
      <c r="A29" t="s">
        <v>941</v>
      </c>
      <c r="B29" t="s">
        <v>942</v>
      </c>
      <c r="C29" s="4" t="s">
        <v>1774</v>
      </c>
      <c r="D29" t="s">
        <v>1775</v>
      </c>
      <c r="E29" t="s">
        <v>86</v>
      </c>
      <c r="F29" t="str">
        <f>LEFT(premier_player_23_24[[#This Row],[Position]],2)</f>
        <v>MF</v>
      </c>
      <c r="G29" s="3">
        <v>25</v>
      </c>
      <c r="H2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9" s="3">
        <v>35</v>
      </c>
      <c r="J29" s="3">
        <v>22</v>
      </c>
      <c r="K29" s="2">
        <v>2068</v>
      </c>
      <c r="L29" s="2" t="str">
        <f>IF(premier_player_23_24[[#This Row],[Minutes]]&gt;1000,"More than 1000 minutes","Less than 1000 minutes")</f>
        <v>More than 1000 minutes</v>
      </c>
      <c r="M29" s="2">
        <v>23</v>
      </c>
      <c r="N29" s="3">
        <v>10</v>
      </c>
      <c r="O29" s="3">
        <v>9</v>
      </c>
      <c r="P29" s="3">
        <v>19</v>
      </c>
      <c r="Q29" s="3">
        <v>10</v>
      </c>
      <c r="R29" s="3">
        <v>0</v>
      </c>
      <c r="S29" s="3">
        <v>0</v>
      </c>
      <c r="T29" s="2">
        <v>5</v>
      </c>
      <c r="U29" s="2">
        <v>0</v>
      </c>
      <c r="V29" s="2">
        <v>6.3</v>
      </c>
      <c r="W29" s="2">
        <f>premier_player_23_24[[#This Row],[Goals]]-premier_player_23_24[[#This Row],[Expected Goals ]]</f>
        <v>3.7</v>
      </c>
      <c r="X29" s="2">
        <v>6.3</v>
      </c>
      <c r="Y29" s="2">
        <v>9.1999999999999993</v>
      </c>
      <c r="Z29" s="2">
        <v>15.5</v>
      </c>
      <c r="AA29" s="3">
        <v>102</v>
      </c>
      <c r="AB29" s="3">
        <v>82</v>
      </c>
      <c r="AC29" s="3">
        <v>226</v>
      </c>
      <c r="AD29" s="1">
        <v>0.44</v>
      </c>
      <c r="AE29" s="1">
        <v>0.39</v>
      </c>
      <c r="AF29" s="1">
        <v>0.83</v>
      </c>
      <c r="AG29" s="1">
        <v>0.44</v>
      </c>
      <c r="AH29" s="1">
        <v>0.83</v>
      </c>
      <c r="AI29" s="1">
        <v>0.27</v>
      </c>
      <c r="AJ29" s="1">
        <v>0.4</v>
      </c>
      <c r="AK29" s="1">
        <v>0.67</v>
      </c>
      <c r="AL29" s="1">
        <v>0.27</v>
      </c>
      <c r="AM29" s="1">
        <v>0.67</v>
      </c>
      <c r="AN29" t="s">
        <v>913</v>
      </c>
    </row>
    <row r="30" spans="1:40" x14ac:dyDescent="0.25">
      <c r="A30" t="s">
        <v>973</v>
      </c>
      <c r="B30" t="s">
        <v>207</v>
      </c>
      <c r="C30" s="4" t="s">
        <v>1746</v>
      </c>
      <c r="D30" t="s">
        <v>1747</v>
      </c>
      <c r="E30" t="s">
        <v>36</v>
      </c>
      <c r="F30" t="str">
        <f>LEFT(premier_player_23_24[[#This Row],[Position]],2)</f>
        <v>MF</v>
      </c>
      <c r="G30" s="3">
        <v>28</v>
      </c>
      <c r="H3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0" s="3">
        <v>8</v>
      </c>
      <c r="J30" s="3">
        <v>1</v>
      </c>
      <c r="K30" s="2">
        <v>119</v>
      </c>
      <c r="L30" s="2" t="str">
        <f>IF(premier_player_23_24[[#This Row],[Minutes]]&gt;1000,"More than 1000 minutes","Less than 1000 minutes")</f>
        <v>Less than 1000 minutes</v>
      </c>
      <c r="M30" s="2">
        <v>1.3</v>
      </c>
      <c r="N30" s="3">
        <v>1</v>
      </c>
      <c r="O30" s="3">
        <v>0</v>
      </c>
      <c r="P30" s="3">
        <v>1</v>
      </c>
      <c r="Q30" s="3">
        <v>1</v>
      </c>
      <c r="R30" s="3">
        <v>0</v>
      </c>
      <c r="S30" s="3">
        <v>0</v>
      </c>
      <c r="T30" s="2">
        <v>0</v>
      </c>
      <c r="U30" s="2">
        <v>0</v>
      </c>
      <c r="V30" s="2">
        <v>0.7</v>
      </c>
      <c r="W30" s="2">
        <f>premier_player_23_24[[#This Row],[Goals]]-premier_player_23_24[[#This Row],[Expected Goals ]]</f>
        <v>0.30000000000000004</v>
      </c>
      <c r="X30" s="2">
        <v>0.7</v>
      </c>
      <c r="Y30" s="2">
        <v>0</v>
      </c>
      <c r="Z30" s="2">
        <v>0.7</v>
      </c>
      <c r="AA30" s="3">
        <v>0</v>
      </c>
      <c r="AB30" s="3">
        <v>3</v>
      </c>
      <c r="AC30" s="3">
        <v>2</v>
      </c>
      <c r="AD30" s="1">
        <v>0.76</v>
      </c>
      <c r="AE30" s="1">
        <v>0</v>
      </c>
      <c r="AF30" s="1">
        <v>0.76</v>
      </c>
      <c r="AG30" s="1">
        <v>0.76</v>
      </c>
      <c r="AH30" s="1">
        <v>0.76</v>
      </c>
      <c r="AI30" s="1">
        <v>0.56000000000000005</v>
      </c>
      <c r="AJ30" s="1">
        <v>0</v>
      </c>
      <c r="AK30" s="1">
        <v>0.56000000000000005</v>
      </c>
      <c r="AL30" s="1">
        <v>0.56000000000000005</v>
      </c>
      <c r="AM30" s="1">
        <v>0.56000000000000005</v>
      </c>
      <c r="AN30" t="s">
        <v>913</v>
      </c>
    </row>
    <row r="31" spans="1:40" x14ac:dyDescent="0.25">
      <c r="A31" t="s">
        <v>972</v>
      </c>
      <c r="B31" t="s">
        <v>57</v>
      </c>
      <c r="C31" s="4" t="s">
        <v>1744</v>
      </c>
      <c r="D31" t="s">
        <v>1745</v>
      </c>
      <c r="E31" t="s">
        <v>524</v>
      </c>
      <c r="F31" t="str">
        <f>LEFT(premier_player_23_24[[#This Row],[Position]],2)</f>
        <v>MF</v>
      </c>
      <c r="G31" s="3">
        <v>28</v>
      </c>
      <c r="H3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1" s="3">
        <v>5</v>
      </c>
      <c r="J31" s="3">
        <v>1</v>
      </c>
      <c r="K31" s="2">
        <v>152</v>
      </c>
      <c r="L31" s="2" t="str">
        <f>IF(premier_player_23_24[[#This Row],[Minutes]]&gt;1000,"More than 1000 minutes","Less than 1000 minutes")</f>
        <v>Less than 1000 minutes</v>
      </c>
      <c r="M31" s="2">
        <v>1.7</v>
      </c>
      <c r="N31" s="3">
        <v>0</v>
      </c>
      <c r="O31" s="3">
        <v>1</v>
      </c>
      <c r="P31" s="3">
        <v>1</v>
      </c>
      <c r="Q31" s="3">
        <v>0</v>
      </c>
      <c r="R31" s="3">
        <v>0</v>
      </c>
      <c r="S31" s="3">
        <v>0</v>
      </c>
      <c r="T31" s="2">
        <v>1</v>
      </c>
      <c r="U31" s="2">
        <v>0</v>
      </c>
      <c r="V31" s="2">
        <v>0</v>
      </c>
      <c r="W31" s="2">
        <f>premier_player_23_24[[#This Row],[Goals]]-premier_player_23_24[[#This Row],[Expected Goals ]]</f>
        <v>0</v>
      </c>
      <c r="X31" s="2">
        <v>0</v>
      </c>
      <c r="Y31" s="2">
        <v>0.1</v>
      </c>
      <c r="Z31" s="2">
        <v>0.1</v>
      </c>
      <c r="AA31" s="3">
        <v>0</v>
      </c>
      <c r="AB31" s="3">
        <v>5</v>
      </c>
      <c r="AC31" s="3">
        <v>1</v>
      </c>
      <c r="AD31" s="1">
        <v>0</v>
      </c>
      <c r="AE31" s="1">
        <v>0.59</v>
      </c>
      <c r="AF31" s="1">
        <v>0.59</v>
      </c>
      <c r="AG31" s="1">
        <v>0</v>
      </c>
      <c r="AH31" s="1">
        <v>0.59</v>
      </c>
      <c r="AI31" s="1">
        <v>0</v>
      </c>
      <c r="AJ31" s="1">
        <v>0.06</v>
      </c>
      <c r="AK31" s="1">
        <v>0.06</v>
      </c>
      <c r="AL31" s="1">
        <v>0</v>
      </c>
      <c r="AM31" s="1">
        <v>0.06</v>
      </c>
      <c r="AN31" t="s">
        <v>913</v>
      </c>
    </row>
    <row r="32" spans="1:40" x14ac:dyDescent="0.25">
      <c r="A32" t="s">
        <v>934</v>
      </c>
      <c r="B32" t="s">
        <v>376</v>
      </c>
      <c r="C32" s="4" t="s">
        <v>1762</v>
      </c>
      <c r="D32" t="s">
        <v>1763</v>
      </c>
      <c r="E32" t="s">
        <v>58</v>
      </c>
      <c r="F32" t="str">
        <f>LEFT(premier_player_23_24[[#This Row],[Position]],2)</f>
        <v>FW</v>
      </c>
      <c r="G32" s="3">
        <v>24</v>
      </c>
      <c r="H3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2" s="3">
        <v>38</v>
      </c>
      <c r="J32" s="3">
        <v>25</v>
      </c>
      <c r="K32" s="2">
        <v>2174</v>
      </c>
      <c r="L32" s="2" t="str">
        <f>IF(premier_player_23_24[[#This Row],[Minutes]]&gt;1000,"More than 1000 minutes","Less than 1000 minutes")</f>
        <v>More than 1000 minutes</v>
      </c>
      <c r="M32" s="2">
        <v>24.2</v>
      </c>
      <c r="N32" s="3">
        <v>6</v>
      </c>
      <c r="O32" s="3">
        <v>8</v>
      </c>
      <c r="P32" s="3">
        <v>14</v>
      </c>
      <c r="Q32" s="3">
        <v>6</v>
      </c>
      <c r="R32" s="3">
        <v>0</v>
      </c>
      <c r="S32" s="3">
        <v>0</v>
      </c>
      <c r="T32" s="2">
        <v>1</v>
      </c>
      <c r="U32" s="2">
        <v>0</v>
      </c>
      <c r="V32" s="2">
        <v>7</v>
      </c>
      <c r="W32" s="2">
        <f>premier_player_23_24[[#This Row],[Goals]]-premier_player_23_24[[#This Row],[Expected Goals ]]</f>
        <v>-1</v>
      </c>
      <c r="X32" s="2">
        <v>7</v>
      </c>
      <c r="Y32" s="2">
        <v>6.6</v>
      </c>
      <c r="Z32" s="2">
        <v>13.6</v>
      </c>
      <c r="AA32" s="3">
        <v>94</v>
      </c>
      <c r="AB32" s="3">
        <v>72</v>
      </c>
      <c r="AC32" s="3">
        <v>183</v>
      </c>
      <c r="AD32" s="1">
        <v>0.25</v>
      </c>
      <c r="AE32" s="1">
        <v>0.33</v>
      </c>
      <c r="AF32" s="1">
        <v>0.57999999999999996</v>
      </c>
      <c r="AG32" s="1">
        <v>0.25</v>
      </c>
      <c r="AH32" s="1">
        <v>0.57999999999999996</v>
      </c>
      <c r="AI32" s="1">
        <v>0.28999999999999998</v>
      </c>
      <c r="AJ32" s="1">
        <v>0.27</v>
      </c>
      <c r="AK32" s="1">
        <v>0.56000000000000005</v>
      </c>
      <c r="AL32" s="1">
        <v>0.28999999999999998</v>
      </c>
      <c r="AM32" s="1">
        <v>0.56000000000000005</v>
      </c>
      <c r="AN32" t="s">
        <v>913</v>
      </c>
    </row>
    <row r="33" spans="1:40" x14ac:dyDescent="0.25">
      <c r="A33" t="s">
        <v>964</v>
      </c>
      <c r="B33" t="s">
        <v>57</v>
      </c>
      <c r="C33" s="4" t="s">
        <v>1744</v>
      </c>
      <c r="D33" t="s">
        <v>1745</v>
      </c>
      <c r="E33" t="s">
        <v>86</v>
      </c>
      <c r="F33" t="str">
        <f>LEFT(premier_player_23_24[[#This Row],[Position]],2)</f>
        <v>MF</v>
      </c>
      <c r="G33" s="3">
        <v>21</v>
      </c>
      <c r="H3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3" s="3">
        <v>11</v>
      </c>
      <c r="J33" s="3">
        <v>8</v>
      </c>
      <c r="K33" s="2">
        <v>638</v>
      </c>
      <c r="L33" s="2" t="str">
        <f>IF(premier_player_23_24[[#This Row],[Minutes]]&gt;1000,"More than 1000 minutes","Less than 1000 minutes")</f>
        <v>Less than 1000 minutes</v>
      </c>
      <c r="M33" s="2">
        <v>7.1</v>
      </c>
      <c r="N33" s="3">
        <v>3</v>
      </c>
      <c r="O33" s="3">
        <v>1</v>
      </c>
      <c r="P33" s="3">
        <v>4</v>
      </c>
      <c r="Q33" s="3">
        <v>3</v>
      </c>
      <c r="R33" s="3">
        <v>0</v>
      </c>
      <c r="S33" s="3">
        <v>0</v>
      </c>
      <c r="T33" s="2">
        <v>3</v>
      </c>
      <c r="U33" s="2">
        <v>0</v>
      </c>
      <c r="V33" s="2">
        <v>1.4</v>
      </c>
      <c r="W33" s="2">
        <f>premier_player_23_24[[#This Row],[Goals]]-premier_player_23_24[[#This Row],[Expected Goals ]]</f>
        <v>1.6</v>
      </c>
      <c r="X33" s="2">
        <v>1.4</v>
      </c>
      <c r="Y33" s="2">
        <v>0.6</v>
      </c>
      <c r="Z33" s="2">
        <v>2</v>
      </c>
      <c r="AA33" s="3">
        <v>22</v>
      </c>
      <c r="AB33" s="3">
        <v>28</v>
      </c>
      <c r="AC33" s="3">
        <v>30</v>
      </c>
      <c r="AD33" s="1">
        <v>0.42</v>
      </c>
      <c r="AE33" s="1">
        <v>0.14000000000000001</v>
      </c>
      <c r="AF33" s="1">
        <v>0.56000000000000005</v>
      </c>
      <c r="AG33" s="1">
        <v>0.42</v>
      </c>
      <c r="AH33" s="1">
        <v>0.56000000000000005</v>
      </c>
      <c r="AI33" s="1">
        <v>0.19</v>
      </c>
      <c r="AJ33" s="1">
        <v>0.09</v>
      </c>
      <c r="AK33" s="1">
        <v>0.28000000000000003</v>
      </c>
      <c r="AL33" s="1">
        <v>0.19</v>
      </c>
      <c r="AM33" s="1">
        <v>0.28000000000000003</v>
      </c>
      <c r="AN33" t="s">
        <v>913</v>
      </c>
    </row>
    <row r="34" spans="1:40" x14ac:dyDescent="0.25">
      <c r="A34" t="s">
        <v>951</v>
      </c>
      <c r="B34" t="s">
        <v>207</v>
      </c>
      <c r="C34" s="4" t="s">
        <v>1746</v>
      </c>
      <c r="D34" t="s">
        <v>1747</v>
      </c>
      <c r="E34" t="s">
        <v>86</v>
      </c>
      <c r="F34" t="str">
        <f>LEFT(premier_player_23_24[[#This Row],[Position]],2)</f>
        <v>MF</v>
      </c>
      <c r="G34" s="3">
        <v>26</v>
      </c>
      <c r="H3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4" s="3">
        <v>32</v>
      </c>
      <c r="J34" s="3">
        <v>17</v>
      </c>
      <c r="K34" s="2">
        <v>1622</v>
      </c>
      <c r="L34" s="2" t="str">
        <f>IF(premier_player_23_24[[#This Row],[Minutes]]&gt;1000,"More than 1000 minutes","Less than 1000 minutes")</f>
        <v>More than 1000 minutes</v>
      </c>
      <c r="M34" s="2">
        <v>18</v>
      </c>
      <c r="N34" s="3">
        <v>2</v>
      </c>
      <c r="O34" s="3">
        <v>6</v>
      </c>
      <c r="P34" s="3">
        <v>8</v>
      </c>
      <c r="Q34" s="3">
        <v>2</v>
      </c>
      <c r="R34" s="3">
        <v>0</v>
      </c>
      <c r="S34" s="3">
        <v>0</v>
      </c>
      <c r="T34" s="2">
        <v>3</v>
      </c>
      <c r="U34" s="2">
        <v>0</v>
      </c>
      <c r="V34" s="2">
        <v>1.3</v>
      </c>
      <c r="W34" s="2">
        <f>premier_player_23_24[[#This Row],[Goals]]-premier_player_23_24[[#This Row],[Expected Goals ]]</f>
        <v>0.7</v>
      </c>
      <c r="X34" s="2">
        <v>1.3</v>
      </c>
      <c r="Y34" s="2">
        <v>2.6</v>
      </c>
      <c r="Z34" s="2">
        <v>3.9</v>
      </c>
      <c r="AA34" s="3">
        <v>23</v>
      </c>
      <c r="AB34" s="3">
        <v>128</v>
      </c>
      <c r="AC34" s="3">
        <v>46</v>
      </c>
      <c r="AD34" s="1">
        <v>0.11</v>
      </c>
      <c r="AE34" s="1">
        <v>0.33</v>
      </c>
      <c r="AF34" s="1">
        <v>0.44</v>
      </c>
      <c r="AG34" s="1">
        <v>0.11</v>
      </c>
      <c r="AH34" s="1">
        <v>0.44</v>
      </c>
      <c r="AI34" s="1">
        <v>7.0000000000000007E-2</v>
      </c>
      <c r="AJ34" s="1">
        <v>0.14000000000000001</v>
      </c>
      <c r="AK34" s="1">
        <v>0.21</v>
      </c>
      <c r="AL34" s="1">
        <v>7.0000000000000007E-2</v>
      </c>
      <c r="AM34" s="1">
        <v>0.21</v>
      </c>
      <c r="AN34" t="s">
        <v>913</v>
      </c>
    </row>
    <row r="35" spans="1:40" x14ac:dyDescent="0.25">
      <c r="A35" t="s">
        <v>922</v>
      </c>
      <c r="B35" t="s">
        <v>76</v>
      </c>
      <c r="C35" s="4" t="s">
        <v>1750</v>
      </c>
      <c r="D35" t="s">
        <v>1751</v>
      </c>
      <c r="E35" t="s">
        <v>36</v>
      </c>
      <c r="F35" t="str">
        <f>LEFT(premier_player_23_24[[#This Row],[Position]],2)</f>
        <v>MF</v>
      </c>
      <c r="G35" s="3">
        <v>25</v>
      </c>
      <c r="H3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5" s="3">
        <v>35</v>
      </c>
      <c r="J35" s="3">
        <v>35</v>
      </c>
      <c r="K35" s="2">
        <v>2993</v>
      </c>
      <c r="L35" s="2" t="str">
        <f>IF(premier_player_23_24[[#This Row],[Minutes]]&gt;1000,"More than 1000 minutes","Less than 1000 minutes")</f>
        <v>More than 1000 minutes</v>
      </c>
      <c r="M35" s="2">
        <v>33.299999999999997</v>
      </c>
      <c r="N35" s="3">
        <v>9</v>
      </c>
      <c r="O35" s="3">
        <v>5</v>
      </c>
      <c r="P35" s="3">
        <v>14</v>
      </c>
      <c r="Q35" s="3">
        <v>5</v>
      </c>
      <c r="R35" s="3">
        <v>4</v>
      </c>
      <c r="S35" s="3">
        <v>4</v>
      </c>
      <c r="T35" s="2">
        <v>12</v>
      </c>
      <c r="U35" s="2">
        <v>0</v>
      </c>
      <c r="V35" s="2">
        <v>6.9</v>
      </c>
      <c r="W35" s="2">
        <f>premier_player_23_24[[#This Row],[Goals]]-premier_player_23_24[[#This Row],[Expected Goals ]]</f>
        <v>2.0999999999999996</v>
      </c>
      <c r="X35" s="2">
        <v>3.8</v>
      </c>
      <c r="Y35" s="2">
        <v>5.4</v>
      </c>
      <c r="Z35" s="2">
        <v>9.1999999999999993</v>
      </c>
      <c r="AA35" s="3">
        <v>60</v>
      </c>
      <c r="AB35" s="3">
        <v>168</v>
      </c>
      <c r="AC35" s="3">
        <v>50</v>
      </c>
      <c r="AD35" s="1">
        <v>0.27</v>
      </c>
      <c r="AE35" s="1">
        <v>0.15</v>
      </c>
      <c r="AF35" s="1">
        <v>0.42</v>
      </c>
      <c r="AG35" s="1">
        <v>0.15</v>
      </c>
      <c r="AH35" s="1">
        <v>0.3</v>
      </c>
      <c r="AI35" s="1">
        <v>0.21</v>
      </c>
      <c r="AJ35" s="1">
        <v>0.16</v>
      </c>
      <c r="AK35" s="1">
        <v>0.37</v>
      </c>
      <c r="AL35" s="1">
        <v>0.11</v>
      </c>
      <c r="AM35" s="1">
        <v>0.28000000000000003</v>
      </c>
      <c r="AN35" t="s">
        <v>913</v>
      </c>
    </row>
    <row r="36" spans="1:40" x14ac:dyDescent="0.25">
      <c r="A36" t="s">
        <v>917</v>
      </c>
      <c r="B36" t="s">
        <v>360</v>
      </c>
      <c r="C36" s="4" t="s">
        <v>1776</v>
      </c>
      <c r="D36" t="s">
        <v>1777</v>
      </c>
      <c r="E36" t="s">
        <v>86</v>
      </c>
      <c r="F36" t="str">
        <f>LEFT(premier_player_23_24[[#This Row],[Position]],2)</f>
        <v>MF</v>
      </c>
      <c r="G36" s="3">
        <v>28</v>
      </c>
      <c r="H3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6" s="3">
        <v>35</v>
      </c>
      <c r="J36" s="3">
        <v>35</v>
      </c>
      <c r="K36" s="2">
        <v>2999</v>
      </c>
      <c r="L36" s="2" t="str">
        <f>IF(premier_player_23_24[[#This Row],[Minutes]]&gt;1000,"More than 1000 minutes","Less than 1000 minutes")</f>
        <v>More than 1000 minutes</v>
      </c>
      <c r="M36" s="2">
        <v>33.299999999999997</v>
      </c>
      <c r="N36" s="3">
        <v>6</v>
      </c>
      <c r="O36" s="3">
        <v>4</v>
      </c>
      <c r="P36" s="3">
        <v>10</v>
      </c>
      <c r="Q36" s="3">
        <v>6</v>
      </c>
      <c r="R36" s="3">
        <v>0</v>
      </c>
      <c r="S36" s="3">
        <v>0</v>
      </c>
      <c r="T36" s="2">
        <v>9</v>
      </c>
      <c r="U36" s="2">
        <v>1</v>
      </c>
      <c r="V36" s="2">
        <v>5</v>
      </c>
      <c r="W36" s="2">
        <f>premier_player_23_24[[#This Row],[Goals]]-premier_player_23_24[[#This Row],[Expected Goals ]]</f>
        <v>1</v>
      </c>
      <c r="X36" s="2">
        <v>5</v>
      </c>
      <c r="Y36" s="2">
        <v>4.5999999999999996</v>
      </c>
      <c r="Z36" s="2">
        <v>9.6</v>
      </c>
      <c r="AA36" s="3">
        <v>59</v>
      </c>
      <c r="AB36" s="3">
        <v>189</v>
      </c>
      <c r="AC36" s="3">
        <v>84</v>
      </c>
      <c r="AD36" s="1">
        <v>0.18</v>
      </c>
      <c r="AE36" s="1">
        <v>0.12</v>
      </c>
      <c r="AF36" s="1">
        <v>0.3</v>
      </c>
      <c r="AG36" s="1">
        <v>0.18</v>
      </c>
      <c r="AH36" s="1">
        <v>0.3</v>
      </c>
      <c r="AI36" s="1">
        <v>0.15</v>
      </c>
      <c r="AJ36" s="1">
        <v>0.14000000000000001</v>
      </c>
      <c r="AK36" s="1">
        <v>0.28999999999999998</v>
      </c>
      <c r="AL36" s="1">
        <v>0.15</v>
      </c>
      <c r="AM36" s="1">
        <v>0.28999999999999998</v>
      </c>
      <c r="AN36" t="s">
        <v>913</v>
      </c>
    </row>
    <row r="37" spans="1:40" x14ac:dyDescent="0.25">
      <c r="A37" t="s">
        <v>958</v>
      </c>
      <c r="B37" t="s">
        <v>519</v>
      </c>
      <c r="C37" s="4" t="s">
        <v>1758</v>
      </c>
      <c r="D37" t="s">
        <v>1759</v>
      </c>
      <c r="E37" t="s">
        <v>58</v>
      </c>
      <c r="F37" t="str">
        <f>LEFT(premier_player_23_24[[#This Row],[Position]],2)</f>
        <v>FW</v>
      </c>
      <c r="G37" s="3">
        <v>24</v>
      </c>
      <c r="H3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7" s="3">
        <v>25</v>
      </c>
      <c r="J37" s="3">
        <v>9</v>
      </c>
      <c r="K37" s="2">
        <v>839</v>
      </c>
      <c r="L37" s="2" t="str">
        <f>IF(premier_player_23_24[[#This Row],[Minutes]]&gt;1000,"More than 1000 minutes","Less than 1000 minutes")</f>
        <v>Less than 1000 minutes</v>
      </c>
      <c r="M37" s="2">
        <v>9.3000000000000007</v>
      </c>
      <c r="N37" s="3">
        <v>2</v>
      </c>
      <c r="O37" s="3">
        <v>0</v>
      </c>
      <c r="P37" s="3">
        <v>2</v>
      </c>
      <c r="Q37" s="3">
        <v>2</v>
      </c>
      <c r="R37" s="3">
        <v>0</v>
      </c>
      <c r="S37" s="3">
        <v>0</v>
      </c>
      <c r="T37" s="2">
        <v>7</v>
      </c>
      <c r="U37" s="2">
        <v>0</v>
      </c>
      <c r="V37" s="2">
        <v>2.6</v>
      </c>
      <c r="W37" s="2">
        <f>premier_player_23_24[[#This Row],[Goals]]-premier_player_23_24[[#This Row],[Expected Goals ]]</f>
        <v>-0.60000000000000009</v>
      </c>
      <c r="X37" s="2">
        <v>2.6</v>
      </c>
      <c r="Y37" s="2">
        <v>1</v>
      </c>
      <c r="Z37" s="2">
        <v>3.6</v>
      </c>
      <c r="AA37" s="3">
        <v>35</v>
      </c>
      <c r="AB37" s="3">
        <v>30</v>
      </c>
      <c r="AC37" s="3">
        <v>60</v>
      </c>
      <c r="AD37" s="1">
        <v>0.21</v>
      </c>
      <c r="AE37" s="1">
        <v>0</v>
      </c>
      <c r="AF37" s="1">
        <v>0.21</v>
      </c>
      <c r="AG37" s="1">
        <v>0.21</v>
      </c>
      <c r="AH37" s="1">
        <v>0.21</v>
      </c>
      <c r="AI37" s="1">
        <v>0.28000000000000003</v>
      </c>
      <c r="AJ37" s="1">
        <v>0.11</v>
      </c>
      <c r="AK37" s="1">
        <v>0.39</v>
      </c>
      <c r="AL37" s="1">
        <v>0.28000000000000003</v>
      </c>
      <c r="AM37" s="1">
        <v>0.39</v>
      </c>
      <c r="AN37" t="s">
        <v>913</v>
      </c>
    </row>
    <row r="38" spans="1:40" x14ac:dyDescent="0.25">
      <c r="A38" t="s">
        <v>961</v>
      </c>
      <c r="B38" t="s">
        <v>57</v>
      </c>
      <c r="C38" s="4" t="s">
        <v>1744</v>
      </c>
      <c r="D38" t="s">
        <v>1745</v>
      </c>
      <c r="E38" t="s">
        <v>58</v>
      </c>
      <c r="F38" t="str">
        <f>LEFT(premier_player_23_24[[#This Row],[Position]],2)</f>
        <v>FW</v>
      </c>
      <c r="G38" s="3">
        <v>22</v>
      </c>
      <c r="H3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8" s="3">
        <v>16</v>
      </c>
      <c r="J38" s="3">
        <v>8</v>
      </c>
      <c r="K38" s="2">
        <v>853</v>
      </c>
      <c r="L38" s="2" t="str">
        <f>IF(premier_player_23_24[[#This Row],[Minutes]]&gt;1000,"More than 1000 minutes","Less than 1000 minutes")</f>
        <v>Less than 1000 minutes</v>
      </c>
      <c r="M38" s="2">
        <v>9.5</v>
      </c>
      <c r="N38" s="3">
        <v>1</v>
      </c>
      <c r="O38" s="3">
        <v>1</v>
      </c>
      <c r="P38" s="3">
        <v>2</v>
      </c>
      <c r="Q38" s="3">
        <v>1</v>
      </c>
      <c r="R38" s="3">
        <v>0</v>
      </c>
      <c r="S38" s="3">
        <v>0</v>
      </c>
      <c r="T38" s="2">
        <v>2</v>
      </c>
      <c r="U38" s="2">
        <v>0</v>
      </c>
      <c r="V38" s="2">
        <v>2.2000000000000002</v>
      </c>
      <c r="W38" s="2">
        <f>premier_player_23_24[[#This Row],[Goals]]-premier_player_23_24[[#This Row],[Expected Goals ]]</f>
        <v>-1.2000000000000002</v>
      </c>
      <c r="X38" s="2">
        <v>2.2000000000000002</v>
      </c>
      <c r="Y38" s="2">
        <v>1</v>
      </c>
      <c r="Z38" s="2">
        <v>3.2</v>
      </c>
      <c r="AA38" s="3">
        <v>33</v>
      </c>
      <c r="AB38" s="3">
        <v>28</v>
      </c>
      <c r="AC38" s="3">
        <v>69</v>
      </c>
      <c r="AD38" s="1">
        <v>0.11</v>
      </c>
      <c r="AE38" s="1">
        <v>0.11</v>
      </c>
      <c r="AF38" s="1">
        <v>0.21</v>
      </c>
      <c r="AG38" s="1">
        <v>0.11</v>
      </c>
      <c r="AH38" s="1">
        <v>0.21</v>
      </c>
      <c r="AI38" s="1">
        <v>0.23</v>
      </c>
      <c r="AJ38" s="1">
        <v>0.11</v>
      </c>
      <c r="AK38" s="1">
        <v>0.34</v>
      </c>
      <c r="AL38" s="1">
        <v>0.23</v>
      </c>
      <c r="AM38" s="1">
        <v>0.34</v>
      </c>
      <c r="AN38" t="s">
        <v>913</v>
      </c>
    </row>
    <row r="39" spans="1:40" x14ac:dyDescent="0.25">
      <c r="A39" t="s">
        <v>938</v>
      </c>
      <c r="B39" t="s">
        <v>508</v>
      </c>
      <c r="C39" s="4" t="s">
        <v>1754</v>
      </c>
      <c r="D39" t="s">
        <v>1755</v>
      </c>
      <c r="E39" t="s">
        <v>108</v>
      </c>
      <c r="F39" t="str">
        <f>LEFT(premier_player_23_24[[#This Row],[Position]],2)</f>
        <v>DF</v>
      </c>
      <c r="G39" s="3">
        <v>25</v>
      </c>
      <c r="H3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9" s="3">
        <v>29</v>
      </c>
      <c r="J39" s="3">
        <v>23</v>
      </c>
      <c r="K39" s="2">
        <v>2142</v>
      </c>
      <c r="L39" s="2" t="str">
        <f>IF(premier_player_23_24[[#This Row],[Minutes]]&gt;1000,"More than 1000 minutes","Less than 1000 minutes")</f>
        <v>More than 1000 minutes</v>
      </c>
      <c r="M39" s="2">
        <v>23.8</v>
      </c>
      <c r="N39" s="3">
        <v>2</v>
      </c>
      <c r="O39" s="3">
        <v>2</v>
      </c>
      <c r="P39" s="3">
        <v>4</v>
      </c>
      <c r="Q39" s="3">
        <v>2</v>
      </c>
      <c r="R39" s="3">
        <v>0</v>
      </c>
      <c r="S39" s="3">
        <v>0</v>
      </c>
      <c r="T39" s="2">
        <v>8</v>
      </c>
      <c r="U39" s="2">
        <v>0</v>
      </c>
      <c r="V39" s="2">
        <v>4.2</v>
      </c>
      <c r="W39" s="2">
        <f>premier_player_23_24[[#This Row],[Goals]]-premier_player_23_24[[#This Row],[Expected Goals ]]</f>
        <v>-2.2000000000000002</v>
      </c>
      <c r="X39" s="2">
        <v>4.2</v>
      </c>
      <c r="Y39" s="2">
        <v>2.2999999999999998</v>
      </c>
      <c r="Z39" s="2">
        <v>6.5</v>
      </c>
      <c r="AA39" s="3">
        <v>62</v>
      </c>
      <c r="AB39" s="3">
        <v>88</v>
      </c>
      <c r="AC39" s="3">
        <v>101</v>
      </c>
      <c r="AD39" s="1">
        <v>0.08</v>
      </c>
      <c r="AE39" s="1">
        <v>0.08</v>
      </c>
      <c r="AF39" s="1">
        <v>0.17</v>
      </c>
      <c r="AG39" s="1">
        <v>0.08</v>
      </c>
      <c r="AH39" s="1">
        <v>0.17</v>
      </c>
      <c r="AI39" s="1">
        <v>0.18</v>
      </c>
      <c r="AJ39" s="1">
        <v>0.1</v>
      </c>
      <c r="AK39" s="1">
        <v>0.27</v>
      </c>
      <c r="AL39" s="1">
        <v>0.18</v>
      </c>
      <c r="AM39" s="1">
        <v>0.27</v>
      </c>
      <c r="AN39" t="s">
        <v>913</v>
      </c>
    </row>
    <row r="40" spans="1:40" x14ac:dyDescent="0.25">
      <c r="A40" t="s">
        <v>956</v>
      </c>
      <c r="B40" t="s">
        <v>35</v>
      </c>
      <c r="C40" s="4" t="s">
        <v>1764</v>
      </c>
      <c r="D40" t="s">
        <v>1765</v>
      </c>
      <c r="E40" t="s">
        <v>108</v>
      </c>
      <c r="F40" t="str">
        <f>LEFT(premier_player_23_24[[#This Row],[Position]],2)</f>
        <v>DF</v>
      </c>
      <c r="G40" s="3">
        <v>30</v>
      </c>
      <c r="H4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0" s="3">
        <v>21</v>
      </c>
      <c r="J40" s="3">
        <v>11</v>
      </c>
      <c r="K40" s="2">
        <v>1031</v>
      </c>
      <c r="L40" s="2" t="str">
        <f>IF(premier_player_23_24[[#This Row],[Minutes]]&gt;1000,"More than 1000 minutes","Less than 1000 minutes")</f>
        <v>More than 1000 minutes</v>
      </c>
      <c r="M40" s="2">
        <v>11.5</v>
      </c>
      <c r="N40" s="3">
        <v>2</v>
      </c>
      <c r="O40" s="3">
        <v>0</v>
      </c>
      <c r="P40" s="3">
        <v>2</v>
      </c>
      <c r="Q40" s="3">
        <v>2</v>
      </c>
      <c r="R40" s="3">
        <v>0</v>
      </c>
      <c r="S40" s="3">
        <v>0</v>
      </c>
      <c r="T40" s="2">
        <v>2</v>
      </c>
      <c r="U40" s="2">
        <v>0</v>
      </c>
      <c r="V40" s="2">
        <v>1.1000000000000001</v>
      </c>
      <c r="W40" s="2">
        <f>premier_player_23_24[[#This Row],[Goals]]-premier_player_23_24[[#This Row],[Expected Goals ]]</f>
        <v>0.89999999999999991</v>
      </c>
      <c r="X40" s="2">
        <v>1.1000000000000001</v>
      </c>
      <c r="Y40" s="2">
        <v>1.1000000000000001</v>
      </c>
      <c r="Z40" s="2">
        <v>2.2999999999999998</v>
      </c>
      <c r="AA40" s="3">
        <v>32</v>
      </c>
      <c r="AB40" s="3">
        <v>24</v>
      </c>
      <c r="AC40" s="3">
        <v>83</v>
      </c>
      <c r="AD40" s="1">
        <v>0.17</v>
      </c>
      <c r="AE40" s="1">
        <v>0</v>
      </c>
      <c r="AF40" s="1">
        <v>0.17</v>
      </c>
      <c r="AG40" s="1">
        <v>0.17</v>
      </c>
      <c r="AH40" s="1">
        <v>0.17</v>
      </c>
      <c r="AI40" s="1">
        <v>0.1</v>
      </c>
      <c r="AJ40" s="1">
        <v>0.1</v>
      </c>
      <c r="AK40" s="1">
        <v>0.2</v>
      </c>
      <c r="AL40" s="1">
        <v>0.1</v>
      </c>
      <c r="AM40" s="1">
        <v>0.2</v>
      </c>
      <c r="AN40" t="s">
        <v>913</v>
      </c>
    </row>
    <row r="41" spans="1:40" x14ac:dyDescent="0.25">
      <c r="A41" t="s">
        <v>931</v>
      </c>
      <c r="B41" t="s">
        <v>376</v>
      </c>
      <c r="C41" s="4" t="s">
        <v>1762</v>
      </c>
      <c r="D41" t="s">
        <v>1763</v>
      </c>
      <c r="E41" t="s">
        <v>108</v>
      </c>
      <c r="F41" t="str">
        <f>LEFT(premier_player_23_24[[#This Row],[Position]],2)</f>
        <v>DF</v>
      </c>
      <c r="G41" s="3">
        <v>30</v>
      </c>
      <c r="H4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1" s="3">
        <v>33</v>
      </c>
      <c r="J41" s="3">
        <v>27</v>
      </c>
      <c r="K41" s="2">
        <v>2410</v>
      </c>
      <c r="L41" s="2" t="str">
        <f>IF(premier_player_23_24[[#This Row],[Minutes]]&gt;1000,"More than 1000 minutes","Less than 1000 minutes")</f>
        <v>More than 1000 minutes</v>
      </c>
      <c r="M41" s="2">
        <v>26.8</v>
      </c>
      <c r="N41" s="3">
        <v>1</v>
      </c>
      <c r="O41" s="3">
        <v>3</v>
      </c>
      <c r="P41" s="3">
        <v>4</v>
      </c>
      <c r="Q41" s="3">
        <v>1</v>
      </c>
      <c r="R41" s="3">
        <v>0</v>
      </c>
      <c r="S41" s="3">
        <v>0</v>
      </c>
      <c r="T41" s="2">
        <v>7</v>
      </c>
      <c r="U41" s="2">
        <v>0</v>
      </c>
      <c r="V41" s="2">
        <v>1.1000000000000001</v>
      </c>
      <c r="W41" s="2">
        <f>premier_player_23_24[[#This Row],[Goals]]-premier_player_23_24[[#This Row],[Expected Goals ]]</f>
        <v>-0.10000000000000009</v>
      </c>
      <c r="X41" s="2">
        <v>1.1000000000000001</v>
      </c>
      <c r="Y41" s="2">
        <v>4.0999999999999996</v>
      </c>
      <c r="Z41" s="2">
        <v>5.2</v>
      </c>
      <c r="AA41" s="3">
        <v>42</v>
      </c>
      <c r="AB41" s="3">
        <v>77</v>
      </c>
      <c r="AC41" s="3">
        <v>200</v>
      </c>
      <c r="AD41" s="1">
        <v>0.04</v>
      </c>
      <c r="AE41" s="1">
        <v>0.11</v>
      </c>
      <c r="AF41" s="1">
        <v>0.15</v>
      </c>
      <c r="AG41" s="1">
        <v>0.04</v>
      </c>
      <c r="AH41" s="1">
        <v>0.15</v>
      </c>
      <c r="AI41" s="1">
        <v>0.04</v>
      </c>
      <c r="AJ41" s="1">
        <v>0.15</v>
      </c>
      <c r="AK41" s="1">
        <v>0.19</v>
      </c>
      <c r="AL41" s="1">
        <v>0.04</v>
      </c>
      <c r="AM41" s="1">
        <v>0.19</v>
      </c>
      <c r="AN41" t="s">
        <v>913</v>
      </c>
    </row>
    <row r="42" spans="1:40" x14ac:dyDescent="0.25">
      <c r="A42" t="s">
        <v>953</v>
      </c>
      <c r="B42" t="s">
        <v>376</v>
      </c>
      <c r="C42" s="4" t="s">
        <v>1762</v>
      </c>
      <c r="D42" t="s">
        <v>1763</v>
      </c>
      <c r="E42" t="s">
        <v>108</v>
      </c>
      <c r="F42" t="str">
        <f>LEFT(premier_player_23_24[[#This Row],[Position]],2)</f>
        <v>DF</v>
      </c>
      <c r="G42" s="3">
        <v>28</v>
      </c>
      <c r="H4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2" s="3">
        <v>14</v>
      </c>
      <c r="J42" s="3">
        <v>14</v>
      </c>
      <c r="K42" s="2">
        <v>1153</v>
      </c>
      <c r="L42" s="2" t="str">
        <f>IF(premier_player_23_24[[#This Row],[Minutes]]&gt;1000,"More than 1000 minutes","Less than 1000 minutes")</f>
        <v>More than 1000 minutes</v>
      </c>
      <c r="M42" s="2">
        <v>12.8</v>
      </c>
      <c r="N42" s="3">
        <v>0</v>
      </c>
      <c r="O42" s="3">
        <v>1</v>
      </c>
      <c r="P42" s="3">
        <v>1</v>
      </c>
      <c r="Q42" s="3">
        <v>0</v>
      </c>
      <c r="R42" s="3">
        <v>0</v>
      </c>
      <c r="S42" s="3">
        <v>0</v>
      </c>
      <c r="T42" s="2">
        <v>3</v>
      </c>
      <c r="U42" s="2">
        <v>0</v>
      </c>
      <c r="V42" s="2">
        <v>0.9</v>
      </c>
      <c r="W42" s="2">
        <f>premier_player_23_24[[#This Row],[Goals]]-premier_player_23_24[[#This Row],[Expected Goals ]]</f>
        <v>-0.9</v>
      </c>
      <c r="X42" s="2">
        <v>0.9</v>
      </c>
      <c r="Y42" s="2">
        <v>0.8</v>
      </c>
      <c r="Z42" s="2">
        <v>1.6</v>
      </c>
      <c r="AA42" s="3">
        <v>26</v>
      </c>
      <c r="AB42" s="3">
        <v>51</v>
      </c>
      <c r="AC42" s="3">
        <v>1</v>
      </c>
      <c r="AD42" s="1">
        <v>0</v>
      </c>
      <c r="AE42" s="1">
        <v>0.08</v>
      </c>
      <c r="AF42" s="1">
        <v>0.08</v>
      </c>
      <c r="AG42" s="1">
        <v>0</v>
      </c>
      <c r="AH42" s="1">
        <v>0.08</v>
      </c>
      <c r="AI42" s="1">
        <v>7.0000000000000007E-2</v>
      </c>
      <c r="AJ42" s="1">
        <v>0.06</v>
      </c>
      <c r="AK42" s="1">
        <v>0.13</v>
      </c>
      <c r="AL42" s="1">
        <v>7.0000000000000007E-2</v>
      </c>
      <c r="AM42" s="1">
        <v>0.13</v>
      </c>
      <c r="AN42" t="s">
        <v>913</v>
      </c>
    </row>
    <row r="43" spans="1:40" x14ac:dyDescent="0.25">
      <c r="A43" t="s">
        <v>928</v>
      </c>
      <c r="B43" t="s">
        <v>35</v>
      </c>
      <c r="C43" s="4" t="s">
        <v>1764</v>
      </c>
      <c r="D43" t="s">
        <v>1765</v>
      </c>
      <c r="E43" t="s">
        <v>108</v>
      </c>
      <c r="F43" t="str">
        <f>LEFT(premier_player_23_24[[#This Row],[Position]],2)</f>
        <v>DF</v>
      </c>
      <c r="G43" s="3">
        <v>26</v>
      </c>
      <c r="H4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3" s="3">
        <v>29</v>
      </c>
      <c r="J43" s="3">
        <v>27</v>
      </c>
      <c r="K43" s="2">
        <v>2464</v>
      </c>
      <c r="L43" s="2" t="str">
        <f>IF(premier_player_23_24[[#This Row],[Minutes]]&gt;1000,"More than 1000 minutes","Less than 1000 minutes")</f>
        <v>More than 1000 minutes</v>
      </c>
      <c r="M43" s="2">
        <v>27.4</v>
      </c>
      <c r="N43" s="3">
        <v>2</v>
      </c>
      <c r="O43" s="3">
        <v>0</v>
      </c>
      <c r="P43" s="3">
        <v>2</v>
      </c>
      <c r="Q43" s="3">
        <v>2</v>
      </c>
      <c r="R43" s="3">
        <v>0</v>
      </c>
      <c r="S43" s="3">
        <v>0</v>
      </c>
      <c r="T43" s="2">
        <v>1</v>
      </c>
      <c r="U43" s="2">
        <v>0</v>
      </c>
      <c r="V43" s="2">
        <v>1</v>
      </c>
      <c r="W43" s="2">
        <f>premier_player_23_24[[#This Row],[Goals]]-premier_player_23_24[[#This Row],[Expected Goals ]]</f>
        <v>1</v>
      </c>
      <c r="X43" s="2">
        <v>1</v>
      </c>
      <c r="Y43" s="2">
        <v>0.4</v>
      </c>
      <c r="Z43" s="2">
        <v>1.4</v>
      </c>
      <c r="AA43" s="3">
        <v>42</v>
      </c>
      <c r="AB43" s="3">
        <v>128</v>
      </c>
      <c r="AC43" s="3">
        <v>16</v>
      </c>
      <c r="AD43" s="1">
        <v>7.0000000000000007E-2</v>
      </c>
      <c r="AE43" s="1">
        <v>0</v>
      </c>
      <c r="AF43" s="1">
        <v>7.0000000000000007E-2</v>
      </c>
      <c r="AG43" s="1">
        <v>7.0000000000000007E-2</v>
      </c>
      <c r="AH43" s="1">
        <v>7.0000000000000007E-2</v>
      </c>
      <c r="AI43" s="1">
        <v>0.04</v>
      </c>
      <c r="AJ43" s="1">
        <v>0.02</v>
      </c>
      <c r="AK43" s="1">
        <v>0.05</v>
      </c>
      <c r="AL43" s="1">
        <v>0.04</v>
      </c>
      <c r="AM43" s="1">
        <v>0.05</v>
      </c>
      <c r="AN43" t="s">
        <v>913</v>
      </c>
    </row>
    <row r="44" spans="1:40" x14ac:dyDescent="0.25">
      <c r="A44" t="s">
        <v>949</v>
      </c>
      <c r="B44" t="s">
        <v>376</v>
      </c>
      <c r="C44" s="4" t="s">
        <v>1762</v>
      </c>
      <c r="D44" t="s">
        <v>1763</v>
      </c>
      <c r="E44" t="s">
        <v>36</v>
      </c>
      <c r="F44" t="str">
        <f>LEFT(premier_player_23_24[[#This Row],[Position]],2)</f>
        <v>MF</v>
      </c>
      <c r="G44" s="3">
        <v>23</v>
      </c>
      <c r="H4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4" s="3">
        <v>20</v>
      </c>
      <c r="J44" s="3">
        <v>20</v>
      </c>
      <c r="K44" s="2">
        <v>1652</v>
      </c>
      <c r="L44" s="2" t="str">
        <f>IF(premier_player_23_24[[#This Row],[Minutes]]&gt;1000,"More than 1000 minutes","Less than 1000 minutes")</f>
        <v>More than 1000 minutes</v>
      </c>
      <c r="M44" s="2">
        <v>18.399999999999999</v>
      </c>
      <c r="N44" s="3">
        <v>0</v>
      </c>
      <c r="O44" s="3">
        <v>1</v>
      </c>
      <c r="P44" s="3">
        <v>1</v>
      </c>
      <c r="Q44" s="3">
        <v>0</v>
      </c>
      <c r="R44" s="3">
        <v>0</v>
      </c>
      <c r="S44" s="3">
        <v>0</v>
      </c>
      <c r="T44" s="2">
        <v>7</v>
      </c>
      <c r="U44" s="2">
        <v>1</v>
      </c>
      <c r="V44" s="2">
        <v>0.1</v>
      </c>
      <c r="W44" s="2">
        <f>premier_player_23_24[[#This Row],[Goals]]-premier_player_23_24[[#This Row],[Expected Goals ]]</f>
        <v>-0.1</v>
      </c>
      <c r="X44" s="2">
        <v>0.1</v>
      </c>
      <c r="Y44" s="2">
        <v>1.3</v>
      </c>
      <c r="Z44" s="2">
        <v>1.4</v>
      </c>
      <c r="AA44" s="3">
        <v>19</v>
      </c>
      <c r="AB44" s="3">
        <v>83</v>
      </c>
      <c r="AC44" s="3">
        <v>10</v>
      </c>
      <c r="AD44" s="1">
        <v>0</v>
      </c>
      <c r="AE44" s="1">
        <v>0.05</v>
      </c>
      <c r="AF44" s="1">
        <v>0.05</v>
      </c>
      <c r="AG44" s="1">
        <v>0</v>
      </c>
      <c r="AH44" s="1">
        <v>0.05</v>
      </c>
      <c r="AI44" s="1">
        <v>0.01</v>
      </c>
      <c r="AJ44" s="1">
        <v>7.0000000000000007E-2</v>
      </c>
      <c r="AK44" s="1">
        <v>0.08</v>
      </c>
      <c r="AL44" s="1">
        <v>0.01</v>
      </c>
      <c r="AM44" s="1">
        <v>0.08</v>
      </c>
      <c r="AN44" t="s">
        <v>913</v>
      </c>
    </row>
    <row r="45" spans="1:40" x14ac:dyDescent="0.25">
      <c r="A45" t="s">
        <v>914</v>
      </c>
      <c r="B45" t="s">
        <v>57</v>
      </c>
      <c r="C45" s="4" t="s">
        <v>1744</v>
      </c>
      <c r="D45" t="s">
        <v>1745</v>
      </c>
      <c r="E45" t="s">
        <v>108</v>
      </c>
      <c r="F45" t="str">
        <f>LEFT(premier_player_23_24[[#This Row],[Position]],2)</f>
        <v>DF</v>
      </c>
      <c r="G45" s="3">
        <v>25</v>
      </c>
      <c r="H4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5" s="3">
        <v>35</v>
      </c>
      <c r="J45" s="3">
        <v>35</v>
      </c>
      <c r="K45" s="2">
        <v>3069</v>
      </c>
      <c r="L45" s="2" t="str">
        <f>IF(premier_player_23_24[[#This Row],[Minutes]]&gt;1000,"More than 1000 minutes","Less than 1000 minutes")</f>
        <v>More than 1000 minutes</v>
      </c>
      <c r="M45" s="2">
        <v>34.1</v>
      </c>
      <c r="N45" s="3">
        <v>1</v>
      </c>
      <c r="O45" s="3">
        <v>0</v>
      </c>
      <c r="P45" s="3">
        <v>1</v>
      </c>
      <c r="Q45" s="3">
        <v>1</v>
      </c>
      <c r="R45" s="3">
        <v>0</v>
      </c>
      <c r="S45" s="3">
        <v>0</v>
      </c>
      <c r="T45" s="2">
        <v>5</v>
      </c>
      <c r="U45" s="2">
        <v>0</v>
      </c>
      <c r="V45" s="2">
        <v>2.5</v>
      </c>
      <c r="W45" s="2">
        <f>premier_player_23_24[[#This Row],[Goals]]-premier_player_23_24[[#This Row],[Expected Goals ]]</f>
        <v>-1.5</v>
      </c>
      <c r="X45" s="2">
        <v>2.5</v>
      </c>
      <c r="Y45" s="2">
        <v>0.5</v>
      </c>
      <c r="Z45" s="2">
        <v>3</v>
      </c>
      <c r="AA45" s="3">
        <v>37</v>
      </c>
      <c r="AB45" s="3">
        <v>136</v>
      </c>
      <c r="AC45" s="3">
        <v>33</v>
      </c>
      <c r="AD45" s="1">
        <v>0.03</v>
      </c>
      <c r="AE45" s="1">
        <v>0</v>
      </c>
      <c r="AF45" s="1">
        <v>0.03</v>
      </c>
      <c r="AG45" s="1">
        <v>0.03</v>
      </c>
      <c r="AH45" s="1">
        <v>0.03</v>
      </c>
      <c r="AI45" s="1">
        <v>7.0000000000000007E-2</v>
      </c>
      <c r="AJ45" s="1">
        <v>0.02</v>
      </c>
      <c r="AK45" s="1">
        <v>0.09</v>
      </c>
      <c r="AL45" s="1">
        <v>7.0000000000000007E-2</v>
      </c>
      <c r="AM45" s="1">
        <v>0.09</v>
      </c>
      <c r="AN45" t="s">
        <v>913</v>
      </c>
    </row>
    <row r="46" spans="1:40" x14ac:dyDescent="0.25">
      <c r="A46" t="s">
        <v>925</v>
      </c>
      <c r="B46" t="s">
        <v>85</v>
      </c>
      <c r="C46" s="4" t="s">
        <v>1778</v>
      </c>
      <c r="D46" t="s">
        <v>1779</v>
      </c>
      <c r="E46" t="s">
        <v>77</v>
      </c>
      <c r="F46" t="str">
        <f>LEFT(premier_player_23_24[[#This Row],[Position]],2)</f>
        <v>GK</v>
      </c>
      <c r="G46" s="3">
        <v>30</v>
      </c>
      <c r="H4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6" s="3">
        <v>34</v>
      </c>
      <c r="J46" s="3">
        <v>34</v>
      </c>
      <c r="K46" s="2">
        <v>3015</v>
      </c>
      <c r="L46" s="2" t="str">
        <f>IF(premier_player_23_24[[#This Row],[Minutes]]&gt;1000,"More than 1000 minutes","Less than 1000 minutes")</f>
        <v>More than 1000 minutes</v>
      </c>
      <c r="M46" s="2">
        <v>33.5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2">
        <v>4</v>
      </c>
      <c r="U46" s="2">
        <v>0</v>
      </c>
      <c r="V46" s="2">
        <v>0</v>
      </c>
      <c r="W46" s="2">
        <f>premier_player_23_24[[#This Row],[Goals]]-premier_player_23_24[[#This Row],[Expected Goals ]]</f>
        <v>0</v>
      </c>
      <c r="X46" s="2">
        <v>0</v>
      </c>
      <c r="Y46" s="2">
        <v>0</v>
      </c>
      <c r="Z46" s="2">
        <v>0</v>
      </c>
      <c r="AA46" s="3">
        <v>0</v>
      </c>
      <c r="AB46" s="3">
        <v>2</v>
      </c>
      <c r="AC46" s="3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t="s">
        <v>913</v>
      </c>
    </row>
    <row r="47" spans="1:40" x14ac:dyDescent="0.25">
      <c r="A47" t="s">
        <v>946</v>
      </c>
      <c r="B47" t="s">
        <v>76</v>
      </c>
      <c r="C47" s="4" t="s">
        <v>1750</v>
      </c>
      <c r="D47" t="s">
        <v>1751</v>
      </c>
      <c r="E47" t="s">
        <v>108</v>
      </c>
      <c r="F47" t="str">
        <f>LEFT(premier_player_23_24[[#This Row],[Position]],2)</f>
        <v>DF</v>
      </c>
      <c r="G47" s="3">
        <v>30</v>
      </c>
      <c r="H4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7" s="3">
        <v>27</v>
      </c>
      <c r="J47" s="3">
        <v>20</v>
      </c>
      <c r="K47" s="2">
        <v>1816</v>
      </c>
      <c r="L47" s="2" t="str">
        <f>IF(premier_player_23_24[[#This Row],[Minutes]]&gt;1000,"More than 1000 minutes","Less than 1000 minutes")</f>
        <v>More than 1000 minutes</v>
      </c>
      <c r="M47" s="2">
        <v>20.2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2">
        <v>4</v>
      </c>
      <c r="U47" s="2">
        <v>0</v>
      </c>
      <c r="V47" s="2">
        <v>1.9</v>
      </c>
      <c r="W47" s="2">
        <f>premier_player_23_24[[#This Row],[Goals]]-premier_player_23_24[[#This Row],[Expected Goals ]]</f>
        <v>-1.9</v>
      </c>
      <c r="X47" s="2">
        <v>1.9</v>
      </c>
      <c r="Y47" s="2">
        <v>0.1</v>
      </c>
      <c r="Z47" s="2">
        <v>2</v>
      </c>
      <c r="AA47" s="3">
        <v>4</v>
      </c>
      <c r="AB47" s="3">
        <v>59</v>
      </c>
      <c r="AC47" s="3">
        <v>1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0.1</v>
      </c>
      <c r="AJ47" s="1">
        <v>0</v>
      </c>
      <c r="AK47" s="1">
        <v>0.1</v>
      </c>
      <c r="AL47" s="1">
        <v>0.1</v>
      </c>
      <c r="AM47" s="1">
        <v>0.1</v>
      </c>
      <c r="AN47" t="s">
        <v>913</v>
      </c>
    </row>
    <row r="48" spans="1:40" x14ac:dyDescent="0.25">
      <c r="A48" t="s">
        <v>966</v>
      </c>
      <c r="B48" t="s">
        <v>675</v>
      </c>
      <c r="C48" s="4" t="s">
        <v>1780</v>
      </c>
      <c r="D48" t="s">
        <v>1781</v>
      </c>
      <c r="E48" t="s">
        <v>77</v>
      </c>
      <c r="F48" t="str">
        <f>LEFT(premier_player_23_24[[#This Row],[Position]],2)</f>
        <v>GK</v>
      </c>
      <c r="G48" s="3">
        <v>33</v>
      </c>
      <c r="H4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8" s="3">
        <v>5</v>
      </c>
      <c r="J48" s="3">
        <v>4</v>
      </c>
      <c r="K48" s="2">
        <v>405</v>
      </c>
      <c r="L48" s="2" t="str">
        <f>IF(premier_player_23_24[[#This Row],[Minutes]]&gt;1000,"More than 1000 minutes","Less than 1000 minutes")</f>
        <v>Less than 1000 minutes</v>
      </c>
      <c r="M48" s="2">
        <v>4.5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2">
        <v>0</v>
      </c>
      <c r="U48" s="2">
        <v>0</v>
      </c>
      <c r="V48" s="2">
        <v>0</v>
      </c>
      <c r="W48" s="2">
        <f>premier_player_23_24[[#This Row],[Goals]]-premier_player_23_24[[#This Row],[Expected Goals ]]</f>
        <v>0</v>
      </c>
      <c r="X48" s="2">
        <v>0</v>
      </c>
      <c r="Y48" s="2">
        <v>0</v>
      </c>
      <c r="Z48" s="2">
        <v>0</v>
      </c>
      <c r="AA48" s="3">
        <v>0</v>
      </c>
      <c r="AB48" s="3">
        <v>0</v>
      </c>
      <c r="AC48" s="3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t="s">
        <v>913</v>
      </c>
    </row>
    <row r="49" spans="1:40" x14ac:dyDescent="0.25">
      <c r="A49" t="s">
        <v>970</v>
      </c>
      <c r="B49" t="s">
        <v>57</v>
      </c>
      <c r="C49" s="4" t="s">
        <v>1744</v>
      </c>
      <c r="D49" t="s">
        <v>1745</v>
      </c>
      <c r="E49" t="s">
        <v>36</v>
      </c>
      <c r="F49" t="str">
        <f>LEFT(premier_player_23_24[[#This Row],[Position]],2)</f>
        <v>MF</v>
      </c>
      <c r="G49" s="3">
        <v>20</v>
      </c>
      <c r="H4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9" s="3">
        <v>9</v>
      </c>
      <c r="J49" s="3">
        <v>1</v>
      </c>
      <c r="K49" s="2">
        <v>164</v>
      </c>
      <c r="L49" s="2" t="str">
        <f>IF(premier_player_23_24[[#This Row],[Minutes]]&gt;1000,"More than 1000 minutes","Less than 1000 minutes")</f>
        <v>Less than 1000 minutes</v>
      </c>
      <c r="M49" s="2">
        <v>1.8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2">
        <v>0</v>
      </c>
      <c r="U49" s="2">
        <v>0</v>
      </c>
      <c r="V49" s="2">
        <v>0</v>
      </c>
      <c r="W49" s="2">
        <f>premier_player_23_24[[#This Row],[Goals]]-premier_player_23_24[[#This Row],[Expected Goals ]]</f>
        <v>0</v>
      </c>
      <c r="X49" s="2">
        <v>0</v>
      </c>
      <c r="Y49" s="2">
        <v>0</v>
      </c>
      <c r="Z49" s="2">
        <v>0</v>
      </c>
      <c r="AA49" s="3">
        <v>3</v>
      </c>
      <c r="AB49" s="3">
        <v>1</v>
      </c>
      <c r="AC49" s="3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t="s">
        <v>913</v>
      </c>
    </row>
    <row r="50" spans="1:40" x14ac:dyDescent="0.25">
      <c r="A50" t="s">
        <v>974</v>
      </c>
      <c r="B50" t="s">
        <v>57</v>
      </c>
      <c r="C50" s="4" t="s">
        <v>1744</v>
      </c>
      <c r="D50" t="s">
        <v>1745</v>
      </c>
      <c r="E50" t="s">
        <v>108</v>
      </c>
      <c r="F50" t="str">
        <f>LEFT(premier_player_23_24[[#This Row],[Position]],2)</f>
        <v>DF</v>
      </c>
      <c r="G50" s="3">
        <v>30</v>
      </c>
      <c r="H5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0" s="3">
        <v>1</v>
      </c>
      <c r="J50" s="3">
        <v>1</v>
      </c>
      <c r="K50" s="2">
        <v>30</v>
      </c>
      <c r="L50" s="2" t="str">
        <f>IF(premier_player_23_24[[#This Row],[Minutes]]&gt;1000,"More than 1000 minutes","Less than 1000 minutes")</f>
        <v>Less than 1000 minutes</v>
      </c>
      <c r="M50" s="2">
        <v>0.3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2">
        <v>0</v>
      </c>
      <c r="U50" s="2">
        <v>0</v>
      </c>
      <c r="V50" s="2">
        <v>0</v>
      </c>
      <c r="W50" s="2">
        <f>premier_player_23_24[[#This Row],[Goals]]-premier_player_23_24[[#This Row],[Expected Goals ]]</f>
        <v>0</v>
      </c>
      <c r="X50" s="2">
        <v>0</v>
      </c>
      <c r="Y50" s="2">
        <v>0</v>
      </c>
      <c r="Z50" s="2">
        <v>0</v>
      </c>
      <c r="AA50" s="3">
        <v>0</v>
      </c>
      <c r="AB50" s="3">
        <v>0</v>
      </c>
      <c r="AC50" s="3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0.02</v>
      </c>
      <c r="AJ50" s="1">
        <v>7.0000000000000007E-2</v>
      </c>
      <c r="AK50" s="1">
        <v>0.09</v>
      </c>
      <c r="AL50" s="1">
        <v>0.02</v>
      </c>
      <c r="AM50" s="1">
        <v>0.09</v>
      </c>
      <c r="AN50" t="s">
        <v>913</v>
      </c>
    </row>
    <row r="51" spans="1:40" x14ac:dyDescent="0.25">
      <c r="A51" t="s">
        <v>975</v>
      </c>
      <c r="B51" t="s">
        <v>57</v>
      </c>
      <c r="C51" s="4" t="s">
        <v>1744</v>
      </c>
      <c r="D51" t="s">
        <v>1745</v>
      </c>
      <c r="E51" t="s">
        <v>137</v>
      </c>
      <c r="F51" t="str">
        <f>LEFT(premier_player_23_24[[#This Row],[Position]],2)</f>
        <v>FW</v>
      </c>
      <c r="G51" s="3">
        <v>17</v>
      </c>
      <c r="H5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1" s="3">
        <v>2</v>
      </c>
      <c r="J51" s="3">
        <v>0</v>
      </c>
      <c r="K51" s="2">
        <v>37</v>
      </c>
      <c r="L51" s="2" t="str">
        <f>IF(premier_player_23_24[[#This Row],[Minutes]]&gt;1000,"More than 1000 minutes","Less than 1000 minutes")</f>
        <v>Less than 1000 minutes</v>
      </c>
      <c r="M51" s="2">
        <v>0.4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2">
        <v>0</v>
      </c>
      <c r="U51" s="2">
        <v>0</v>
      </c>
      <c r="V51" s="2">
        <v>0.1</v>
      </c>
      <c r="W51" s="2">
        <f>premier_player_23_24[[#This Row],[Goals]]-premier_player_23_24[[#This Row],[Expected Goals ]]</f>
        <v>-0.1</v>
      </c>
      <c r="X51" s="2">
        <v>0.1</v>
      </c>
      <c r="Y51" s="2">
        <v>0</v>
      </c>
      <c r="Z51" s="2">
        <v>0.1</v>
      </c>
      <c r="AA51" s="3">
        <v>1</v>
      </c>
      <c r="AB51" s="3">
        <v>0</v>
      </c>
      <c r="AC51" s="3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0.17</v>
      </c>
      <c r="AJ51" s="1">
        <v>0</v>
      </c>
      <c r="AK51" s="1">
        <v>0.17</v>
      </c>
      <c r="AL51" s="1">
        <v>0.17</v>
      </c>
      <c r="AM51" s="1">
        <v>0.17</v>
      </c>
      <c r="AN51" t="s">
        <v>913</v>
      </c>
    </row>
    <row r="52" spans="1:40" x14ac:dyDescent="0.25">
      <c r="A52" t="s">
        <v>976</v>
      </c>
      <c r="B52" t="s">
        <v>76</v>
      </c>
      <c r="C52" s="4" t="s">
        <v>1750</v>
      </c>
      <c r="D52" t="s">
        <v>1751</v>
      </c>
      <c r="E52" t="s">
        <v>86</v>
      </c>
      <c r="F52" t="str">
        <f>LEFT(premier_player_23_24[[#This Row],[Position]],2)</f>
        <v>MF</v>
      </c>
      <c r="G52" s="3">
        <v>31</v>
      </c>
      <c r="H5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2" s="3">
        <v>2</v>
      </c>
      <c r="J52" s="3">
        <v>0</v>
      </c>
      <c r="K52" s="2">
        <v>25</v>
      </c>
      <c r="L52" s="2" t="str">
        <f>IF(premier_player_23_24[[#This Row],[Minutes]]&gt;1000,"More than 1000 minutes","Less than 1000 minutes")</f>
        <v>Less than 1000 minutes</v>
      </c>
      <c r="M52" s="2">
        <v>0.3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2">
        <v>0</v>
      </c>
      <c r="U52" s="2">
        <v>0</v>
      </c>
      <c r="V52" s="2">
        <v>0.1</v>
      </c>
      <c r="W52" s="2">
        <f>premier_player_23_24[[#This Row],[Goals]]-premier_player_23_24[[#This Row],[Expected Goals ]]</f>
        <v>-0.1</v>
      </c>
      <c r="X52" s="2">
        <v>0.1</v>
      </c>
      <c r="Y52" s="2">
        <v>0</v>
      </c>
      <c r="Z52" s="2">
        <v>0.1</v>
      </c>
      <c r="AA52" s="3">
        <v>5</v>
      </c>
      <c r="AB52" s="3">
        <v>5</v>
      </c>
      <c r="AC52" s="3">
        <v>2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0.52</v>
      </c>
      <c r="AJ52" s="1">
        <v>0</v>
      </c>
      <c r="AK52" s="1">
        <v>0.52</v>
      </c>
      <c r="AL52" s="1">
        <v>0.52</v>
      </c>
      <c r="AM52" s="1">
        <v>0.52</v>
      </c>
      <c r="AN52" t="s">
        <v>913</v>
      </c>
    </row>
    <row r="53" spans="1:40" x14ac:dyDescent="0.25">
      <c r="A53" t="s">
        <v>977</v>
      </c>
      <c r="B53" t="s">
        <v>978</v>
      </c>
      <c r="C53" s="4" t="s">
        <v>1782</v>
      </c>
      <c r="D53" t="s">
        <v>1783</v>
      </c>
      <c r="E53" t="s">
        <v>644</v>
      </c>
      <c r="F53" t="str">
        <f>LEFT(premier_player_23_24[[#This Row],[Position]],2)</f>
        <v>DF</v>
      </c>
      <c r="G53" s="3">
        <v>27</v>
      </c>
      <c r="H5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3" s="3">
        <v>2</v>
      </c>
      <c r="J53" s="3">
        <v>0</v>
      </c>
      <c r="K53" s="2">
        <v>11</v>
      </c>
      <c r="L53" s="2" t="str">
        <f>IF(premier_player_23_24[[#This Row],[Minutes]]&gt;1000,"More than 1000 minutes","Less than 1000 minutes")</f>
        <v>Less than 1000 minutes</v>
      </c>
      <c r="M53" s="2">
        <v>0.1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2">
        <v>0</v>
      </c>
      <c r="U53" s="2">
        <v>0</v>
      </c>
      <c r="V53" s="2">
        <v>0</v>
      </c>
      <c r="W53" s="2">
        <f>premier_player_23_24[[#This Row],[Goals]]-premier_player_23_24[[#This Row],[Expected Goals ]]</f>
        <v>0</v>
      </c>
      <c r="X53" s="2">
        <v>0</v>
      </c>
      <c r="Y53" s="2">
        <v>0</v>
      </c>
      <c r="Z53" s="2">
        <v>0</v>
      </c>
      <c r="AA53" s="3">
        <v>0</v>
      </c>
      <c r="AB53" s="3">
        <v>0</v>
      </c>
      <c r="AC53" s="3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t="s">
        <v>913</v>
      </c>
    </row>
    <row r="54" spans="1:40" x14ac:dyDescent="0.25">
      <c r="A54" t="s">
        <v>979</v>
      </c>
      <c r="B54" t="s">
        <v>57</v>
      </c>
      <c r="C54" s="4" t="s">
        <v>1744</v>
      </c>
      <c r="D54" t="s">
        <v>1745</v>
      </c>
      <c r="E54" t="s">
        <v>36</v>
      </c>
      <c r="F54" t="str">
        <f>LEFT(premier_player_23_24[[#This Row],[Position]],2)</f>
        <v>MF</v>
      </c>
      <c r="G54" s="3">
        <v>22</v>
      </c>
      <c r="H5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4" s="3">
        <v>1</v>
      </c>
      <c r="J54" s="3">
        <v>0</v>
      </c>
      <c r="K54" s="2">
        <v>6</v>
      </c>
      <c r="L54" s="2" t="str">
        <f>IF(premier_player_23_24[[#This Row],[Minutes]]&gt;1000,"More than 1000 minutes","Less than 1000 minutes")</f>
        <v>Less than 1000 minutes</v>
      </c>
      <c r="M54" s="2">
        <v>0.1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2">
        <v>1</v>
      </c>
      <c r="U54" s="2">
        <v>0</v>
      </c>
      <c r="V54" s="2">
        <v>0</v>
      </c>
      <c r="W54" s="2">
        <f>premier_player_23_24[[#This Row],[Goals]]-premier_player_23_24[[#This Row],[Expected Goals ]]</f>
        <v>0</v>
      </c>
      <c r="X54" s="2">
        <v>0</v>
      </c>
      <c r="Y54" s="2">
        <v>0</v>
      </c>
      <c r="Z54" s="2">
        <v>0</v>
      </c>
      <c r="AA54" s="3">
        <v>1</v>
      </c>
      <c r="AB54" s="3">
        <v>0</v>
      </c>
      <c r="AC54" s="3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t="s">
        <v>913</v>
      </c>
    </row>
    <row r="55" spans="1:40" x14ac:dyDescent="0.25">
      <c r="A55" t="s">
        <v>980</v>
      </c>
      <c r="B55" t="s">
        <v>57</v>
      </c>
      <c r="C55" s="4" t="s">
        <v>1744</v>
      </c>
      <c r="D55" t="s">
        <v>1745</v>
      </c>
      <c r="E55" t="s">
        <v>524</v>
      </c>
      <c r="F55" t="str">
        <f>LEFT(premier_player_23_24[[#This Row],[Position]],2)</f>
        <v>MF</v>
      </c>
      <c r="G55" s="3">
        <v>20</v>
      </c>
      <c r="H5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5" s="3">
        <v>3</v>
      </c>
      <c r="J55" s="3">
        <v>0</v>
      </c>
      <c r="K55" s="2">
        <v>6</v>
      </c>
      <c r="L55" s="2" t="str">
        <f>IF(premier_player_23_24[[#This Row],[Minutes]]&gt;1000,"More than 1000 minutes","Less than 1000 minutes")</f>
        <v>Less than 1000 minutes</v>
      </c>
      <c r="M55" s="2">
        <v>0.1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2">
        <v>0</v>
      </c>
      <c r="U55" s="2">
        <v>0</v>
      </c>
      <c r="V55" s="2">
        <v>0</v>
      </c>
      <c r="W55" s="2">
        <f>premier_player_23_24[[#This Row],[Goals]]-premier_player_23_24[[#This Row],[Expected Goals ]]</f>
        <v>0</v>
      </c>
      <c r="X55" s="2">
        <v>0</v>
      </c>
      <c r="Y55" s="2">
        <v>0</v>
      </c>
      <c r="Z55" s="2">
        <v>0</v>
      </c>
      <c r="AA55" s="3">
        <v>0</v>
      </c>
      <c r="AB55" s="3">
        <v>0</v>
      </c>
      <c r="AC55" s="3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t="s">
        <v>913</v>
      </c>
    </row>
    <row r="56" spans="1:40" x14ac:dyDescent="0.25">
      <c r="A56" t="s">
        <v>981</v>
      </c>
      <c r="B56" t="s">
        <v>57</v>
      </c>
      <c r="C56" s="4" t="s">
        <v>1744</v>
      </c>
      <c r="D56" t="s">
        <v>1745</v>
      </c>
      <c r="E56" t="s">
        <v>36</v>
      </c>
      <c r="F56" t="str">
        <f>LEFT(premier_player_23_24[[#This Row],[Position]],2)</f>
        <v>MF</v>
      </c>
      <c r="G56" s="3">
        <v>18</v>
      </c>
      <c r="H5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6" s="3">
        <v>1</v>
      </c>
      <c r="J56" s="3">
        <v>0</v>
      </c>
      <c r="K56" s="2">
        <v>4</v>
      </c>
      <c r="L56" s="2" t="str">
        <f>IF(premier_player_23_24[[#This Row],[Minutes]]&gt;1000,"More than 1000 minutes","Less than 1000 minutes")</f>
        <v>Less than 1000 minutes</v>
      </c>
      <c r="M56" s="2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2">
        <v>0</v>
      </c>
      <c r="U56" s="2">
        <v>0</v>
      </c>
      <c r="V56" s="2">
        <v>0</v>
      </c>
      <c r="W56" s="2">
        <f>premier_player_23_24[[#This Row],[Goals]]-premier_player_23_24[[#This Row],[Expected Goals ]]</f>
        <v>0</v>
      </c>
      <c r="X56" s="2">
        <v>0</v>
      </c>
      <c r="Y56" s="2">
        <v>0</v>
      </c>
      <c r="Z56" s="2">
        <v>0</v>
      </c>
      <c r="AA56" s="3">
        <v>0</v>
      </c>
      <c r="AB56" s="3">
        <v>0</v>
      </c>
      <c r="AC56" s="3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t="s">
        <v>913</v>
      </c>
    </row>
    <row r="57" spans="1:40" x14ac:dyDescent="0.25">
      <c r="A57" t="s">
        <v>982</v>
      </c>
      <c r="B57" t="s">
        <v>57</v>
      </c>
      <c r="C57" s="4" t="s">
        <v>1744</v>
      </c>
      <c r="D57" t="s">
        <v>1745</v>
      </c>
      <c r="E57" t="s">
        <v>137</v>
      </c>
      <c r="F57" t="str">
        <f>LEFT(premier_player_23_24[[#This Row],[Position]],2)</f>
        <v>FW</v>
      </c>
      <c r="G57" s="3">
        <v>21</v>
      </c>
      <c r="H5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7" s="3">
        <v>1</v>
      </c>
      <c r="J57" s="3">
        <v>0</v>
      </c>
      <c r="K57" s="2">
        <v>4</v>
      </c>
      <c r="L57" s="2" t="str">
        <f>IF(premier_player_23_24[[#This Row],[Minutes]]&gt;1000,"More than 1000 minutes","Less than 1000 minutes")</f>
        <v>Less than 1000 minutes</v>
      </c>
      <c r="M57" s="2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2">
        <v>0</v>
      </c>
      <c r="U57" s="2">
        <v>0</v>
      </c>
      <c r="V57" s="2">
        <v>0</v>
      </c>
      <c r="W57" s="2">
        <f>premier_player_23_24[[#This Row],[Goals]]-premier_player_23_24[[#This Row],[Expected Goals ]]</f>
        <v>0</v>
      </c>
      <c r="X57" s="2">
        <v>0</v>
      </c>
      <c r="Y57" s="2">
        <v>0</v>
      </c>
      <c r="Z57" s="2">
        <v>0</v>
      </c>
      <c r="AA57" s="3">
        <v>2</v>
      </c>
      <c r="AB57" s="3">
        <v>0</v>
      </c>
      <c r="AC57" s="3">
        <v>1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t="s">
        <v>913</v>
      </c>
    </row>
    <row r="58" spans="1:40" x14ac:dyDescent="0.25">
      <c r="A58" t="s">
        <v>1336</v>
      </c>
      <c r="B58" t="s">
        <v>1337</v>
      </c>
      <c r="C58" s="4" t="s">
        <v>1784</v>
      </c>
      <c r="D58" t="s">
        <v>1785</v>
      </c>
      <c r="E58" t="s">
        <v>58</v>
      </c>
      <c r="F58" t="str">
        <f>LEFT(premier_player_23_24[[#This Row],[Position]],2)</f>
        <v>FW</v>
      </c>
      <c r="G58" s="3">
        <v>26</v>
      </c>
      <c r="H5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8" s="3">
        <v>16</v>
      </c>
      <c r="J58" s="3">
        <v>2</v>
      </c>
      <c r="K58" s="2">
        <v>328</v>
      </c>
      <c r="L58" s="2" t="str">
        <f>IF(premier_player_23_24[[#This Row],[Minutes]]&gt;1000,"More than 1000 minutes","Less than 1000 minutes")</f>
        <v>Less than 1000 minutes</v>
      </c>
      <c r="M58" s="2">
        <v>3.6</v>
      </c>
      <c r="N58" s="3">
        <v>2</v>
      </c>
      <c r="O58" s="3">
        <v>2</v>
      </c>
      <c r="P58" s="3">
        <v>4</v>
      </c>
      <c r="Q58" s="3">
        <v>2</v>
      </c>
      <c r="R58" s="3">
        <v>0</v>
      </c>
      <c r="S58" s="3">
        <v>0</v>
      </c>
      <c r="T58" s="2">
        <v>1</v>
      </c>
      <c r="U58" s="2">
        <v>0</v>
      </c>
      <c r="V58" s="2">
        <v>2.9</v>
      </c>
      <c r="W58" s="2">
        <f>premier_player_23_24[[#This Row],[Goals]]-premier_player_23_24[[#This Row],[Expected Goals ]]</f>
        <v>-0.89999999999999991</v>
      </c>
      <c r="X58" s="2">
        <v>2.9</v>
      </c>
      <c r="Y58" s="2">
        <v>1</v>
      </c>
      <c r="Z58" s="2">
        <v>3.9</v>
      </c>
      <c r="AA58" s="3">
        <v>4</v>
      </c>
      <c r="AB58" s="3">
        <v>7</v>
      </c>
      <c r="AC58" s="3">
        <v>28</v>
      </c>
      <c r="AD58" s="1">
        <v>0.55000000000000004</v>
      </c>
      <c r="AE58" s="1">
        <v>0.55000000000000004</v>
      </c>
      <c r="AF58" s="1">
        <v>1.1000000000000001</v>
      </c>
      <c r="AG58" s="1">
        <v>0.55000000000000004</v>
      </c>
      <c r="AH58" s="1">
        <v>1.1000000000000001</v>
      </c>
      <c r="AI58" s="1">
        <v>0.8</v>
      </c>
      <c r="AJ58" s="1">
        <v>0.28000000000000003</v>
      </c>
      <c r="AK58" s="1">
        <v>1.07</v>
      </c>
      <c r="AL58" s="1">
        <v>0.8</v>
      </c>
      <c r="AM58" s="1">
        <v>1.07</v>
      </c>
      <c r="AN58" t="s">
        <v>1286</v>
      </c>
    </row>
    <row r="59" spans="1:40" x14ac:dyDescent="0.25">
      <c r="A59" t="s">
        <v>1346</v>
      </c>
      <c r="B59" t="s">
        <v>432</v>
      </c>
      <c r="C59" s="4" t="s">
        <v>1786</v>
      </c>
      <c r="D59" t="s">
        <v>1787</v>
      </c>
      <c r="E59" t="s">
        <v>58</v>
      </c>
      <c r="F59" t="str">
        <f>LEFT(premier_player_23_24[[#This Row],[Position]],2)</f>
        <v>FW</v>
      </c>
      <c r="G59" s="3">
        <v>30</v>
      </c>
      <c r="H5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9" s="3">
        <v>8</v>
      </c>
      <c r="J59" s="3">
        <v>0</v>
      </c>
      <c r="K59" s="2">
        <v>108</v>
      </c>
      <c r="L59" s="2" t="str">
        <f>IF(premier_player_23_24[[#This Row],[Minutes]]&gt;1000,"More than 1000 minutes","Less than 1000 minutes")</f>
        <v>Less than 1000 minutes</v>
      </c>
      <c r="M59" s="2">
        <v>1.2</v>
      </c>
      <c r="N59" s="3">
        <v>1</v>
      </c>
      <c r="O59" s="3">
        <v>0</v>
      </c>
      <c r="P59" s="3">
        <v>1</v>
      </c>
      <c r="Q59" s="3">
        <v>1</v>
      </c>
      <c r="R59" s="3">
        <v>0</v>
      </c>
      <c r="S59" s="3">
        <v>0</v>
      </c>
      <c r="T59" s="2">
        <v>0</v>
      </c>
      <c r="U59" s="2">
        <v>0</v>
      </c>
      <c r="V59" s="2">
        <v>1.5</v>
      </c>
      <c r="W59" s="2">
        <f>premier_player_23_24[[#This Row],[Goals]]-premier_player_23_24[[#This Row],[Expected Goals ]]</f>
        <v>-0.5</v>
      </c>
      <c r="X59" s="2">
        <v>1.5</v>
      </c>
      <c r="Y59" s="2">
        <v>0.2</v>
      </c>
      <c r="Z59" s="2">
        <v>1.7</v>
      </c>
      <c r="AA59" s="3">
        <v>2</v>
      </c>
      <c r="AB59" s="3">
        <v>4</v>
      </c>
      <c r="AC59" s="3">
        <v>15</v>
      </c>
      <c r="AD59" s="1">
        <v>0.83</v>
      </c>
      <c r="AE59" s="1">
        <v>0</v>
      </c>
      <c r="AF59" s="1">
        <v>0.83</v>
      </c>
      <c r="AG59" s="1">
        <v>0.83</v>
      </c>
      <c r="AH59" s="1">
        <v>0.83</v>
      </c>
      <c r="AI59" s="1">
        <v>1.23</v>
      </c>
      <c r="AJ59" s="1">
        <v>0.2</v>
      </c>
      <c r="AK59" s="1">
        <v>1.44</v>
      </c>
      <c r="AL59" s="1">
        <v>1.23</v>
      </c>
      <c r="AM59" s="1">
        <v>1.44</v>
      </c>
      <c r="AN59" t="s">
        <v>1286</v>
      </c>
    </row>
    <row r="60" spans="1:40" x14ac:dyDescent="0.25">
      <c r="A60" t="s">
        <v>1340</v>
      </c>
      <c r="B60" t="s">
        <v>432</v>
      </c>
      <c r="C60" s="4" t="s">
        <v>1786</v>
      </c>
      <c r="D60" t="s">
        <v>1787</v>
      </c>
      <c r="E60" t="s">
        <v>58</v>
      </c>
      <c r="F60" t="str">
        <f>LEFT(premier_player_23_24[[#This Row],[Position]],2)</f>
        <v>FW</v>
      </c>
      <c r="G60" s="3">
        <v>26</v>
      </c>
      <c r="H6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60" s="3">
        <v>13</v>
      </c>
      <c r="J60" s="3">
        <v>2</v>
      </c>
      <c r="K60" s="2">
        <v>282</v>
      </c>
      <c r="L60" s="2" t="str">
        <f>IF(premier_player_23_24[[#This Row],[Minutes]]&gt;1000,"More than 1000 minutes","Less than 1000 minutes")</f>
        <v>Less than 1000 minutes</v>
      </c>
      <c r="M60" s="2">
        <v>3.1</v>
      </c>
      <c r="N60" s="3">
        <v>1</v>
      </c>
      <c r="O60" s="3">
        <v>1</v>
      </c>
      <c r="P60" s="3">
        <v>2</v>
      </c>
      <c r="Q60" s="3">
        <v>1</v>
      </c>
      <c r="R60" s="3">
        <v>0</v>
      </c>
      <c r="S60" s="3">
        <v>0</v>
      </c>
      <c r="T60" s="2">
        <v>1</v>
      </c>
      <c r="U60" s="2">
        <v>0</v>
      </c>
      <c r="V60" s="2">
        <v>2.2000000000000002</v>
      </c>
      <c r="W60" s="2">
        <f>premier_player_23_24[[#This Row],[Goals]]-premier_player_23_24[[#This Row],[Expected Goals ]]</f>
        <v>-1.2000000000000002</v>
      </c>
      <c r="X60" s="2">
        <v>2.2000000000000002</v>
      </c>
      <c r="Y60" s="2">
        <v>1</v>
      </c>
      <c r="Z60" s="2">
        <v>3.2</v>
      </c>
      <c r="AA60" s="3">
        <v>8</v>
      </c>
      <c r="AB60" s="3">
        <v>21</v>
      </c>
      <c r="AC60" s="3">
        <v>27</v>
      </c>
      <c r="AD60" s="1">
        <v>0.32</v>
      </c>
      <c r="AE60" s="1">
        <v>0.32</v>
      </c>
      <c r="AF60" s="1">
        <v>0.64</v>
      </c>
      <c r="AG60" s="1">
        <v>0.32</v>
      </c>
      <c r="AH60" s="1">
        <v>0.64</v>
      </c>
      <c r="AI60" s="1">
        <v>0.7</v>
      </c>
      <c r="AJ60" s="1">
        <v>0.33</v>
      </c>
      <c r="AK60" s="1">
        <v>1.03</v>
      </c>
      <c r="AL60" s="1">
        <v>0.7</v>
      </c>
      <c r="AM60" s="1">
        <v>1.03</v>
      </c>
      <c r="AN60" t="s">
        <v>1286</v>
      </c>
    </row>
    <row r="61" spans="1:40" x14ac:dyDescent="0.25">
      <c r="A61" t="s">
        <v>1287</v>
      </c>
      <c r="B61" t="s">
        <v>57</v>
      </c>
      <c r="C61" s="4" t="s">
        <v>1744</v>
      </c>
      <c r="D61" t="s">
        <v>1745</v>
      </c>
      <c r="E61" t="s">
        <v>137</v>
      </c>
      <c r="F61" t="str">
        <f>LEFT(premier_player_23_24[[#This Row],[Position]],2)</f>
        <v>FW</v>
      </c>
      <c r="G61" s="3">
        <v>25</v>
      </c>
      <c r="H6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61" s="3">
        <v>38</v>
      </c>
      <c r="J61" s="3">
        <v>37</v>
      </c>
      <c r="K61" s="2">
        <v>3325</v>
      </c>
      <c r="L61" s="2" t="str">
        <f>IF(premier_player_23_24[[#This Row],[Minutes]]&gt;1000,"More than 1000 minutes","Less than 1000 minutes")</f>
        <v>More than 1000 minutes</v>
      </c>
      <c r="M61" s="2">
        <v>36.9</v>
      </c>
      <c r="N61" s="3">
        <v>19</v>
      </c>
      <c r="O61" s="3">
        <v>3</v>
      </c>
      <c r="P61" s="3">
        <v>22</v>
      </c>
      <c r="Q61" s="3">
        <v>17</v>
      </c>
      <c r="R61" s="3">
        <v>2</v>
      </c>
      <c r="S61" s="3">
        <v>3</v>
      </c>
      <c r="T61" s="2">
        <v>3</v>
      </c>
      <c r="U61" s="2">
        <v>0</v>
      </c>
      <c r="V61" s="2">
        <v>19.600000000000001</v>
      </c>
      <c r="W61" s="2">
        <f>premier_player_23_24[[#This Row],[Goals]]-premier_player_23_24[[#This Row],[Expected Goals ]]</f>
        <v>-0.60000000000000142</v>
      </c>
      <c r="X61" s="2">
        <v>17.2</v>
      </c>
      <c r="Y61" s="2">
        <v>3</v>
      </c>
      <c r="Z61" s="2">
        <v>20.3</v>
      </c>
      <c r="AA61" s="3">
        <v>52</v>
      </c>
      <c r="AB61" s="3">
        <v>60</v>
      </c>
      <c r="AC61" s="3">
        <v>184</v>
      </c>
      <c r="AD61" s="1">
        <v>0.51</v>
      </c>
      <c r="AE61" s="1">
        <v>0.08</v>
      </c>
      <c r="AF61" s="1">
        <v>0.6</v>
      </c>
      <c r="AG61" s="1">
        <v>0.46</v>
      </c>
      <c r="AH61" s="1">
        <v>0.54</v>
      </c>
      <c r="AI61" s="1">
        <v>0.53</v>
      </c>
      <c r="AJ61" s="1">
        <v>0.08</v>
      </c>
      <c r="AK61" s="1">
        <v>0.61</v>
      </c>
      <c r="AL61" s="1">
        <v>0.47</v>
      </c>
      <c r="AM61" s="1">
        <v>0.55000000000000004</v>
      </c>
      <c r="AN61" t="s">
        <v>1286</v>
      </c>
    </row>
    <row r="62" spans="1:40" x14ac:dyDescent="0.25">
      <c r="A62" t="s">
        <v>1328</v>
      </c>
      <c r="B62" t="s">
        <v>287</v>
      </c>
      <c r="C62" s="4" t="s">
        <v>1772</v>
      </c>
      <c r="D62" t="s">
        <v>1773</v>
      </c>
      <c r="E62" t="s">
        <v>58</v>
      </c>
      <c r="F62" t="str">
        <f>LEFT(premier_player_23_24[[#This Row],[Position]],2)</f>
        <v>FW</v>
      </c>
      <c r="G62" s="3">
        <v>24</v>
      </c>
      <c r="H6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62" s="3">
        <v>20</v>
      </c>
      <c r="J62" s="3">
        <v>7</v>
      </c>
      <c r="K62" s="2">
        <v>699</v>
      </c>
      <c r="L62" s="2" t="str">
        <f>IF(premier_player_23_24[[#This Row],[Minutes]]&gt;1000,"More than 1000 minutes","Less than 1000 minutes")</f>
        <v>Less than 1000 minutes</v>
      </c>
      <c r="M62" s="2">
        <v>7.8</v>
      </c>
      <c r="N62" s="3">
        <v>2</v>
      </c>
      <c r="O62" s="3">
        <v>2</v>
      </c>
      <c r="P62" s="3">
        <v>4</v>
      </c>
      <c r="Q62" s="3">
        <v>2</v>
      </c>
      <c r="R62" s="3">
        <v>0</v>
      </c>
      <c r="S62" s="3">
        <v>0</v>
      </c>
      <c r="T62" s="2">
        <v>0</v>
      </c>
      <c r="U62" s="2">
        <v>0</v>
      </c>
      <c r="V62" s="2">
        <v>2.5</v>
      </c>
      <c r="W62" s="2">
        <f>premier_player_23_24[[#This Row],[Goals]]-premier_player_23_24[[#This Row],[Expected Goals ]]</f>
        <v>-0.5</v>
      </c>
      <c r="X62" s="2">
        <v>2.5</v>
      </c>
      <c r="Y62" s="2">
        <v>2.4</v>
      </c>
      <c r="Z62" s="2">
        <v>5</v>
      </c>
      <c r="AA62" s="3">
        <v>51</v>
      </c>
      <c r="AB62" s="3">
        <v>38</v>
      </c>
      <c r="AC62" s="3">
        <v>85</v>
      </c>
      <c r="AD62" s="1">
        <v>0.26</v>
      </c>
      <c r="AE62" s="1">
        <v>0.26</v>
      </c>
      <c r="AF62" s="1">
        <v>0.52</v>
      </c>
      <c r="AG62" s="1">
        <v>0.26</v>
      </c>
      <c r="AH62" s="1">
        <v>0.52</v>
      </c>
      <c r="AI62" s="1">
        <v>0.33</v>
      </c>
      <c r="AJ62" s="1">
        <v>0.31</v>
      </c>
      <c r="AK62" s="1">
        <v>0.64</v>
      </c>
      <c r="AL62" s="1">
        <v>0.33</v>
      </c>
      <c r="AM62" s="1">
        <v>0.64</v>
      </c>
      <c r="AN62" t="s">
        <v>1286</v>
      </c>
    </row>
    <row r="63" spans="1:40" x14ac:dyDescent="0.25">
      <c r="A63" t="s">
        <v>1311</v>
      </c>
      <c r="B63" t="s">
        <v>523</v>
      </c>
      <c r="C63" s="4" t="s">
        <v>1766</v>
      </c>
      <c r="D63" t="s">
        <v>1767</v>
      </c>
      <c r="E63" t="s">
        <v>137</v>
      </c>
      <c r="F63" t="str">
        <f>LEFT(premier_player_23_24[[#This Row],[Position]],2)</f>
        <v>FW</v>
      </c>
      <c r="G63" s="3">
        <v>23</v>
      </c>
      <c r="H6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63" s="3">
        <v>33</v>
      </c>
      <c r="J63" s="3">
        <v>25</v>
      </c>
      <c r="K63" s="2">
        <v>2105</v>
      </c>
      <c r="L63" s="2" t="str">
        <f>IF(premier_player_23_24[[#This Row],[Minutes]]&gt;1000,"More than 1000 minutes","Less than 1000 minutes")</f>
        <v>More than 1000 minutes</v>
      </c>
      <c r="M63" s="2">
        <v>23.4</v>
      </c>
      <c r="N63" s="3">
        <v>8</v>
      </c>
      <c r="O63" s="3">
        <v>2</v>
      </c>
      <c r="P63" s="3">
        <v>10</v>
      </c>
      <c r="Q63" s="3">
        <v>8</v>
      </c>
      <c r="R63" s="3">
        <v>0</v>
      </c>
      <c r="S63" s="3">
        <v>0</v>
      </c>
      <c r="T63" s="2">
        <v>6</v>
      </c>
      <c r="U63" s="2">
        <v>0</v>
      </c>
      <c r="V63" s="2">
        <v>4.5999999999999996</v>
      </c>
      <c r="W63" s="2">
        <f>premier_player_23_24[[#This Row],[Goals]]-premier_player_23_24[[#This Row],[Expected Goals ]]</f>
        <v>3.4000000000000004</v>
      </c>
      <c r="X63" s="2">
        <v>4.5999999999999996</v>
      </c>
      <c r="Y63" s="2">
        <v>3.2</v>
      </c>
      <c r="Z63" s="2">
        <v>7.8</v>
      </c>
      <c r="AA63" s="3">
        <v>89</v>
      </c>
      <c r="AB63" s="3">
        <v>64</v>
      </c>
      <c r="AC63" s="3">
        <v>188</v>
      </c>
      <c r="AD63" s="1">
        <v>0.34</v>
      </c>
      <c r="AE63" s="1">
        <v>0.09</v>
      </c>
      <c r="AF63" s="1">
        <v>0.43</v>
      </c>
      <c r="AG63" s="1">
        <v>0.34</v>
      </c>
      <c r="AH63" s="1">
        <v>0.43</v>
      </c>
      <c r="AI63" s="1">
        <v>0.2</v>
      </c>
      <c r="AJ63" s="1">
        <v>0.14000000000000001</v>
      </c>
      <c r="AK63" s="1">
        <v>0.34</v>
      </c>
      <c r="AL63" s="1">
        <v>0.2</v>
      </c>
      <c r="AM63" s="1">
        <v>0.34</v>
      </c>
      <c r="AN63" t="s">
        <v>1286</v>
      </c>
    </row>
    <row r="64" spans="1:40" x14ac:dyDescent="0.25">
      <c r="A64" t="s">
        <v>1302</v>
      </c>
      <c r="B64" t="s">
        <v>196</v>
      </c>
      <c r="C64" s="4" t="s">
        <v>1768</v>
      </c>
      <c r="D64" t="s">
        <v>1769</v>
      </c>
      <c r="E64" t="s">
        <v>86</v>
      </c>
      <c r="F64" t="str">
        <f>LEFT(premier_player_23_24[[#This Row],[Position]],2)</f>
        <v>MF</v>
      </c>
      <c r="G64" s="3">
        <v>24</v>
      </c>
      <c r="H6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64" s="3">
        <v>32</v>
      </c>
      <c r="J64" s="3">
        <v>26</v>
      </c>
      <c r="K64" s="2">
        <v>1916</v>
      </c>
      <c r="L64" s="2" t="str">
        <f>IF(premier_player_23_24[[#This Row],[Minutes]]&gt;1000,"More than 1000 minutes","Less than 1000 minutes")</f>
        <v>More than 1000 minutes</v>
      </c>
      <c r="M64" s="2">
        <v>21.3</v>
      </c>
      <c r="N64" s="3">
        <v>7</v>
      </c>
      <c r="O64" s="3">
        <v>1</v>
      </c>
      <c r="P64" s="3">
        <v>8</v>
      </c>
      <c r="Q64" s="3">
        <v>7</v>
      </c>
      <c r="R64" s="3">
        <v>0</v>
      </c>
      <c r="S64" s="3">
        <v>0</v>
      </c>
      <c r="T64" s="2">
        <v>5</v>
      </c>
      <c r="U64" s="2">
        <v>0</v>
      </c>
      <c r="V64" s="2">
        <v>6.2</v>
      </c>
      <c r="W64" s="2">
        <f>premier_player_23_24[[#This Row],[Goals]]-premier_player_23_24[[#This Row],[Expected Goals ]]</f>
        <v>0.79999999999999982</v>
      </c>
      <c r="X64" s="2">
        <v>6.2</v>
      </c>
      <c r="Y64" s="2">
        <v>1.9</v>
      </c>
      <c r="Z64" s="2">
        <v>8.1</v>
      </c>
      <c r="AA64" s="3">
        <v>65</v>
      </c>
      <c r="AB64" s="3">
        <v>50</v>
      </c>
      <c r="AC64" s="3">
        <v>114</v>
      </c>
      <c r="AD64" s="1">
        <v>0.33</v>
      </c>
      <c r="AE64" s="1">
        <v>0.05</v>
      </c>
      <c r="AF64" s="1">
        <v>0.38</v>
      </c>
      <c r="AG64" s="1">
        <v>0.33</v>
      </c>
      <c r="AH64" s="1">
        <v>0.38</v>
      </c>
      <c r="AI64" s="1">
        <v>0.28999999999999998</v>
      </c>
      <c r="AJ64" s="1">
        <v>0.09</v>
      </c>
      <c r="AK64" s="1">
        <v>0.38</v>
      </c>
      <c r="AL64" s="1">
        <v>0.28999999999999998</v>
      </c>
      <c r="AM64" s="1">
        <v>0.38</v>
      </c>
      <c r="AN64" t="s">
        <v>1286</v>
      </c>
    </row>
    <row r="65" spans="1:40" x14ac:dyDescent="0.25">
      <c r="A65" t="s">
        <v>1299</v>
      </c>
      <c r="B65" t="s">
        <v>85</v>
      </c>
      <c r="C65" s="4" t="s">
        <v>1778</v>
      </c>
      <c r="D65" t="s">
        <v>1779</v>
      </c>
      <c r="E65" t="s">
        <v>108</v>
      </c>
      <c r="F65" t="str">
        <f>LEFT(premier_player_23_24[[#This Row],[Position]],2)</f>
        <v>DF</v>
      </c>
      <c r="G65" s="3">
        <v>26</v>
      </c>
      <c r="H6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65" s="3">
        <v>31</v>
      </c>
      <c r="J65" s="3">
        <v>26</v>
      </c>
      <c r="K65" s="2">
        <v>2242</v>
      </c>
      <c r="L65" s="2" t="str">
        <f>IF(premier_player_23_24[[#This Row],[Minutes]]&gt;1000,"More than 1000 minutes","Less than 1000 minutes")</f>
        <v>More than 1000 minutes</v>
      </c>
      <c r="M65" s="2">
        <v>24.9</v>
      </c>
      <c r="N65" s="3">
        <v>4</v>
      </c>
      <c r="O65" s="3">
        <v>5</v>
      </c>
      <c r="P65" s="3">
        <v>9</v>
      </c>
      <c r="Q65" s="3">
        <v>4</v>
      </c>
      <c r="R65" s="3">
        <v>0</v>
      </c>
      <c r="S65" s="3">
        <v>0</v>
      </c>
      <c r="T65" s="2">
        <v>13</v>
      </c>
      <c r="U65" s="2">
        <v>0</v>
      </c>
      <c r="V65" s="2">
        <v>2</v>
      </c>
      <c r="W65" s="2">
        <f>premier_player_23_24[[#This Row],[Goals]]-premier_player_23_24[[#This Row],[Expected Goals ]]</f>
        <v>2</v>
      </c>
      <c r="X65" s="2">
        <v>2</v>
      </c>
      <c r="Y65" s="2">
        <v>1.7</v>
      </c>
      <c r="Z65" s="2">
        <v>3.7</v>
      </c>
      <c r="AA65" s="3">
        <v>31</v>
      </c>
      <c r="AB65" s="3">
        <v>127</v>
      </c>
      <c r="AC65" s="3">
        <v>4</v>
      </c>
      <c r="AD65" s="1">
        <v>0.16</v>
      </c>
      <c r="AE65" s="1">
        <v>0.2</v>
      </c>
      <c r="AF65" s="1">
        <v>0.36</v>
      </c>
      <c r="AG65" s="1">
        <v>0.16</v>
      </c>
      <c r="AH65" s="1">
        <v>0.36</v>
      </c>
      <c r="AI65" s="1">
        <v>0.08</v>
      </c>
      <c r="AJ65" s="1">
        <v>7.0000000000000007E-2</v>
      </c>
      <c r="AK65" s="1">
        <v>0.15</v>
      </c>
      <c r="AL65" s="1">
        <v>0.08</v>
      </c>
      <c r="AM65" s="1">
        <v>0.15</v>
      </c>
      <c r="AN65" t="s">
        <v>1286</v>
      </c>
    </row>
    <row r="66" spans="1:40" x14ac:dyDescent="0.25">
      <c r="A66" t="s">
        <v>1307</v>
      </c>
      <c r="B66" t="s">
        <v>57</v>
      </c>
      <c r="C66" s="4" t="s">
        <v>1744</v>
      </c>
      <c r="D66" t="s">
        <v>1745</v>
      </c>
      <c r="E66" t="s">
        <v>137</v>
      </c>
      <c r="F66" t="str">
        <f>LEFT(premier_player_23_24[[#This Row],[Position]],2)</f>
        <v>FW</v>
      </c>
      <c r="G66" s="3">
        <v>24</v>
      </c>
      <c r="H6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66" s="3">
        <v>30</v>
      </c>
      <c r="J66" s="3">
        <v>25</v>
      </c>
      <c r="K66" s="2">
        <v>2118</v>
      </c>
      <c r="L66" s="2" t="str">
        <f>IF(premier_player_23_24[[#This Row],[Minutes]]&gt;1000,"More than 1000 minutes","Less than 1000 minutes")</f>
        <v>More than 1000 minutes</v>
      </c>
      <c r="M66" s="2">
        <v>23.5</v>
      </c>
      <c r="N66" s="3">
        <v>3</v>
      </c>
      <c r="O66" s="3">
        <v>4</v>
      </c>
      <c r="P66" s="3">
        <v>7</v>
      </c>
      <c r="Q66" s="3">
        <v>3</v>
      </c>
      <c r="R66" s="3">
        <v>0</v>
      </c>
      <c r="S66" s="3">
        <v>0</v>
      </c>
      <c r="T66" s="2">
        <v>3</v>
      </c>
      <c r="U66" s="2">
        <v>0</v>
      </c>
      <c r="V66" s="2">
        <v>3.9</v>
      </c>
      <c r="W66" s="2">
        <f>premier_player_23_24[[#This Row],[Goals]]-premier_player_23_24[[#This Row],[Expected Goals ]]</f>
        <v>-0.89999999999999991</v>
      </c>
      <c r="X66" s="2">
        <v>3.9</v>
      </c>
      <c r="Y66" s="2">
        <v>5.2</v>
      </c>
      <c r="Z66" s="2">
        <v>9.1</v>
      </c>
      <c r="AA66" s="3">
        <v>79</v>
      </c>
      <c r="AB66" s="3">
        <v>84</v>
      </c>
      <c r="AC66" s="3">
        <v>171</v>
      </c>
      <c r="AD66" s="1">
        <v>0.13</v>
      </c>
      <c r="AE66" s="1">
        <v>0.17</v>
      </c>
      <c r="AF66" s="1">
        <v>0.3</v>
      </c>
      <c r="AG66" s="1">
        <v>0.13</v>
      </c>
      <c r="AH66" s="1">
        <v>0.3</v>
      </c>
      <c r="AI66" s="1">
        <v>0.17</v>
      </c>
      <c r="AJ66" s="1">
        <v>0.22</v>
      </c>
      <c r="AK66" s="1">
        <v>0.39</v>
      </c>
      <c r="AL66" s="1">
        <v>0.17</v>
      </c>
      <c r="AM66" s="1">
        <v>0.39</v>
      </c>
      <c r="AN66" t="s">
        <v>1286</v>
      </c>
    </row>
    <row r="67" spans="1:40" x14ac:dyDescent="0.25">
      <c r="A67" t="s">
        <v>1319</v>
      </c>
      <c r="B67" t="s">
        <v>804</v>
      </c>
      <c r="C67" s="4" t="s">
        <v>1788</v>
      </c>
      <c r="D67" t="s">
        <v>1789</v>
      </c>
      <c r="E67" t="s">
        <v>36</v>
      </c>
      <c r="F67" t="str">
        <f>LEFT(premier_player_23_24[[#This Row],[Position]],2)</f>
        <v>MF</v>
      </c>
      <c r="G67" s="3">
        <v>27</v>
      </c>
      <c r="H6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67" s="3">
        <v>29</v>
      </c>
      <c r="J67" s="3">
        <v>13</v>
      </c>
      <c r="K67" s="2">
        <v>1398</v>
      </c>
      <c r="L67" s="2" t="str">
        <f>IF(premier_player_23_24[[#This Row],[Minutes]]&gt;1000,"More than 1000 minutes","Less than 1000 minutes")</f>
        <v>More than 1000 minutes</v>
      </c>
      <c r="M67" s="2">
        <v>15.5</v>
      </c>
      <c r="N67" s="3">
        <v>2</v>
      </c>
      <c r="O67" s="3">
        <v>2</v>
      </c>
      <c r="P67" s="3">
        <v>4</v>
      </c>
      <c r="Q67" s="3">
        <v>2</v>
      </c>
      <c r="R67" s="3">
        <v>0</v>
      </c>
      <c r="S67" s="3">
        <v>0</v>
      </c>
      <c r="T67" s="2">
        <v>3</v>
      </c>
      <c r="U67" s="2">
        <v>1</v>
      </c>
      <c r="V67" s="2">
        <v>2.5</v>
      </c>
      <c r="W67" s="2">
        <f>premier_player_23_24[[#This Row],[Goals]]-premier_player_23_24[[#This Row],[Expected Goals ]]</f>
        <v>-0.5</v>
      </c>
      <c r="X67" s="2">
        <v>2.5</v>
      </c>
      <c r="Y67" s="2">
        <v>3.2</v>
      </c>
      <c r="Z67" s="2">
        <v>5.7</v>
      </c>
      <c r="AA67" s="3">
        <v>22</v>
      </c>
      <c r="AB67" s="3">
        <v>53</v>
      </c>
      <c r="AC67" s="3">
        <v>63</v>
      </c>
      <c r="AD67" s="1">
        <v>0.13</v>
      </c>
      <c r="AE67" s="1">
        <v>0.13</v>
      </c>
      <c r="AF67" s="1">
        <v>0.26</v>
      </c>
      <c r="AG67" s="1">
        <v>0.13</v>
      </c>
      <c r="AH67" s="1">
        <v>0.26</v>
      </c>
      <c r="AI67" s="1">
        <v>0.16</v>
      </c>
      <c r="AJ67" s="1">
        <v>0.21</v>
      </c>
      <c r="AK67" s="1">
        <v>0.36</v>
      </c>
      <c r="AL67" s="1">
        <v>0.16</v>
      </c>
      <c r="AM67" s="1">
        <v>0.36</v>
      </c>
      <c r="AN67" t="s">
        <v>1286</v>
      </c>
    </row>
    <row r="68" spans="1:40" x14ac:dyDescent="0.25">
      <c r="A68" t="s">
        <v>1324</v>
      </c>
      <c r="B68" t="s">
        <v>978</v>
      </c>
      <c r="C68" s="4" t="s">
        <v>1782</v>
      </c>
      <c r="D68" t="s">
        <v>1783</v>
      </c>
      <c r="E68" t="s">
        <v>709</v>
      </c>
      <c r="F68" t="str">
        <f>LEFT(premier_player_23_24[[#This Row],[Position]],2)</f>
        <v>FW</v>
      </c>
      <c r="G68" s="3">
        <v>21</v>
      </c>
      <c r="H6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68" s="3">
        <v>30</v>
      </c>
      <c r="J68" s="3">
        <v>12</v>
      </c>
      <c r="K68" s="2">
        <v>1229</v>
      </c>
      <c r="L68" s="2" t="str">
        <f>IF(premier_player_23_24[[#This Row],[Minutes]]&gt;1000,"More than 1000 minutes","Less than 1000 minutes")</f>
        <v>More than 1000 minutes</v>
      </c>
      <c r="M68" s="2">
        <v>13.7</v>
      </c>
      <c r="N68" s="3">
        <v>1</v>
      </c>
      <c r="O68" s="3">
        <v>2</v>
      </c>
      <c r="P68" s="3">
        <v>3</v>
      </c>
      <c r="Q68" s="3">
        <v>1</v>
      </c>
      <c r="R68" s="3">
        <v>0</v>
      </c>
      <c r="S68" s="3">
        <v>0</v>
      </c>
      <c r="T68" s="2">
        <v>3</v>
      </c>
      <c r="U68" s="2">
        <v>0</v>
      </c>
      <c r="V68" s="2">
        <v>2.6</v>
      </c>
      <c r="W68" s="2">
        <f>premier_player_23_24[[#This Row],[Goals]]-premier_player_23_24[[#This Row],[Expected Goals ]]</f>
        <v>-1.6</v>
      </c>
      <c r="X68" s="2">
        <v>2.6</v>
      </c>
      <c r="Y68" s="2">
        <v>1.5</v>
      </c>
      <c r="Z68" s="2">
        <v>4.0999999999999996</v>
      </c>
      <c r="AA68" s="3">
        <v>47</v>
      </c>
      <c r="AB68" s="3">
        <v>35</v>
      </c>
      <c r="AC68" s="3">
        <v>90</v>
      </c>
      <c r="AD68" s="1">
        <v>7.0000000000000007E-2</v>
      </c>
      <c r="AE68" s="1">
        <v>0.15</v>
      </c>
      <c r="AF68" s="1">
        <v>0.22</v>
      </c>
      <c r="AG68" s="1">
        <v>7.0000000000000007E-2</v>
      </c>
      <c r="AH68" s="1">
        <v>0.22</v>
      </c>
      <c r="AI68" s="1">
        <v>0.19</v>
      </c>
      <c r="AJ68" s="1">
        <v>0.11</v>
      </c>
      <c r="AK68" s="1">
        <v>0.3</v>
      </c>
      <c r="AL68" s="1">
        <v>0.19</v>
      </c>
      <c r="AM68" s="1">
        <v>0.3</v>
      </c>
      <c r="AN68" t="s">
        <v>1286</v>
      </c>
    </row>
    <row r="69" spans="1:40" x14ac:dyDescent="0.25">
      <c r="A69" t="s">
        <v>1326</v>
      </c>
      <c r="B69" t="s">
        <v>57</v>
      </c>
      <c r="C69" s="4" t="s">
        <v>1744</v>
      </c>
      <c r="D69" t="s">
        <v>1745</v>
      </c>
      <c r="E69" t="s">
        <v>36</v>
      </c>
      <c r="F69" t="str">
        <f>LEFT(premier_player_23_24[[#This Row],[Position]],2)</f>
        <v>MF</v>
      </c>
      <c r="G69" s="3">
        <v>19</v>
      </c>
      <c r="H6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69" s="3">
        <v>23</v>
      </c>
      <c r="J69" s="3">
        <v>11</v>
      </c>
      <c r="K69" s="2">
        <v>1014</v>
      </c>
      <c r="L69" s="2" t="str">
        <f>IF(premier_player_23_24[[#This Row],[Minutes]]&gt;1000,"More than 1000 minutes","Less than 1000 minutes")</f>
        <v>More than 1000 minutes</v>
      </c>
      <c r="M69" s="2">
        <v>11.3</v>
      </c>
      <c r="N69" s="3">
        <v>1</v>
      </c>
      <c r="O69" s="3">
        <v>1</v>
      </c>
      <c r="P69" s="3">
        <v>2</v>
      </c>
      <c r="Q69" s="3">
        <v>1</v>
      </c>
      <c r="R69" s="3">
        <v>0</v>
      </c>
      <c r="S69" s="3">
        <v>0</v>
      </c>
      <c r="T69" s="2">
        <v>3</v>
      </c>
      <c r="U69" s="2">
        <v>0</v>
      </c>
      <c r="V69" s="2">
        <v>0.7</v>
      </c>
      <c r="W69" s="2">
        <f>premier_player_23_24[[#This Row],[Goals]]-premier_player_23_24[[#This Row],[Expected Goals ]]</f>
        <v>0.30000000000000004</v>
      </c>
      <c r="X69" s="2">
        <v>0.7</v>
      </c>
      <c r="Y69" s="2">
        <v>1.7</v>
      </c>
      <c r="Z69" s="2">
        <v>2.4</v>
      </c>
      <c r="AA69" s="3">
        <v>24</v>
      </c>
      <c r="AB69" s="3">
        <v>50</v>
      </c>
      <c r="AC69" s="3">
        <v>35</v>
      </c>
      <c r="AD69" s="1">
        <v>0.09</v>
      </c>
      <c r="AE69" s="1">
        <v>0.09</v>
      </c>
      <c r="AF69" s="1">
        <v>0.18</v>
      </c>
      <c r="AG69" s="1">
        <v>0.09</v>
      </c>
      <c r="AH69" s="1">
        <v>0.18</v>
      </c>
      <c r="AI69" s="1">
        <v>0.06</v>
      </c>
      <c r="AJ69" s="1">
        <v>0.15</v>
      </c>
      <c r="AK69" s="1">
        <v>0.22</v>
      </c>
      <c r="AL69" s="1">
        <v>0.06</v>
      </c>
      <c r="AM69" s="1">
        <v>0.22</v>
      </c>
      <c r="AN69" t="s">
        <v>1286</v>
      </c>
    </row>
    <row r="70" spans="1:40" x14ac:dyDescent="0.25">
      <c r="A70" t="s">
        <v>1291</v>
      </c>
      <c r="B70" t="s">
        <v>360</v>
      </c>
      <c r="C70" s="4" t="s">
        <v>1776</v>
      </c>
      <c r="D70" t="s">
        <v>1777</v>
      </c>
      <c r="E70" t="s">
        <v>36</v>
      </c>
      <c r="F70" t="str">
        <f>LEFT(premier_player_23_24[[#This Row],[Position]],2)</f>
        <v>MF</v>
      </c>
      <c r="G70" s="3">
        <v>28</v>
      </c>
      <c r="H7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70" s="3">
        <v>37</v>
      </c>
      <c r="J70" s="3">
        <v>35</v>
      </c>
      <c r="K70" s="2">
        <v>2907</v>
      </c>
      <c r="L70" s="2" t="str">
        <f>IF(premier_player_23_24[[#This Row],[Minutes]]&gt;1000,"More than 1000 minutes","Less than 1000 minutes")</f>
        <v>More than 1000 minutes</v>
      </c>
      <c r="M70" s="2">
        <v>32.299999999999997</v>
      </c>
      <c r="N70" s="3">
        <v>0</v>
      </c>
      <c r="O70" s="3">
        <v>5</v>
      </c>
      <c r="P70" s="3">
        <v>5</v>
      </c>
      <c r="Q70" s="3">
        <v>0</v>
      </c>
      <c r="R70" s="3">
        <v>0</v>
      </c>
      <c r="S70" s="3">
        <v>0</v>
      </c>
      <c r="T70" s="2">
        <v>6</v>
      </c>
      <c r="U70" s="2">
        <v>0</v>
      </c>
      <c r="V70" s="2">
        <v>2.2999999999999998</v>
      </c>
      <c r="W70" s="2">
        <f>premier_player_23_24[[#This Row],[Goals]]-premier_player_23_24[[#This Row],[Expected Goals ]]</f>
        <v>-2.2999999999999998</v>
      </c>
      <c r="X70" s="2">
        <v>2.2999999999999998</v>
      </c>
      <c r="Y70" s="2">
        <v>5.4</v>
      </c>
      <c r="Z70" s="2">
        <v>7.7</v>
      </c>
      <c r="AA70" s="3">
        <v>60</v>
      </c>
      <c r="AB70" s="3">
        <v>167</v>
      </c>
      <c r="AC70" s="3">
        <v>78</v>
      </c>
      <c r="AD70" s="1">
        <v>0</v>
      </c>
      <c r="AE70" s="1">
        <v>0.15</v>
      </c>
      <c r="AF70" s="1">
        <v>0.15</v>
      </c>
      <c r="AG70" s="1">
        <v>0</v>
      </c>
      <c r="AH70" s="1">
        <v>0.15</v>
      </c>
      <c r="AI70" s="1">
        <v>7.0000000000000007E-2</v>
      </c>
      <c r="AJ70" s="1">
        <v>0.17</v>
      </c>
      <c r="AK70" s="1">
        <v>0.24</v>
      </c>
      <c r="AL70" s="1">
        <v>7.0000000000000007E-2</v>
      </c>
      <c r="AM70" s="1">
        <v>0.24</v>
      </c>
      <c r="AN70" t="s">
        <v>1286</v>
      </c>
    </row>
    <row r="71" spans="1:40" x14ac:dyDescent="0.25">
      <c r="A71" t="s">
        <v>1330</v>
      </c>
      <c r="B71" t="s">
        <v>432</v>
      </c>
      <c r="C71" s="4" t="s">
        <v>1786</v>
      </c>
      <c r="D71" t="s">
        <v>1787</v>
      </c>
      <c r="E71" t="s">
        <v>108</v>
      </c>
      <c r="F71" t="str">
        <f>LEFT(premier_player_23_24[[#This Row],[Position]],2)</f>
        <v>DF</v>
      </c>
      <c r="G71" s="3">
        <v>25</v>
      </c>
      <c r="H7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71" s="3">
        <v>10</v>
      </c>
      <c r="J71" s="3">
        <v>6</v>
      </c>
      <c r="K71" s="2">
        <v>617</v>
      </c>
      <c r="L71" s="2" t="str">
        <f>IF(premier_player_23_24[[#This Row],[Minutes]]&gt;1000,"More than 1000 minutes","Less than 1000 minutes")</f>
        <v>Less than 1000 minutes</v>
      </c>
      <c r="M71" s="2">
        <v>6.9</v>
      </c>
      <c r="N71" s="3">
        <v>0</v>
      </c>
      <c r="O71" s="3">
        <v>1</v>
      </c>
      <c r="P71" s="3">
        <v>1</v>
      </c>
      <c r="Q71" s="3">
        <v>0</v>
      </c>
      <c r="R71" s="3">
        <v>0</v>
      </c>
      <c r="S71" s="3">
        <v>0</v>
      </c>
      <c r="T71" s="2">
        <v>2</v>
      </c>
      <c r="U71" s="2">
        <v>0</v>
      </c>
      <c r="V71" s="2">
        <v>0.1</v>
      </c>
      <c r="W71" s="2">
        <f>premier_player_23_24[[#This Row],[Goals]]-premier_player_23_24[[#This Row],[Expected Goals ]]</f>
        <v>-0.1</v>
      </c>
      <c r="X71" s="2">
        <v>0.1</v>
      </c>
      <c r="Y71" s="2">
        <v>0.4</v>
      </c>
      <c r="Z71" s="2">
        <v>0.5</v>
      </c>
      <c r="AA71" s="3">
        <v>4</v>
      </c>
      <c r="AB71" s="3">
        <v>25</v>
      </c>
      <c r="AC71" s="3">
        <v>1</v>
      </c>
      <c r="AD71" s="1">
        <v>0</v>
      </c>
      <c r="AE71" s="1">
        <v>0.15</v>
      </c>
      <c r="AF71" s="1">
        <v>0.15</v>
      </c>
      <c r="AG71" s="1">
        <v>0</v>
      </c>
      <c r="AH71" s="1">
        <v>0.15</v>
      </c>
      <c r="AI71" s="1">
        <v>0.01</v>
      </c>
      <c r="AJ71" s="1">
        <v>0.06</v>
      </c>
      <c r="AK71" s="1">
        <v>7.0000000000000007E-2</v>
      </c>
      <c r="AL71" s="1">
        <v>0.01</v>
      </c>
      <c r="AM71" s="1">
        <v>7.0000000000000007E-2</v>
      </c>
      <c r="AN71" t="s">
        <v>1286</v>
      </c>
    </row>
    <row r="72" spans="1:40" x14ac:dyDescent="0.25">
      <c r="A72" t="s">
        <v>1296</v>
      </c>
      <c r="B72" t="s">
        <v>57</v>
      </c>
      <c r="C72" s="4" t="s">
        <v>1744</v>
      </c>
      <c r="D72" t="s">
        <v>1745</v>
      </c>
      <c r="E72" t="s">
        <v>36</v>
      </c>
      <c r="F72" t="str">
        <f>LEFT(premier_player_23_24[[#This Row],[Position]],2)</f>
        <v>MF</v>
      </c>
      <c r="G72" s="3">
        <v>26</v>
      </c>
      <c r="H7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72" s="3">
        <v>33</v>
      </c>
      <c r="J72" s="3">
        <v>32</v>
      </c>
      <c r="K72" s="2">
        <v>2786</v>
      </c>
      <c r="L72" s="2" t="str">
        <f>IF(premier_player_23_24[[#This Row],[Minutes]]&gt;1000,"More than 1000 minutes","Less than 1000 minutes")</f>
        <v>More than 1000 minutes</v>
      </c>
      <c r="M72" s="2">
        <v>31</v>
      </c>
      <c r="N72" s="3">
        <v>0</v>
      </c>
      <c r="O72" s="3">
        <v>3</v>
      </c>
      <c r="P72" s="3">
        <v>3</v>
      </c>
      <c r="Q72" s="3">
        <v>0</v>
      </c>
      <c r="R72" s="3">
        <v>0</v>
      </c>
      <c r="S72" s="3">
        <v>0</v>
      </c>
      <c r="T72" s="2">
        <v>5</v>
      </c>
      <c r="U72" s="2">
        <v>1</v>
      </c>
      <c r="V72" s="2">
        <v>0.4</v>
      </c>
      <c r="W72" s="2">
        <f>premier_player_23_24[[#This Row],[Goals]]-premier_player_23_24[[#This Row],[Expected Goals ]]</f>
        <v>-0.4</v>
      </c>
      <c r="X72" s="2">
        <v>0.4</v>
      </c>
      <c r="Y72" s="2">
        <v>4.3</v>
      </c>
      <c r="Z72" s="2">
        <v>4.5999999999999996</v>
      </c>
      <c r="AA72" s="3">
        <v>22</v>
      </c>
      <c r="AB72" s="3">
        <v>142</v>
      </c>
      <c r="AC72" s="3">
        <v>15</v>
      </c>
      <c r="AD72" s="1">
        <v>0</v>
      </c>
      <c r="AE72" s="1">
        <v>0.1</v>
      </c>
      <c r="AF72" s="1">
        <v>0.1</v>
      </c>
      <c r="AG72" s="1">
        <v>0</v>
      </c>
      <c r="AH72" s="1">
        <v>0.1</v>
      </c>
      <c r="AI72" s="1">
        <v>0.01</v>
      </c>
      <c r="AJ72" s="1">
        <v>0.14000000000000001</v>
      </c>
      <c r="AK72" s="1">
        <v>0.15</v>
      </c>
      <c r="AL72" s="1">
        <v>0.01</v>
      </c>
      <c r="AM72" s="1">
        <v>0.15</v>
      </c>
      <c r="AN72" t="s">
        <v>1286</v>
      </c>
    </row>
    <row r="73" spans="1:40" x14ac:dyDescent="0.25">
      <c r="A73" t="s">
        <v>1305</v>
      </c>
      <c r="B73" t="s">
        <v>57</v>
      </c>
      <c r="C73" s="4" t="s">
        <v>1744</v>
      </c>
      <c r="D73" t="s">
        <v>1745</v>
      </c>
      <c r="E73" t="s">
        <v>108</v>
      </c>
      <c r="F73" t="str">
        <f>LEFT(premier_player_23_24[[#This Row],[Position]],2)</f>
        <v>DF</v>
      </c>
      <c r="G73" s="3">
        <v>32</v>
      </c>
      <c r="H7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73" s="3">
        <v>28</v>
      </c>
      <c r="J73" s="3">
        <v>25</v>
      </c>
      <c r="K73" s="2">
        <v>2150</v>
      </c>
      <c r="L73" s="2" t="str">
        <f>IF(premier_player_23_24[[#This Row],[Minutes]]&gt;1000,"More than 1000 minutes","Less than 1000 minutes")</f>
        <v>More than 1000 minutes</v>
      </c>
      <c r="M73" s="2">
        <v>23.9</v>
      </c>
      <c r="N73" s="3">
        <v>0</v>
      </c>
      <c r="O73" s="3">
        <v>2</v>
      </c>
      <c r="P73" s="3">
        <v>2</v>
      </c>
      <c r="Q73" s="3">
        <v>0</v>
      </c>
      <c r="R73" s="3">
        <v>0</v>
      </c>
      <c r="S73" s="3">
        <v>0</v>
      </c>
      <c r="T73" s="2">
        <v>6</v>
      </c>
      <c r="U73" s="2">
        <v>0</v>
      </c>
      <c r="V73" s="2">
        <v>0.1</v>
      </c>
      <c r="W73" s="2">
        <f>premier_player_23_24[[#This Row],[Goals]]-premier_player_23_24[[#This Row],[Expected Goals ]]</f>
        <v>-0.1</v>
      </c>
      <c r="X73" s="2">
        <v>0.1</v>
      </c>
      <c r="Y73" s="2">
        <v>1.3</v>
      </c>
      <c r="Z73" s="2">
        <v>1.4</v>
      </c>
      <c r="AA73" s="3">
        <v>24</v>
      </c>
      <c r="AB73" s="3">
        <v>89</v>
      </c>
      <c r="AC73" s="3">
        <v>28</v>
      </c>
      <c r="AD73" s="1">
        <v>0</v>
      </c>
      <c r="AE73" s="1">
        <v>0.08</v>
      </c>
      <c r="AF73" s="1">
        <v>0.08</v>
      </c>
      <c r="AG73" s="1">
        <v>0</v>
      </c>
      <c r="AH73" s="1">
        <v>0.08</v>
      </c>
      <c r="AI73" s="1">
        <v>0</v>
      </c>
      <c r="AJ73" s="1">
        <v>0.05</v>
      </c>
      <c r="AK73" s="1">
        <v>0.06</v>
      </c>
      <c r="AL73" s="1">
        <v>0</v>
      </c>
      <c r="AM73" s="1">
        <v>0.06</v>
      </c>
      <c r="AN73" t="s">
        <v>1286</v>
      </c>
    </row>
    <row r="74" spans="1:40" x14ac:dyDescent="0.25">
      <c r="A74" t="s">
        <v>1321</v>
      </c>
      <c r="B74" t="s">
        <v>57</v>
      </c>
      <c r="C74" s="4" t="s">
        <v>1744</v>
      </c>
      <c r="D74" t="s">
        <v>1745</v>
      </c>
      <c r="E74" t="s">
        <v>108</v>
      </c>
      <c r="F74" t="str">
        <f>LEFT(premier_player_23_24[[#This Row],[Position]],2)</f>
        <v>DF</v>
      </c>
      <c r="G74" s="3">
        <v>23</v>
      </c>
      <c r="H7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74" s="3">
        <v>20</v>
      </c>
      <c r="J74" s="3">
        <v>13</v>
      </c>
      <c r="K74" s="2">
        <v>1237</v>
      </c>
      <c r="L74" s="2" t="str">
        <f>IF(premier_player_23_24[[#This Row],[Minutes]]&gt;1000,"More than 1000 minutes","Less than 1000 minutes")</f>
        <v>More than 1000 minutes</v>
      </c>
      <c r="M74" s="2">
        <v>13.7</v>
      </c>
      <c r="N74" s="3">
        <v>0</v>
      </c>
      <c r="O74" s="3">
        <v>1</v>
      </c>
      <c r="P74" s="3">
        <v>1</v>
      </c>
      <c r="Q74" s="3">
        <v>0</v>
      </c>
      <c r="R74" s="3">
        <v>0</v>
      </c>
      <c r="S74" s="3">
        <v>0</v>
      </c>
      <c r="T74" s="2">
        <v>1</v>
      </c>
      <c r="U74" s="2">
        <v>0</v>
      </c>
      <c r="V74" s="2">
        <v>0</v>
      </c>
      <c r="W74" s="2">
        <f>premier_player_23_24[[#This Row],[Goals]]-premier_player_23_24[[#This Row],[Expected Goals ]]</f>
        <v>0</v>
      </c>
      <c r="X74" s="2">
        <v>0</v>
      </c>
      <c r="Y74" s="2">
        <v>0.8</v>
      </c>
      <c r="Z74" s="2">
        <v>0.9</v>
      </c>
      <c r="AA74" s="3">
        <v>22</v>
      </c>
      <c r="AB74" s="3">
        <v>43</v>
      </c>
      <c r="AC74" s="3">
        <v>26</v>
      </c>
      <c r="AD74" s="1">
        <v>0</v>
      </c>
      <c r="AE74" s="1">
        <v>7.0000000000000007E-2</v>
      </c>
      <c r="AF74" s="1">
        <v>7.0000000000000007E-2</v>
      </c>
      <c r="AG74" s="1">
        <v>0</v>
      </c>
      <c r="AH74" s="1">
        <v>7.0000000000000007E-2</v>
      </c>
      <c r="AI74" s="1">
        <v>0</v>
      </c>
      <c r="AJ74" s="1">
        <v>0.06</v>
      </c>
      <c r="AK74" s="1">
        <v>0.06</v>
      </c>
      <c r="AL74" s="1">
        <v>0</v>
      </c>
      <c r="AM74" s="1">
        <v>0.06</v>
      </c>
      <c r="AN74" t="s">
        <v>1286</v>
      </c>
    </row>
    <row r="75" spans="1:40" x14ac:dyDescent="0.25">
      <c r="A75" t="s">
        <v>1317</v>
      </c>
      <c r="B75" t="s">
        <v>57</v>
      </c>
      <c r="C75" s="4" t="s">
        <v>1744</v>
      </c>
      <c r="D75" t="s">
        <v>1745</v>
      </c>
      <c r="E75" t="s">
        <v>108</v>
      </c>
      <c r="F75" t="str">
        <f>LEFT(premier_player_23_24[[#This Row],[Position]],2)</f>
        <v>DF</v>
      </c>
      <c r="G75" s="3">
        <v>24</v>
      </c>
      <c r="H7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75" s="3">
        <v>23</v>
      </c>
      <c r="J75" s="3">
        <v>17</v>
      </c>
      <c r="K75" s="2">
        <v>1559</v>
      </c>
      <c r="L75" s="2" t="str">
        <f>IF(premier_player_23_24[[#This Row],[Minutes]]&gt;1000,"More than 1000 minutes","Less than 1000 minutes")</f>
        <v>More than 1000 minutes</v>
      </c>
      <c r="M75" s="2">
        <v>17.3</v>
      </c>
      <c r="N75" s="3">
        <v>0</v>
      </c>
      <c r="O75" s="3">
        <v>1</v>
      </c>
      <c r="P75" s="3">
        <v>1</v>
      </c>
      <c r="Q75" s="3">
        <v>0</v>
      </c>
      <c r="R75" s="3">
        <v>0</v>
      </c>
      <c r="S75" s="3">
        <v>0</v>
      </c>
      <c r="T75" s="2">
        <v>2</v>
      </c>
      <c r="U75" s="2">
        <v>0</v>
      </c>
      <c r="V75" s="2">
        <v>0.3</v>
      </c>
      <c r="W75" s="2">
        <f>premier_player_23_24[[#This Row],[Goals]]-premier_player_23_24[[#This Row],[Expected Goals ]]</f>
        <v>-0.3</v>
      </c>
      <c r="X75" s="2">
        <v>0.3</v>
      </c>
      <c r="Y75" s="2">
        <v>1.2</v>
      </c>
      <c r="Z75" s="2">
        <v>1.6</v>
      </c>
      <c r="AA75" s="3">
        <v>15</v>
      </c>
      <c r="AB75" s="3">
        <v>56</v>
      </c>
      <c r="AC75" s="3">
        <v>28</v>
      </c>
      <c r="AD75" s="1">
        <v>0</v>
      </c>
      <c r="AE75" s="1">
        <v>0.06</v>
      </c>
      <c r="AF75" s="1">
        <v>0.06</v>
      </c>
      <c r="AG75" s="1">
        <v>0</v>
      </c>
      <c r="AH75" s="1">
        <v>0.06</v>
      </c>
      <c r="AI75" s="1">
        <v>0.02</v>
      </c>
      <c r="AJ75" s="1">
        <v>7.0000000000000007E-2</v>
      </c>
      <c r="AK75" s="1">
        <v>0.09</v>
      </c>
      <c r="AL75" s="1">
        <v>0.02</v>
      </c>
      <c r="AM75" s="1">
        <v>0.09</v>
      </c>
      <c r="AN75" t="s">
        <v>1286</v>
      </c>
    </row>
    <row r="76" spans="1:40" x14ac:dyDescent="0.25">
      <c r="A76" t="s">
        <v>1314</v>
      </c>
      <c r="B76" t="s">
        <v>334</v>
      </c>
      <c r="C76" s="4" t="s">
        <v>1790</v>
      </c>
      <c r="D76" t="s">
        <v>1791</v>
      </c>
      <c r="E76" t="s">
        <v>108</v>
      </c>
      <c r="F76" t="str">
        <f>LEFT(premier_player_23_24[[#This Row],[Position]],2)</f>
        <v>DF</v>
      </c>
      <c r="G76" s="3">
        <v>19</v>
      </c>
      <c r="H7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76" s="3">
        <v>28</v>
      </c>
      <c r="J76" s="3">
        <v>22</v>
      </c>
      <c r="K76" s="2">
        <v>1970</v>
      </c>
      <c r="L76" s="2" t="str">
        <f>IF(premier_player_23_24[[#This Row],[Minutes]]&gt;1000,"More than 1000 minutes","Less than 1000 minutes")</f>
        <v>More than 1000 minutes</v>
      </c>
      <c r="M76" s="2">
        <v>21.9</v>
      </c>
      <c r="N76" s="3">
        <v>0</v>
      </c>
      <c r="O76" s="3">
        <v>1</v>
      </c>
      <c r="P76" s="3">
        <v>1</v>
      </c>
      <c r="Q76" s="3">
        <v>0</v>
      </c>
      <c r="R76" s="3">
        <v>0</v>
      </c>
      <c r="S76" s="3">
        <v>0</v>
      </c>
      <c r="T76" s="2">
        <v>4</v>
      </c>
      <c r="U76" s="2">
        <v>1</v>
      </c>
      <c r="V76" s="2">
        <v>1.2</v>
      </c>
      <c r="W76" s="2">
        <f>premier_player_23_24[[#This Row],[Goals]]-premier_player_23_24[[#This Row],[Expected Goals ]]</f>
        <v>-1.2</v>
      </c>
      <c r="X76" s="2">
        <v>1.2</v>
      </c>
      <c r="Y76" s="2">
        <v>0.8</v>
      </c>
      <c r="Z76" s="2">
        <v>2</v>
      </c>
      <c r="AA76" s="3">
        <v>46</v>
      </c>
      <c r="AB76" s="3">
        <v>44</v>
      </c>
      <c r="AC76" s="3">
        <v>93</v>
      </c>
      <c r="AD76" s="1">
        <v>0</v>
      </c>
      <c r="AE76" s="1">
        <v>0.05</v>
      </c>
      <c r="AF76" s="1">
        <v>0.05</v>
      </c>
      <c r="AG76" s="1">
        <v>0</v>
      </c>
      <c r="AH76" s="1">
        <v>0.05</v>
      </c>
      <c r="AI76" s="1">
        <v>0.06</v>
      </c>
      <c r="AJ76" s="1">
        <v>0.04</v>
      </c>
      <c r="AK76" s="1">
        <v>0.09</v>
      </c>
      <c r="AL76" s="1">
        <v>0.06</v>
      </c>
      <c r="AM76" s="1">
        <v>0.09</v>
      </c>
      <c r="AN76" t="s">
        <v>1286</v>
      </c>
    </row>
    <row r="77" spans="1:40" x14ac:dyDescent="0.25">
      <c r="A77" t="s">
        <v>1284</v>
      </c>
      <c r="B77" t="s">
        <v>493</v>
      </c>
      <c r="C77" s="4" t="s">
        <v>1760</v>
      </c>
      <c r="D77" t="s">
        <v>1761</v>
      </c>
      <c r="E77" t="s">
        <v>108</v>
      </c>
      <c r="F77" t="str">
        <f>LEFT(premier_player_23_24[[#This Row],[Position]],2)</f>
        <v>DF</v>
      </c>
      <c r="G77" s="3">
        <v>20</v>
      </c>
      <c r="H7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77" s="3">
        <v>37</v>
      </c>
      <c r="J77" s="3">
        <v>37</v>
      </c>
      <c r="K77" s="2">
        <v>3330</v>
      </c>
      <c r="L77" s="2" t="str">
        <f>IF(premier_player_23_24[[#This Row],[Minutes]]&gt;1000,"More than 1000 minutes","Less than 1000 minutes")</f>
        <v>More than 1000 minutes</v>
      </c>
      <c r="M77" s="2">
        <v>37</v>
      </c>
      <c r="N77" s="3">
        <v>1</v>
      </c>
      <c r="O77" s="3">
        <v>0</v>
      </c>
      <c r="P77" s="3">
        <v>1</v>
      </c>
      <c r="Q77" s="3">
        <v>1</v>
      </c>
      <c r="R77" s="3">
        <v>0</v>
      </c>
      <c r="S77" s="3">
        <v>0</v>
      </c>
      <c r="T77" s="2">
        <v>5</v>
      </c>
      <c r="U77" s="2">
        <v>0</v>
      </c>
      <c r="V77" s="2">
        <v>1.1000000000000001</v>
      </c>
      <c r="W77" s="2">
        <f>premier_player_23_24[[#This Row],[Goals]]-premier_player_23_24[[#This Row],[Expected Goals ]]</f>
        <v>-0.10000000000000009</v>
      </c>
      <c r="X77" s="2">
        <v>1.1000000000000001</v>
      </c>
      <c r="Y77" s="2">
        <v>0.4</v>
      </c>
      <c r="Z77" s="2">
        <v>1.5</v>
      </c>
      <c r="AA77" s="3">
        <v>24</v>
      </c>
      <c r="AB77" s="3">
        <v>109</v>
      </c>
      <c r="AC77" s="3">
        <v>1</v>
      </c>
      <c r="AD77" s="1">
        <v>0.03</v>
      </c>
      <c r="AE77" s="1">
        <v>0</v>
      </c>
      <c r="AF77" s="1">
        <v>0.03</v>
      </c>
      <c r="AG77" s="1">
        <v>0.03</v>
      </c>
      <c r="AH77" s="1">
        <v>0.03</v>
      </c>
      <c r="AI77" s="1">
        <v>0.03</v>
      </c>
      <c r="AJ77" s="1">
        <v>0.01</v>
      </c>
      <c r="AK77" s="1">
        <v>0.04</v>
      </c>
      <c r="AL77" s="1">
        <v>0.03</v>
      </c>
      <c r="AM77" s="1">
        <v>0.04</v>
      </c>
      <c r="AN77" t="s">
        <v>1286</v>
      </c>
    </row>
    <row r="78" spans="1:40" x14ac:dyDescent="0.25">
      <c r="A78" t="s">
        <v>1295</v>
      </c>
      <c r="B78" t="s">
        <v>76</v>
      </c>
      <c r="C78" s="4" t="s">
        <v>1750</v>
      </c>
      <c r="D78" t="s">
        <v>1751</v>
      </c>
      <c r="E78" t="s">
        <v>77</v>
      </c>
      <c r="F78" t="str">
        <f>LEFT(premier_player_23_24[[#This Row],[Position]],2)</f>
        <v>GK</v>
      </c>
      <c r="G78" s="3">
        <v>34</v>
      </c>
      <c r="H7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78" s="3">
        <v>32</v>
      </c>
      <c r="J78" s="3">
        <v>32</v>
      </c>
      <c r="K78" s="2">
        <v>2880</v>
      </c>
      <c r="L78" s="2" t="str">
        <f>IF(premier_player_23_24[[#This Row],[Minutes]]&gt;1000,"More than 1000 minutes","Less than 1000 minutes")</f>
        <v>More than 1000 minutes</v>
      </c>
      <c r="M78" s="2">
        <v>32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2">
        <v>5</v>
      </c>
      <c r="U78" s="2">
        <v>0</v>
      </c>
      <c r="V78" s="2">
        <v>0</v>
      </c>
      <c r="W78" s="2">
        <f>premier_player_23_24[[#This Row],[Goals]]-premier_player_23_24[[#This Row],[Expected Goals ]]</f>
        <v>0</v>
      </c>
      <c r="X78" s="2">
        <v>0</v>
      </c>
      <c r="Y78" s="2">
        <v>0</v>
      </c>
      <c r="Z78" s="2">
        <v>0</v>
      </c>
      <c r="AA78" s="3">
        <v>0</v>
      </c>
      <c r="AB78" s="3">
        <v>0</v>
      </c>
      <c r="AC78" s="3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t="s">
        <v>1286</v>
      </c>
    </row>
    <row r="79" spans="1:40" x14ac:dyDescent="0.25">
      <c r="A79" t="s">
        <v>1332</v>
      </c>
      <c r="B79" t="s">
        <v>411</v>
      </c>
      <c r="C79" s="4" t="s">
        <v>1792</v>
      </c>
      <c r="D79" t="s">
        <v>1793</v>
      </c>
      <c r="E79" t="s">
        <v>77</v>
      </c>
      <c r="F79" t="str">
        <f>LEFT(premier_player_23_24[[#This Row],[Position]],2)</f>
        <v>GK</v>
      </c>
      <c r="G79" s="3">
        <v>24</v>
      </c>
      <c r="H7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79" s="3">
        <v>4</v>
      </c>
      <c r="J79" s="3">
        <v>4</v>
      </c>
      <c r="K79" s="2">
        <v>360</v>
      </c>
      <c r="L79" s="2" t="str">
        <f>IF(premier_player_23_24[[#This Row],[Minutes]]&gt;1000,"More than 1000 minutes","Less than 1000 minutes")</f>
        <v>Less than 1000 minutes</v>
      </c>
      <c r="M79" s="2">
        <v>4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2">
        <v>0</v>
      </c>
      <c r="U79" s="2">
        <v>0</v>
      </c>
      <c r="V79" s="2">
        <v>0</v>
      </c>
      <c r="W79" s="2">
        <f>premier_player_23_24[[#This Row],[Goals]]-premier_player_23_24[[#This Row],[Expected Goals ]]</f>
        <v>0</v>
      </c>
      <c r="X79" s="2">
        <v>0</v>
      </c>
      <c r="Y79" s="2">
        <v>0</v>
      </c>
      <c r="Z79" s="2">
        <v>0</v>
      </c>
      <c r="AA79" s="3">
        <v>0</v>
      </c>
      <c r="AB79" s="3">
        <v>0</v>
      </c>
      <c r="AC79" s="3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t="s">
        <v>1286</v>
      </c>
    </row>
    <row r="80" spans="1:40" x14ac:dyDescent="0.25">
      <c r="A80" t="s">
        <v>1334</v>
      </c>
      <c r="B80" t="s">
        <v>57</v>
      </c>
      <c r="C80" s="4" t="s">
        <v>1744</v>
      </c>
      <c r="D80" t="s">
        <v>1745</v>
      </c>
      <c r="E80" t="s">
        <v>36</v>
      </c>
      <c r="F80" t="str">
        <f>LEFT(premier_player_23_24[[#This Row],[Position]],2)</f>
        <v>MF</v>
      </c>
      <c r="G80" s="3">
        <v>28</v>
      </c>
      <c r="H8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80" s="3">
        <v>11</v>
      </c>
      <c r="J80" s="3">
        <v>3</v>
      </c>
      <c r="K80" s="2">
        <v>386</v>
      </c>
      <c r="L80" s="2" t="str">
        <f>IF(premier_player_23_24[[#This Row],[Minutes]]&gt;1000,"More than 1000 minutes","Less than 1000 minutes")</f>
        <v>Less than 1000 minutes</v>
      </c>
      <c r="M80" s="2">
        <v>4.3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2">
        <v>0</v>
      </c>
      <c r="U80" s="2">
        <v>0</v>
      </c>
      <c r="V80" s="2">
        <v>0.1</v>
      </c>
      <c r="W80" s="2">
        <f>premier_player_23_24[[#This Row],[Goals]]-premier_player_23_24[[#This Row],[Expected Goals ]]</f>
        <v>-0.1</v>
      </c>
      <c r="X80" s="2">
        <v>0.1</v>
      </c>
      <c r="Y80" s="2">
        <v>0.2</v>
      </c>
      <c r="Z80" s="2">
        <v>0.3</v>
      </c>
      <c r="AA80" s="3">
        <v>6</v>
      </c>
      <c r="AB80" s="3">
        <v>20</v>
      </c>
      <c r="AC80" s="3">
        <v>3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0.02</v>
      </c>
      <c r="AJ80" s="1">
        <v>0.06</v>
      </c>
      <c r="AK80" s="1">
        <v>0.08</v>
      </c>
      <c r="AL80" s="1">
        <v>0.02</v>
      </c>
      <c r="AM80" s="1">
        <v>0.08</v>
      </c>
      <c r="AN80" t="s">
        <v>1286</v>
      </c>
    </row>
    <row r="81" spans="1:40" x14ac:dyDescent="0.25">
      <c r="A81" t="s">
        <v>1342</v>
      </c>
      <c r="B81" t="s">
        <v>813</v>
      </c>
      <c r="C81" s="4" t="s">
        <v>1794</v>
      </c>
      <c r="D81" t="s">
        <v>1795</v>
      </c>
      <c r="E81" t="s">
        <v>77</v>
      </c>
      <c r="F81" t="str">
        <f>LEFT(premier_player_23_24[[#This Row],[Position]],2)</f>
        <v>GK</v>
      </c>
      <c r="G81" s="3">
        <v>26</v>
      </c>
      <c r="H8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81" s="3">
        <v>2</v>
      </c>
      <c r="J81" s="3">
        <v>2</v>
      </c>
      <c r="K81" s="2">
        <v>180</v>
      </c>
      <c r="L81" s="2" t="str">
        <f>IF(premier_player_23_24[[#This Row],[Minutes]]&gt;1000,"More than 1000 minutes","Less than 1000 minutes")</f>
        <v>Less than 1000 minutes</v>
      </c>
      <c r="M81" s="2">
        <v>2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2">
        <v>0</v>
      </c>
      <c r="U81" s="2">
        <v>0</v>
      </c>
      <c r="V81" s="2">
        <v>0</v>
      </c>
      <c r="W81" s="2">
        <f>premier_player_23_24[[#This Row],[Goals]]-premier_player_23_24[[#This Row],[Expected Goals ]]</f>
        <v>0</v>
      </c>
      <c r="X81" s="2">
        <v>0</v>
      </c>
      <c r="Y81" s="2">
        <v>0</v>
      </c>
      <c r="Z81" s="2">
        <v>0</v>
      </c>
      <c r="AA81" s="3">
        <v>0</v>
      </c>
      <c r="AB81" s="3">
        <v>0</v>
      </c>
      <c r="AC81" s="3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t="s">
        <v>1286</v>
      </c>
    </row>
    <row r="82" spans="1:40" x14ac:dyDescent="0.25">
      <c r="A82" t="s">
        <v>1343</v>
      </c>
      <c r="B82" t="s">
        <v>57</v>
      </c>
      <c r="C82" s="4" t="s">
        <v>1744</v>
      </c>
      <c r="D82" t="s">
        <v>1745</v>
      </c>
      <c r="E82" t="s">
        <v>137</v>
      </c>
      <c r="F82" t="str">
        <f>LEFT(premier_player_23_24[[#This Row],[Position]],2)</f>
        <v>FW</v>
      </c>
      <c r="G82" s="3">
        <v>23</v>
      </c>
      <c r="H8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82" s="3">
        <v>3</v>
      </c>
      <c r="J82" s="3">
        <v>2</v>
      </c>
      <c r="K82" s="2">
        <v>152</v>
      </c>
      <c r="L82" s="2" t="str">
        <f>IF(premier_player_23_24[[#This Row],[Minutes]]&gt;1000,"More than 1000 minutes","Less than 1000 minutes")</f>
        <v>Less than 1000 minutes</v>
      </c>
      <c r="M82" s="2">
        <v>1.7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2">
        <v>1</v>
      </c>
      <c r="U82" s="2">
        <v>0</v>
      </c>
      <c r="V82" s="2">
        <v>0.1</v>
      </c>
      <c r="W82" s="2">
        <f>premier_player_23_24[[#This Row],[Goals]]-premier_player_23_24[[#This Row],[Expected Goals ]]</f>
        <v>-0.1</v>
      </c>
      <c r="X82" s="2">
        <v>0.1</v>
      </c>
      <c r="Y82" s="2">
        <v>0</v>
      </c>
      <c r="Z82" s="2">
        <v>0.1</v>
      </c>
      <c r="AA82" s="3">
        <v>2</v>
      </c>
      <c r="AB82" s="3">
        <v>8</v>
      </c>
      <c r="AC82" s="3">
        <v>9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0.04</v>
      </c>
      <c r="AJ82" s="1">
        <v>0</v>
      </c>
      <c r="AK82" s="1">
        <v>0.04</v>
      </c>
      <c r="AL82" s="1">
        <v>0.04</v>
      </c>
      <c r="AM82" s="1">
        <v>0.04</v>
      </c>
      <c r="AN82" t="s">
        <v>1286</v>
      </c>
    </row>
    <row r="83" spans="1:40" x14ac:dyDescent="0.25">
      <c r="A83" t="s">
        <v>1344</v>
      </c>
      <c r="B83" t="s">
        <v>1073</v>
      </c>
      <c r="C83" s="4" t="s">
        <v>1796</v>
      </c>
      <c r="D83" t="s">
        <v>1797</v>
      </c>
      <c r="E83" t="s">
        <v>36</v>
      </c>
      <c r="F83" t="str">
        <f>LEFT(premier_player_23_24[[#This Row],[Position]],2)</f>
        <v>MF</v>
      </c>
      <c r="G83" s="3">
        <v>24</v>
      </c>
      <c r="H8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83" s="3">
        <v>3</v>
      </c>
      <c r="J83" s="3">
        <v>1</v>
      </c>
      <c r="K83" s="2">
        <v>121</v>
      </c>
      <c r="L83" s="2" t="str">
        <f>IF(premier_player_23_24[[#This Row],[Minutes]]&gt;1000,"More than 1000 minutes","Less than 1000 minutes")</f>
        <v>Less than 1000 minutes</v>
      </c>
      <c r="M83" s="2">
        <v>1.3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2">
        <v>0</v>
      </c>
      <c r="U83" s="2">
        <v>0</v>
      </c>
      <c r="V83" s="2">
        <v>0</v>
      </c>
      <c r="W83" s="2">
        <f>premier_player_23_24[[#This Row],[Goals]]-premier_player_23_24[[#This Row],[Expected Goals ]]</f>
        <v>0</v>
      </c>
      <c r="X83" s="2">
        <v>0</v>
      </c>
      <c r="Y83" s="2">
        <v>0.1</v>
      </c>
      <c r="Z83" s="2">
        <v>0.1</v>
      </c>
      <c r="AA83" s="3">
        <v>4</v>
      </c>
      <c r="AB83" s="3">
        <v>5</v>
      </c>
      <c r="AC83" s="3">
        <v>1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0.06</v>
      </c>
      <c r="AK83" s="1">
        <v>0.06</v>
      </c>
      <c r="AL83" s="1">
        <v>0</v>
      </c>
      <c r="AM83" s="1">
        <v>0.06</v>
      </c>
      <c r="AN83" t="s">
        <v>1286</v>
      </c>
    </row>
    <row r="84" spans="1:40" x14ac:dyDescent="0.25">
      <c r="A84" t="s">
        <v>1345</v>
      </c>
      <c r="B84" t="s">
        <v>57</v>
      </c>
      <c r="C84" s="4" t="s">
        <v>1744</v>
      </c>
      <c r="D84" t="s">
        <v>1745</v>
      </c>
      <c r="E84" t="s">
        <v>108</v>
      </c>
      <c r="F84" t="str">
        <f>LEFT(premier_player_23_24[[#This Row],[Position]],2)</f>
        <v>DF</v>
      </c>
      <c r="G84" s="3">
        <v>21</v>
      </c>
      <c r="H8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84" s="3">
        <v>5</v>
      </c>
      <c r="J84" s="3">
        <v>1</v>
      </c>
      <c r="K84" s="2">
        <v>76</v>
      </c>
      <c r="L84" s="2" t="str">
        <f>IF(premier_player_23_24[[#This Row],[Minutes]]&gt;1000,"More than 1000 minutes","Less than 1000 minutes")</f>
        <v>Less than 1000 minutes</v>
      </c>
      <c r="M84" s="2">
        <v>0.8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2">
        <v>0</v>
      </c>
      <c r="U84" s="2">
        <v>0</v>
      </c>
      <c r="V84" s="2">
        <v>0</v>
      </c>
      <c r="W84" s="2">
        <f>premier_player_23_24[[#This Row],[Goals]]-premier_player_23_24[[#This Row],[Expected Goals ]]</f>
        <v>0</v>
      </c>
      <c r="X84" s="2">
        <v>0</v>
      </c>
      <c r="Y84" s="2">
        <v>0</v>
      </c>
      <c r="Z84" s="2">
        <v>0</v>
      </c>
      <c r="AA84" s="3">
        <v>0</v>
      </c>
      <c r="AB84" s="3">
        <v>5</v>
      </c>
      <c r="AC84" s="3">
        <v>1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t="s">
        <v>1286</v>
      </c>
    </row>
    <row r="85" spans="1:40" x14ac:dyDescent="0.25">
      <c r="A85" t="s">
        <v>1349</v>
      </c>
      <c r="B85" t="s">
        <v>891</v>
      </c>
      <c r="C85" s="4" t="s">
        <v>1798</v>
      </c>
      <c r="D85" t="s">
        <v>1799</v>
      </c>
      <c r="E85" t="s">
        <v>36</v>
      </c>
      <c r="F85" t="str">
        <f>LEFT(premier_player_23_24[[#This Row],[Position]],2)</f>
        <v>MF</v>
      </c>
      <c r="G85" s="3">
        <v>23</v>
      </c>
      <c r="H8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85" s="3">
        <v>3</v>
      </c>
      <c r="J85" s="3">
        <v>0</v>
      </c>
      <c r="K85" s="2">
        <v>47</v>
      </c>
      <c r="L85" s="2" t="str">
        <f>IF(premier_player_23_24[[#This Row],[Minutes]]&gt;1000,"More than 1000 minutes","Less than 1000 minutes")</f>
        <v>Less than 1000 minutes</v>
      </c>
      <c r="M85" s="2">
        <v>0.5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2">
        <v>0</v>
      </c>
      <c r="U85" s="2">
        <v>0</v>
      </c>
      <c r="V85" s="2">
        <v>0.2</v>
      </c>
      <c r="W85" s="2">
        <f>premier_player_23_24[[#This Row],[Goals]]-premier_player_23_24[[#This Row],[Expected Goals ]]</f>
        <v>-0.2</v>
      </c>
      <c r="X85" s="2">
        <v>0.2</v>
      </c>
      <c r="Y85" s="2">
        <v>0</v>
      </c>
      <c r="Z85" s="2">
        <v>0.2</v>
      </c>
      <c r="AA85" s="3">
        <v>2</v>
      </c>
      <c r="AB85" s="3">
        <v>3</v>
      </c>
      <c r="AC85" s="3">
        <v>4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0.34</v>
      </c>
      <c r="AJ85" s="1">
        <v>7.0000000000000007E-2</v>
      </c>
      <c r="AK85" s="1">
        <v>0.41</v>
      </c>
      <c r="AL85" s="1">
        <v>0.34</v>
      </c>
      <c r="AM85" s="1">
        <v>0.41</v>
      </c>
      <c r="AN85" t="s">
        <v>1286</v>
      </c>
    </row>
    <row r="86" spans="1:40" x14ac:dyDescent="0.25">
      <c r="A86" t="s">
        <v>1350</v>
      </c>
      <c r="B86" t="s">
        <v>376</v>
      </c>
      <c r="C86" s="4" t="s">
        <v>1762</v>
      </c>
      <c r="D86" t="s">
        <v>1763</v>
      </c>
      <c r="E86" t="s">
        <v>86</v>
      </c>
      <c r="F86" t="str">
        <f>LEFT(premier_player_23_24[[#This Row],[Position]],2)</f>
        <v>MF</v>
      </c>
      <c r="G86" s="3">
        <v>25</v>
      </c>
      <c r="H8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86" s="3">
        <v>5</v>
      </c>
      <c r="J86" s="3">
        <v>0</v>
      </c>
      <c r="K86" s="2">
        <v>41</v>
      </c>
      <c r="L86" s="2" t="str">
        <f>IF(premier_player_23_24[[#This Row],[Minutes]]&gt;1000,"More than 1000 minutes","Less than 1000 minutes")</f>
        <v>Less than 1000 minutes</v>
      </c>
      <c r="M86" s="2">
        <v>0.5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2">
        <v>1</v>
      </c>
      <c r="U86" s="2">
        <v>0</v>
      </c>
      <c r="V86" s="2">
        <v>0.2</v>
      </c>
      <c r="W86" s="2">
        <f>premier_player_23_24[[#This Row],[Goals]]-premier_player_23_24[[#This Row],[Expected Goals ]]</f>
        <v>-0.2</v>
      </c>
      <c r="X86" s="2">
        <v>0.2</v>
      </c>
      <c r="Y86" s="2">
        <v>0</v>
      </c>
      <c r="Z86" s="2">
        <v>0.2</v>
      </c>
      <c r="AA86" s="3">
        <v>4</v>
      </c>
      <c r="AB86" s="3">
        <v>5</v>
      </c>
      <c r="AC86" s="3">
        <v>4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0.34</v>
      </c>
      <c r="AJ86" s="1">
        <v>0</v>
      </c>
      <c r="AK86" s="1">
        <v>0.34</v>
      </c>
      <c r="AL86" s="1">
        <v>0.34</v>
      </c>
      <c r="AM86" s="1">
        <v>0.34</v>
      </c>
      <c r="AN86" t="s">
        <v>1286</v>
      </c>
    </row>
    <row r="87" spans="1:40" x14ac:dyDescent="0.25">
      <c r="A87" t="s">
        <v>1351</v>
      </c>
      <c r="B87" t="s">
        <v>57</v>
      </c>
      <c r="C87" s="4" t="s">
        <v>1744</v>
      </c>
      <c r="D87" t="s">
        <v>1745</v>
      </c>
      <c r="E87" t="s">
        <v>137</v>
      </c>
      <c r="F87" t="str">
        <f>LEFT(premier_player_23_24[[#This Row],[Position]],2)</f>
        <v>FW</v>
      </c>
      <c r="G87" s="3">
        <v>19</v>
      </c>
      <c r="H8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87" s="3">
        <v>1</v>
      </c>
      <c r="J87" s="3">
        <v>0</v>
      </c>
      <c r="K87" s="2">
        <v>1</v>
      </c>
      <c r="L87" s="2" t="str">
        <f>IF(premier_player_23_24[[#This Row],[Minutes]]&gt;1000,"More than 1000 minutes","Less than 1000 minutes")</f>
        <v>Less than 1000 minutes</v>
      </c>
      <c r="M87" s="2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2">
        <v>0</v>
      </c>
      <c r="U87" s="2">
        <v>0</v>
      </c>
      <c r="V87" s="2">
        <v>0</v>
      </c>
      <c r="W87" s="2">
        <f>premier_player_23_24[[#This Row],[Goals]]-premier_player_23_24[[#This Row],[Expected Goals ]]</f>
        <v>0</v>
      </c>
      <c r="X87" s="2">
        <v>0</v>
      </c>
      <c r="Y87" s="2">
        <v>0</v>
      </c>
      <c r="Z87" s="2">
        <v>0</v>
      </c>
      <c r="AA87" s="3">
        <v>0</v>
      </c>
      <c r="AB87" s="3">
        <v>0</v>
      </c>
      <c r="AC87" s="3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t="s">
        <v>1286</v>
      </c>
    </row>
    <row r="88" spans="1:40" x14ac:dyDescent="0.25">
      <c r="A88" t="s">
        <v>1462</v>
      </c>
      <c r="B88" t="s">
        <v>262</v>
      </c>
      <c r="C88" s="4" t="s">
        <v>1748</v>
      </c>
      <c r="D88" t="s">
        <v>1749</v>
      </c>
      <c r="E88" t="s">
        <v>58</v>
      </c>
      <c r="F88" t="str">
        <f>LEFT(premier_player_23_24[[#This Row],[Position]],2)</f>
        <v>FW</v>
      </c>
      <c r="G88" s="3">
        <v>21</v>
      </c>
      <c r="H8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88" s="3">
        <v>11</v>
      </c>
      <c r="J88" s="3">
        <v>3</v>
      </c>
      <c r="K88" s="2">
        <v>333</v>
      </c>
      <c r="L88" s="2" t="str">
        <f>IF(premier_player_23_24[[#This Row],[Minutes]]&gt;1000,"More than 1000 minutes","Less than 1000 minutes")</f>
        <v>Less than 1000 minutes</v>
      </c>
      <c r="M88" s="2">
        <v>3.7</v>
      </c>
      <c r="N88" s="3">
        <v>2</v>
      </c>
      <c r="O88" s="3">
        <v>1</v>
      </c>
      <c r="P88" s="3">
        <v>3</v>
      </c>
      <c r="Q88" s="3">
        <v>2</v>
      </c>
      <c r="R88" s="3">
        <v>0</v>
      </c>
      <c r="S88" s="3">
        <v>0</v>
      </c>
      <c r="T88" s="2">
        <v>0</v>
      </c>
      <c r="U88" s="2">
        <v>0</v>
      </c>
      <c r="V88" s="2">
        <v>1.2</v>
      </c>
      <c r="W88" s="2">
        <f>premier_player_23_24[[#This Row],[Goals]]-premier_player_23_24[[#This Row],[Expected Goals ]]</f>
        <v>0.8</v>
      </c>
      <c r="X88" s="2">
        <v>1.2</v>
      </c>
      <c r="Y88" s="2">
        <v>0.7</v>
      </c>
      <c r="Z88" s="2">
        <v>1.9</v>
      </c>
      <c r="AA88" s="3">
        <v>8</v>
      </c>
      <c r="AB88" s="3">
        <v>9</v>
      </c>
      <c r="AC88" s="3">
        <v>23</v>
      </c>
      <c r="AD88" s="1">
        <v>0.54</v>
      </c>
      <c r="AE88" s="1">
        <v>0.27</v>
      </c>
      <c r="AF88" s="1">
        <v>0.81</v>
      </c>
      <c r="AG88" s="1">
        <v>0.54</v>
      </c>
      <c r="AH88" s="1">
        <v>0.81</v>
      </c>
      <c r="AI88" s="1">
        <v>0.32</v>
      </c>
      <c r="AJ88" s="1">
        <v>0.19</v>
      </c>
      <c r="AK88" s="1">
        <v>0.52</v>
      </c>
      <c r="AL88" s="1">
        <v>0.32</v>
      </c>
      <c r="AM88" s="1">
        <v>0.52</v>
      </c>
      <c r="AN88" t="s">
        <v>1413</v>
      </c>
    </row>
    <row r="89" spans="1:40" x14ac:dyDescent="0.25">
      <c r="A89" t="s">
        <v>1464</v>
      </c>
      <c r="B89" t="s">
        <v>1465</v>
      </c>
      <c r="C89" s="4" t="s">
        <v>1800</v>
      </c>
      <c r="D89" t="s">
        <v>1801</v>
      </c>
      <c r="E89" t="s">
        <v>36</v>
      </c>
      <c r="F89" t="str">
        <f>LEFT(premier_player_23_24[[#This Row],[Position]],2)</f>
        <v>MF</v>
      </c>
      <c r="G89" s="3">
        <v>25</v>
      </c>
      <c r="H8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89" s="3">
        <v>10</v>
      </c>
      <c r="J89" s="3">
        <v>2</v>
      </c>
      <c r="K89" s="2">
        <v>229</v>
      </c>
      <c r="L89" s="2" t="str">
        <f>IF(premier_player_23_24[[#This Row],[Minutes]]&gt;1000,"More than 1000 minutes","Less than 1000 minutes")</f>
        <v>Less than 1000 minutes</v>
      </c>
      <c r="M89" s="2">
        <v>2.5</v>
      </c>
      <c r="N89" s="3">
        <v>1</v>
      </c>
      <c r="O89" s="3">
        <v>1</v>
      </c>
      <c r="P89" s="3">
        <v>2</v>
      </c>
      <c r="Q89" s="3">
        <v>1</v>
      </c>
      <c r="R89" s="3">
        <v>0</v>
      </c>
      <c r="S89" s="3">
        <v>0</v>
      </c>
      <c r="T89" s="2">
        <v>1</v>
      </c>
      <c r="U89" s="2">
        <v>0</v>
      </c>
      <c r="V89" s="2">
        <v>0.9</v>
      </c>
      <c r="W89" s="2">
        <f>premier_player_23_24[[#This Row],[Goals]]-premier_player_23_24[[#This Row],[Expected Goals ]]</f>
        <v>9.9999999999999978E-2</v>
      </c>
      <c r="X89" s="2">
        <v>0.9</v>
      </c>
      <c r="Y89" s="2">
        <v>0.2</v>
      </c>
      <c r="Z89" s="2">
        <v>1.1000000000000001</v>
      </c>
      <c r="AA89" s="3">
        <v>3</v>
      </c>
      <c r="AB89" s="3">
        <v>5</v>
      </c>
      <c r="AC89" s="3">
        <v>1</v>
      </c>
      <c r="AD89" s="1">
        <v>0.39</v>
      </c>
      <c r="AE89" s="1">
        <v>0.39</v>
      </c>
      <c r="AF89" s="1">
        <v>0.79</v>
      </c>
      <c r="AG89" s="1">
        <v>0.39</v>
      </c>
      <c r="AH89" s="1">
        <v>0.79</v>
      </c>
      <c r="AI89" s="1">
        <v>0.35</v>
      </c>
      <c r="AJ89" s="1">
        <v>0.08</v>
      </c>
      <c r="AK89" s="1">
        <v>0.43</v>
      </c>
      <c r="AL89" s="1">
        <v>0.35</v>
      </c>
      <c r="AM89" s="1">
        <v>0.43</v>
      </c>
      <c r="AN89" t="s">
        <v>1413</v>
      </c>
    </row>
    <row r="90" spans="1:40" x14ac:dyDescent="0.25">
      <c r="A90" t="s">
        <v>1432</v>
      </c>
      <c r="B90" t="s">
        <v>418</v>
      </c>
      <c r="C90" s="4" t="s">
        <v>1802</v>
      </c>
      <c r="D90" t="s">
        <v>1803</v>
      </c>
      <c r="E90" t="s">
        <v>137</v>
      </c>
      <c r="F90" t="str">
        <f>LEFT(premier_player_23_24[[#This Row],[Position]],2)</f>
        <v>FW</v>
      </c>
      <c r="G90" s="3">
        <v>23</v>
      </c>
      <c r="H9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90" s="3">
        <v>25</v>
      </c>
      <c r="J90" s="3">
        <v>22</v>
      </c>
      <c r="K90" s="2">
        <v>1960</v>
      </c>
      <c r="L90" s="2" t="str">
        <f>IF(premier_player_23_24[[#This Row],[Minutes]]&gt;1000,"More than 1000 minutes","Less than 1000 minutes")</f>
        <v>More than 1000 minutes</v>
      </c>
      <c r="M90" s="2">
        <v>21.8</v>
      </c>
      <c r="N90" s="3">
        <v>9</v>
      </c>
      <c r="O90" s="3">
        <v>6</v>
      </c>
      <c r="P90" s="3">
        <v>15</v>
      </c>
      <c r="Q90" s="3">
        <v>6</v>
      </c>
      <c r="R90" s="3">
        <v>3</v>
      </c>
      <c r="S90" s="3">
        <v>3</v>
      </c>
      <c r="T90" s="2">
        <v>2</v>
      </c>
      <c r="U90" s="2">
        <v>0</v>
      </c>
      <c r="V90" s="2">
        <v>9.8000000000000007</v>
      </c>
      <c r="W90" s="2">
        <f>premier_player_23_24[[#This Row],[Goals]]-premier_player_23_24[[#This Row],[Expected Goals ]]</f>
        <v>-0.80000000000000071</v>
      </c>
      <c r="X90" s="2">
        <v>7.4</v>
      </c>
      <c r="Y90" s="2">
        <v>4.5999999999999996</v>
      </c>
      <c r="Z90" s="2">
        <v>12.1</v>
      </c>
      <c r="AA90" s="3">
        <v>74</v>
      </c>
      <c r="AB90" s="3">
        <v>88</v>
      </c>
      <c r="AC90" s="3">
        <v>195</v>
      </c>
      <c r="AD90" s="1">
        <v>0.41</v>
      </c>
      <c r="AE90" s="1">
        <v>0.28000000000000003</v>
      </c>
      <c r="AF90" s="1">
        <v>0.69</v>
      </c>
      <c r="AG90" s="1">
        <v>0.28000000000000003</v>
      </c>
      <c r="AH90" s="1">
        <v>0.55000000000000004</v>
      </c>
      <c r="AI90" s="1">
        <v>0.45</v>
      </c>
      <c r="AJ90" s="1">
        <v>0.21</v>
      </c>
      <c r="AK90" s="1">
        <v>0.66</v>
      </c>
      <c r="AL90" s="1">
        <v>0.34</v>
      </c>
      <c r="AM90" s="1">
        <v>0.55000000000000004</v>
      </c>
      <c r="AN90" t="s">
        <v>1413</v>
      </c>
    </row>
    <row r="91" spans="1:40" x14ac:dyDescent="0.25">
      <c r="A91" t="s">
        <v>1212</v>
      </c>
      <c r="B91" t="s">
        <v>376</v>
      </c>
      <c r="C91" s="4" t="s">
        <v>1762</v>
      </c>
      <c r="D91" t="s">
        <v>1763</v>
      </c>
      <c r="E91" t="s">
        <v>137</v>
      </c>
      <c r="F91" t="str">
        <f>LEFT(premier_player_23_24[[#This Row],[Position]],2)</f>
        <v>FW</v>
      </c>
      <c r="G91" s="3">
        <v>26</v>
      </c>
      <c r="H9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91" s="3">
        <v>29</v>
      </c>
      <c r="J91" s="3">
        <v>13</v>
      </c>
      <c r="K91" s="2">
        <v>1321</v>
      </c>
      <c r="L91" s="2" t="str">
        <f>IF(premier_player_23_24[[#This Row],[Minutes]]&gt;1000,"More than 1000 minutes","Less than 1000 minutes")</f>
        <v>More than 1000 minutes</v>
      </c>
      <c r="M91" s="2">
        <v>14.7</v>
      </c>
      <c r="N91" s="3">
        <v>6</v>
      </c>
      <c r="O91" s="3">
        <v>3</v>
      </c>
      <c r="P91" s="3">
        <v>9</v>
      </c>
      <c r="Q91" s="3">
        <v>6</v>
      </c>
      <c r="R91" s="3">
        <v>0</v>
      </c>
      <c r="S91" s="3">
        <v>0</v>
      </c>
      <c r="T91" s="2">
        <v>8</v>
      </c>
      <c r="U91" s="2">
        <v>0</v>
      </c>
      <c r="V91" s="2">
        <v>5.7</v>
      </c>
      <c r="W91" s="2">
        <f>premier_player_23_24[[#This Row],[Goals]]-premier_player_23_24[[#This Row],[Expected Goals ]]</f>
        <v>0.29999999999999982</v>
      </c>
      <c r="X91" s="2">
        <v>5.7</v>
      </c>
      <c r="Y91" s="2">
        <v>2.2999999999999998</v>
      </c>
      <c r="Z91" s="2">
        <v>8.1</v>
      </c>
      <c r="AA91" s="3">
        <v>21</v>
      </c>
      <c r="AB91" s="3">
        <v>37</v>
      </c>
      <c r="AC91" s="3">
        <v>91</v>
      </c>
      <c r="AD91" s="1">
        <v>0.41</v>
      </c>
      <c r="AE91" s="1">
        <v>0.2</v>
      </c>
      <c r="AF91" s="1">
        <v>0.61</v>
      </c>
      <c r="AG91" s="1">
        <v>0.41</v>
      </c>
      <c r="AH91" s="1">
        <v>0.61</v>
      </c>
      <c r="AI91" s="1">
        <v>0.39</v>
      </c>
      <c r="AJ91" s="1">
        <v>0.16</v>
      </c>
      <c r="AK91" s="1">
        <v>0.55000000000000004</v>
      </c>
      <c r="AL91" s="1">
        <v>0.39</v>
      </c>
      <c r="AM91" s="1">
        <v>0.55000000000000004</v>
      </c>
      <c r="AN91" t="s">
        <v>1413</v>
      </c>
    </row>
    <row r="92" spans="1:40" x14ac:dyDescent="0.25">
      <c r="A92" t="s">
        <v>1423</v>
      </c>
      <c r="B92" t="s">
        <v>1424</v>
      </c>
      <c r="C92" s="4" t="s">
        <v>1804</v>
      </c>
      <c r="D92" t="s">
        <v>1805</v>
      </c>
      <c r="E92" t="s">
        <v>137</v>
      </c>
      <c r="F92" t="str">
        <f>LEFT(premier_player_23_24[[#This Row],[Position]],2)</f>
        <v>FW</v>
      </c>
      <c r="G92" s="3">
        <v>26</v>
      </c>
      <c r="H9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92" s="3">
        <v>34</v>
      </c>
      <c r="J92" s="3">
        <v>29</v>
      </c>
      <c r="K92" s="2">
        <v>2493</v>
      </c>
      <c r="L92" s="2" t="str">
        <f>IF(premier_player_23_24[[#This Row],[Minutes]]&gt;1000,"More than 1000 minutes","Less than 1000 minutes")</f>
        <v>More than 1000 minutes</v>
      </c>
      <c r="M92" s="2">
        <v>27.7</v>
      </c>
      <c r="N92" s="3">
        <v>12</v>
      </c>
      <c r="O92" s="3">
        <v>3</v>
      </c>
      <c r="P92" s="3">
        <v>15</v>
      </c>
      <c r="Q92" s="3">
        <v>12</v>
      </c>
      <c r="R92" s="3">
        <v>0</v>
      </c>
      <c r="S92" s="3">
        <v>0</v>
      </c>
      <c r="T92" s="2">
        <v>7</v>
      </c>
      <c r="U92" s="2">
        <v>0</v>
      </c>
      <c r="V92" s="2">
        <v>10.6</v>
      </c>
      <c r="W92" s="2">
        <f>premier_player_23_24[[#This Row],[Goals]]-premier_player_23_24[[#This Row],[Expected Goals ]]</f>
        <v>1.4000000000000004</v>
      </c>
      <c r="X92" s="2">
        <v>10.6</v>
      </c>
      <c r="Y92" s="2">
        <v>3.9</v>
      </c>
      <c r="Z92" s="2">
        <v>14.5</v>
      </c>
      <c r="AA92" s="3">
        <v>45</v>
      </c>
      <c r="AB92" s="3">
        <v>48</v>
      </c>
      <c r="AC92" s="3">
        <v>150</v>
      </c>
      <c r="AD92" s="1">
        <v>0.43</v>
      </c>
      <c r="AE92" s="1">
        <v>0.11</v>
      </c>
      <c r="AF92" s="1">
        <v>0.54</v>
      </c>
      <c r="AG92" s="1">
        <v>0.43</v>
      </c>
      <c r="AH92" s="1">
        <v>0.54</v>
      </c>
      <c r="AI92" s="1">
        <v>0.38</v>
      </c>
      <c r="AJ92" s="1">
        <v>0.14000000000000001</v>
      </c>
      <c r="AK92" s="1">
        <v>0.52</v>
      </c>
      <c r="AL92" s="1">
        <v>0.38</v>
      </c>
      <c r="AM92" s="1">
        <v>0.52</v>
      </c>
      <c r="AN92" t="s">
        <v>1413</v>
      </c>
    </row>
    <row r="93" spans="1:40" x14ac:dyDescent="0.25">
      <c r="A93" t="s">
        <v>1438</v>
      </c>
      <c r="B93" t="s">
        <v>57</v>
      </c>
      <c r="C93" s="4" t="s">
        <v>1744</v>
      </c>
      <c r="D93" t="s">
        <v>1745</v>
      </c>
      <c r="E93" t="s">
        <v>137</v>
      </c>
      <c r="F93" t="str">
        <f>LEFT(premier_player_23_24[[#This Row],[Position]],2)</f>
        <v>FW</v>
      </c>
      <c r="G93" s="3">
        <v>27</v>
      </c>
      <c r="H9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93" s="3">
        <v>17</v>
      </c>
      <c r="J93" s="3">
        <v>16</v>
      </c>
      <c r="K93" s="2">
        <v>1450</v>
      </c>
      <c r="L93" s="2" t="str">
        <f>IF(premier_player_23_24[[#This Row],[Minutes]]&gt;1000,"More than 1000 minutes","Less than 1000 minutes")</f>
        <v>More than 1000 minutes</v>
      </c>
      <c r="M93" s="2">
        <v>16.100000000000001</v>
      </c>
      <c r="N93" s="3">
        <v>4</v>
      </c>
      <c r="O93" s="3">
        <v>2</v>
      </c>
      <c r="P93" s="3">
        <v>6</v>
      </c>
      <c r="Q93" s="3">
        <v>4</v>
      </c>
      <c r="R93" s="3">
        <v>0</v>
      </c>
      <c r="S93" s="3">
        <v>0</v>
      </c>
      <c r="T93" s="2">
        <v>5</v>
      </c>
      <c r="U93" s="2">
        <v>0</v>
      </c>
      <c r="V93" s="2">
        <v>6</v>
      </c>
      <c r="W93" s="2">
        <f>premier_player_23_24[[#This Row],[Goals]]-premier_player_23_24[[#This Row],[Expected Goals ]]</f>
        <v>-2</v>
      </c>
      <c r="X93" s="2">
        <v>6</v>
      </c>
      <c r="Y93" s="2">
        <v>1.5</v>
      </c>
      <c r="Z93" s="2">
        <v>7.4</v>
      </c>
      <c r="AA93" s="3">
        <v>23</v>
      </c>
      <c r="AB93" s="3">
        <v>40</v>
      </c>
      <c r="AC93" s="3">
        <v>98</v>
      </c>
      <c r="AD93" s="1">
        <v>0.25</v>
      </c>
      <c r="AE93" s="1">
        <v>0.12</v>
      </c>
      <c r="AF93" s="1">
        <v>0.37</v>
      </c>
      <c r="AG93" s="1">
        <v>0.25</v>
      </c>
      <c r="AH93" s="1">
        <v>0.37</v>
      </c>
      <c r="AI93" s="1">
        <v>0.37</v>
      </c>
      <c r="AJ93" s="1">
        <v>0.09</v>
      </c>
      <c r="AK93" s="1">
        <v>0.46</v>
      </c>
      <c r="AL93" s="1">
        <v>0.37</v>
      </c>
      <c r="AM93" s="1">
        <v>0.46</v>
      </c>
      <c r="AN93" t="s">
        <v>1413</v>
      </c>
    </row>
    <row r="94" spans="1:40" x14ac:dyDescent="0.25">
      <c r="A94" t="s">
        <v>888</v>
      </c>
      <c r="B94" t="s">
        <v>35</v>
      </c>
      <c r="C94" s="4" t="s">
        <v>1764</v>
      </c>
      <c r="D94" t="s">
        <v>1765</v>
      </c>
      <c r="E94" t="s">
        <v>108</v>
      </c>
      <c r="F94" t="str">
        <f>LEFT(premier_player_23_24[[#This Row],[Position]],2)</f>
        <v>DF</v>
      </c>
      <c r="G94" s="3">
        <v>26</v>
      </c>
      <c r="H9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94" s="3">
        <v>16</v>
      </c>
      <c r="J94" s="3">
        <v>14</v>
      </c>
      <c r="K94" s="2">
        <v>1118</v>
      </c>
      <c r="L94" s="2" t="str">
        <f>IF(premier_player_23_24[[#This Row],[Minutes]]&gt;1000,"More than 1000 minutes","Less than 1000 minutes")</f>
        <v>More than 1000 minutes</v>
      </c>
      <c r="M94" s="2">
        <v>12.4</v>
      </c>
      <c r="N94" s="3">
        <v>0</v>
      </c>
      <c r="O94" s="3">
        <v>4</v>
      </c>
      <c r="P94" s="3">
        <v>4</v>
      </c>
      <c r="Q94" s="3">
        <v>0</v>
      </c>
      <c r="R94" s="3">
        <v>0</v>
      </c>
      <c r="S94" s="3">
        <v>0</v>
      </c>
      <c r="T94" s="2">
        <v>4</v>
      </c>
      <c r="U94" s="2">
        <v>1</v>
      </c>
      <c r="V94" s="2">
        <v>0.8</v>
      </c>
      <c r="W94" s="2">
        <f>premier_player_23_24[[#This Row],[Goals]]-premier_player_23_24[[#This Row],[Expected Goals ]]</f>
        <v>-0.8</v>
      </c>
      <c r="X94" s="2">
        <v>0.8</v>
      </c>
      <c r="Y94" s="2">
        <v>2.8</v>
      </c>
      <c r="Z94" s="2">
        <v>3.6</v>
      </c>
      <c r="AA94" s="3">
        <v>34</v>
      </c>
      <c r="AB94" s="3">
        <v>38</v>
      </c>
      <c r="AC94" s="3">
        <v>40</v>
      </c>
      <c r="AD94" s="1">
        <v>0</v>
      </c>
      <c r="AE94" s="1">
        <v>0.32</v>
      </c>
      <c r="AF94" s="1">
        <v>0.32</v>
      </c>
      <c r="AG94" s="1">
        <v>0</v>
      </c>
      <c r="AH94" s="1">
        <v>0.32</v>
      </c>
      <c r="AI94" s="1">
        <v>0.06</v>
      </c>
      <c r="AJ94" s="1">
        <v>0.23</v>
      </c>
      <c r="AK94" s="1">
        <v>0.28999999999999998</v>
      </c>
      <c r="AL94" s="1">
        <v>0.06</v>
      </c>
      <c r="AM94" s="1">
        <v>0.28999999999999998</v>
      </c>
      <c r="AN94" t="s">
        <v>1413</v>
      </c>
    </row>
    <row r="95" spans="1:40" x14ac:dyDescent="0.25">
      <c r="A95" t="s">
        <v>1429</v>
      </c>
      <c r="B95" t="s">
        <v>804</v>
      </c>
      <c r="C95" s="4" t="s">
        <v>1788</v>
      </c>
      <c r="D95" t="s">
        <v>1789</v>
      </c>
      <c r="E95" t="s">
        <v>36</v>
      </c>
      <c r="F95" t="str">
        <f>LEFT(premier_player_23_24[[#This Row],[Position]],2)</f>
        <v>MF</v>
      </c>
      <c r="G95" s="3">
        <v>27</v>
      </c>
      <c r="H9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95" s="3">
        <v>32</v>
      </c>
      <c r="J95" s="3">
        <v>27</v>
      </c>
      <c r="K95" s="2">
        <v>2204</v>
      </c>
      <c r="L95" s="2" t="str">
        <f>IF(premier_player_23_24[[#This Row],[Minutes]]&gt;1000,"More than 1000 minutes","Less than 1000 minutes")</f>
        <v>More than 1000 minutes</v>
      </c>
      <c r="M95" s="2">
        <v>24.5</v>
      </c>
      <c r="N95" s="3">
        <v>3</v>
      </c>
      <c r="O95" s="3">
        <v>3</v>
      </c>
      <c r="P95" s="3">
        <v>6</v>
      </c>
      <c r="Q95" s="3">
        <v>3</v>
      </c>
      <c r="R95" s="3">
        <v>0</v>
      </c>
      <c r="S95" s="3">
        <v>0</v>
      </c>
      <c r="T95" s="2">
        <v>5</v>
      </c>
      <c r="U95" s="2">
        <v>0</v>
      </c>
      <c r="V95" s="2">
        <v>0.7</v>
      </c>
      <c r="W95" s="2">
        <f>premier_player_23_24[[#This Row],[Goals]]-premier_player_23_24[[#This Row],[Expected Goals ]]</f>
        <v>2.2999999999999998</v>
      </c>
      <c r="X95" s="2">
        <v>0.7</v>
      </c>
      <c r="Y95" s="2">
        <v>4</v>
      </c>
      <c r="Z95" s="2">
        <v>4.7</v>
      </c>
      <c r="AA95" s="3">
        <v>19</v>
      </c>
      <c r="AB95" s="3">
        <v>123</v>
      </c>
      <c r="AC95" s="3">
        <v>66</v>
      </c>
      <c r="AD95" s="1">
        <v>0.12</v>
      </c>
      <c r="AE95" s="1">
        <v>0.12</v>
      </c>
      <c r="AF95" s="1">
        <v>0.25</v>
      </c>
      <c r="AG95" s="1">
        <v>0.12</v>
      </c>
      <c r="AH95" s="1">
        <v>0.25</v>
      </c>
      <c r="AI95" s="1">
        <v>0.03</v>
      </c>
      <c r="AJ95" s="1">
        <v>0.16</v>
      </c>
      <c r="AK95" s="1">
        <v>0.19</v>
      </c>
      <c r="AL95" s="1">
        <v>0.03</v>
      </c>
      <c r="AM95" s="1">
        <v>0.19</v>
      </c>
      <c r="AN95" t="s">
        <v>1413</v>
      </c>
    </row>
    <row r="96" spans="1:40" x14ac:dyDescent="0.25">
      <c r="A96" t="s">
        <v>1441</v>
      </c>
      <c r="B96" t="s">
        <v>57</v>
      </c>
      <c r="C96" s="4" t="s">
        <v>1744</v>
      </c>
      <c r="D96" t="s">
        <v>1745</v>
      </c>
      <c r="E96" t="s">
        <v>709</v>
      </c>
      <c r="F96" t="str">
        <f>LEFT(premier_player_23_24[[#This Row],[Position]],2)</f>
        <v>FW</v>
      </c>
      <c r="G96" s="3">
        <v>22</v>
      </c>
      <c r="H9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96" s="3">
        <v>30</v>
      </c>
      <c r="J96" s="3">
        <v>15</v>
      </c>
      <c r="K96" s="2">
        <v>1441</v>
      </c>
      <c r="L96" s="2" t="str">
        <f>IF(premier_player_23_24[[#This Row],[Minutes]]&gt;1000,"More than 1000 minutes","Less than 1000 minutes")</f>
        <v>More than 1000 minutes</v>
      </c>
      <c r="M96" s="2">
        <v>16</v>
      </c>
      <c r="N96" s="3">
        <v>3</v>
      </c>
      <c r="O96" s="3">
        <v>1</v>
      </c>
      <c r="P96" s="3">
        <v>4</v>
      </c>
      <c r="Q96" s="3">
        <v>3</v>
      </c>
      <c r="R96" s="3">
        <v>0</v>
      </c>
      <c r="S96" s="3">
        <v>0</v>
      </c>
      <c r="T96" s="2">
        <v>0</v>
      </c>
      <c r="U96" s="2">
        <v>0</v>
      </c>
      <c r="V96" s="2">
        <v>6.3</v>
      </c>
      <c r="W96" s="2">
        <f>premier_player_23_24[[#This Row],[Goals]]-premier_player_23_24[[#This Row],[Expected Goals ]]</f>
        <v>-3.3</v>
      </c>
      <c r="X96" s="2">
        <v>6.3</v>
      </c>
      <c r="Y96" s="2">
        <v>1.7</v>
      </c>
      <c r="Z96" s="2">
        <v>8</v>
      </c>
      <c r="AA96" s="3">
        <v>56</v>
      </c>
      <c r="AB96" s="3">
        <v>32</v>
      </c>
      <c r="AC96" s="3">
        <v>135</v>
      </c>
      <c r="AD96" s="1">
        <v>0.19</v>
      </c>
      <c r="AE96" s="1">
        <v>0.06</v>
      </c>
      <c r="AF96" s="1">
        <v>0.25</v>
      </c>
      <c r="AG96" s="1">
        <v>0.19</v>
      </c>
      <c r="AH96" s="1">
        <v>0.25</v>
      </c>
      <c r="AI96" s="1">
        <v>0.39</v>
      </c>
      <c r="AJ96" s="1">
        <v>0.11</v>
      </c>
      <c r="AK96" s="1">
        <v>0.5</v>
      </c>
      <c r="AL96" s="1">
        <v>0.39</v>
      </c>
      <c r="AM96" s="1">
        <v>0.5</v>
      </c>
      <c r="AN96" t="s">
        <v>1413</v>
      </c>
    </row>
    <row r="97" spans="1:40" x14ac:dyDescent="0.25">
      <c r="A97" t="s">
        <v>1450</v>
      </c>
      <c r="B97" t="s">
        <v>1120</v>
      </c>
      <c r="C97" s="4" t="s">
        <v>1806</v>
      </c>
      <c r="D97" t="s">
        <v>1807</v>
      </c>
      <c r="E97" t="s">
        <v>36</v>
      </c>
      <c r="F97" t="str">
        <f>LEFT(premier_player_23_24[[#This Row],[Position]],2)</f>
        <v>MF</v>
      </c>
      <c r="G97" s="3">
        <v>25</v>
      </c>
      <c r="H9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97" s="3">
        <v>26</v>
      </c>
      <c r="J97" s="3">
        <v>11</v>
      </c>
      <c r="K97" s="2">
        <v>1161</v>
      </c>
      <c r="L97" s="2" t="str">
        <f>IF(premier_player_23_24[[#This Row],[Minutes]]&gt;1000,"More than 1000 minutes","Less than 1000 minutes")</f>
        <v>More than 1000 minutes</v>
      </c>
      <c r="M97" s="2">
        <v>12.9</v>
      </c>
      <c r="N97" s="3">
        <v>1</v>
      </c>
      <c r="O97" s="3">
        <v>2</v>
      </c>
      <c r="P97" s="3">
        <v>3</v>
      </c>
      <c r="Q97" s="3">
        <v>1</v>
      </c>
      <c r="R97" s="3">
        <v>0</v>
      </c>
      <c r="S97" s="3">
        <v>0</v>
      </c>
      <c r="T97" s="2">
        <v>8</v>
      </c>
      <c r="U97" s="2">
        <v>0</v>
      </c>
      <c r="V97" s="2">
        <v>2.2000000000000002</v>
      </c>
      <c r="W97" s="2">
        <f>premier_player_23_24[[#This Row],[Goals]]-premier_player_23_24[[#This Row],[Expected Goals ]]</f>
        <v>-1.2000000000000002</v>
      </c>
      <c r="X97" s="2">
        <v>2.2000000000000002</v>
      </c>
      <c r="Y97" s="2">
        <v>1.8</v>
      </c>
      <c r="Z97" s="2">
        <v>4</v>
      </c>
      <c r="AA97" s="3">
        <v>17</v>
      </c>
      <c r="AB97" s="3">
        <v>33</v>
      </c>
      <c r="AC97" s="3">
        <v>39</v>
      </c>
      <c r="AD97" s="1">
        <v>0.08</v>
      </c>
      <c r="AE97" s="1">
        <v>0.16</v>
      </c>
      <c r="AF97" s="1">
        <v>0.23</v>
      </c>
      <c r="AG97" s="1">
        <v>0.08</v>
      </c>
      <c r="AH97" s="1">
        <v>0.23</v>
      </c>
      <c r="AI97" s="1">
        <v>0.17</v>
      </c>
      <c r="AJ97" s="1">
        <v>0.14000000000000001</v>
      </c>
      <c r="AK97" s="1">
        <v>0.31</v>
      </c>
      <c r="AL97" s="1">
        <v>0.17</v>
      </c>
      <c r="AM97" s="1">
        <v>0.31</v>
      </c>
      <c r="AN97" t="s">
        <v>1413</v>
      </c>
    </row>
    <row r="98" spans="1:40" x14ac:dyDescent="0.25">
      <c r="A98" t="s">
        <v>1460</v>
      </c>
      <c r="B98" t="s">
        <v>57</v>
      </c>
      <c r="C98" s="4" t="s">
        <v>1744</v>
      </c>
      <c r="D98" t="s">
        <v>1745</v>
      </c>
      <c r="E98" t="s">
        <v>108</v>
      </c>
      <c r="F98" t="str">
        <f>LEFT(premier_player_23_24[[#This Row],[Position]],2)</f>
        <v>DF</v>
      </c>
      <c r="G98" s="3">
        <v>26</v>
      </c>
      <c r="H9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98" s="3">
        <v>5</v>
      </c>
      <c r="J98" s="3">
        <v>5</v>
      </c>
      <c r="K98" s="2">
        <v>401</v>
      </c>
      <c r="L98" s="2" t="str">
        <f>IF(premier_player_23_24[[#This Row],[Minutes]]&gt;1000,"More than 1000 minutes","Less than 1000 minutes")</f>
        <v>Less than 1000 minutes</v>
      </c>
      <c r="M98" s="2">
        <v>4.5</v>
      </c>
      <c r="N98" s="3">
        <v>0</v>
      </c>
      <c r="O98" s="3">
        <v>1</v>
      </c>
      <c r="P98" s="3">
        <v>1</v>
      </c>
      <c r="Q98" s="3">
        <v>0</v>
      </c>
      <c r="R98" s="3">
        <v>0</v>
      </c>
      <c r="S98" s="3">
        <v>0</v>
      </c>
      <c r="T98" s="2">
        <v>1</v>
      </c>
      <c r="U98" s="2">
        <v>0</v>
      </c>
      <c r="V98" s="2">
        <v>0.1</v>
      </c>
      <c r="W98" s="2">
        <f>premier_player_23_24[[#This Row],[Goals]]-premier_player_23_24[[#This Row],[Expected Goals ]]</f>
        <v>-0.1</v>
      </c>
      <c r="X98" s="2">
        <v>0.1</v>
      </c>
      <c r="Y98" s="2">
        <v>1</v>
      </c>
      <c r="Z98" s="2">
        <v>1.1000000000000001</v>
      </c>
      <c r="AA98" s="3">
        <v>13</v>
      </c>
      <c r="AB98" s="3">
        <v>20</v>
      </c>
      <c r="AC98" s="3">
        <v>12</v>
      </c>
      <c r="AD98" s="1">
        <v>0</v>
      </c>
      <c r="AE98" s="1">
        <v>0.22</v>
      </c>
      <c r="AF98" s="1">
        <v>0.22</v>
      </c>
      <c r="AG98" s="1">
        <v>0</v>
      </c>
      <c r="AH98" s="1">
        <v>0.22</v>
      </c>
      <c r="AI98" s="1">
        <v>0.02</v>
      </c>
      <c r="AJ98" s="1">
        <v>0.22</v>
      </c>
      <c r="AK98" s="1">
        <v>0.24</v>
      </c>
      <c r="AL98" s="1">
        <v>0.02</v>
      </c>
      <c r="AM98" s="1">
        <v>0.24</v>
      </c>
      <c r="AN98" t="s">
        <v>1413</v>
      </c>
    </row>
    <row r="99" spans="1:40" x14ac:dyDescent="0.25">
      <c r="A99" t="s">
        <v>1453</v>
      </c>
      <c r="B99" t="s">
        <v>804</v>
      </c>
      <c r="C99" s="4" t="s">
        <v>1788</v>
      </c>
      <c r="D99" t="s">
        <v>1789</v>
      </c>
      <c r="E99" t="s">
        <v>36</v>
      </c>
      <c r="F99" t="str">
        <f>LEFT(premier_player_23_24[[#This Row],[Position]],2)</f>
        <v>MF</v>
      </c>
      <c r="G99" s="3">
        <v>23</v>
      </c>
      <c r="H9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99" s="3">
        <v>23</v>
      </c>
      <c r="J99" s="3">
        <v>7</v>
      </c>
      <c r="K99" s="2">
        <v>842</v>
      </c>
      <c r="L99" s="2" t="str">
        <f>IF(premier_player_23_24[[#This Row],[Minutes]]&gt;1000,"More than 1000 minutes","Less than 1000 minutes")</f>
        <v>Less than 1000 minutes</v>
      </c>
      <c r="M99" s="2">
        <v>9.4</v>
      </c>
      <c r="N99" s="3">
        <v>0</v>
      </c>
      <c r="O99" s="3">
        <v>2</v>
      </c>
      <c r="P99" s="3">
        <v>2</v>
      </c>
      <c r="Q99" s="3">
        <v>0</v>
      </c>
      <c r="R99" s="3">
        <v>0</v>
      </c>
      <c r="S99" s="3">
        <v>0</v>
      </c>
      <c r="T99" s="2">
        <v>2</v>
      </c>
      <c r="U99" s="2">
        <v>0</v>
      </c>
      <c r="V99" s="2">
        <v>0.9</v>
      </c>
      <c r="W99" s="2">
        <f>premier_player_23_24[[#This Row],[Goals]]-premier_player_23_24[[#This Row],[Expected Goals ]]</f>
        <v>-0.9</v>
      </c>
      <c r="X99" s="2">
        <v>0.9</v>
      </c>
      <c r="Y99" s="2">
        <v>1.4</v>
      </c>
      <c r="Z99" s="2">
        <v>2.4</v>
      </c>
      <c r="AA99" s="3">
        <v>16</v>
      </c>
      <c r="AB99" s="3">
        <v>61</v>
      </c>
      <c r="AC99" s="3">
        <v>32</v>
      </c>
      <c r="AD99" s="1">
        <v>0</v>
      </c>
      <c r="AE99" s="1">
        <v>0.21</v>
      </c>
      <c r="AF99" s="1">
        <v>0.21</v>
      </c>
      <c r="AG99" s="1">
        <v>0</v>
      </c>
      <c r="AH99" s="1">
        <v>0.21</v>
      </c>
      <c r="AI99" s="1">
        <v>0.1</v>
      </c>
      <c r="AJ99" s="1">
        <v>0.16</v>
      </c>
      <c r="AK99" s="1">
        <v>0.25</v>
      </c>
      <c r="AL99" s="1">
        <v>0.1</v>
      </c>
      <c r="AM99" s="1">
        <v>0.25</v>
      </c>
      <c r="AN99" t="s">
        <v>1413</v>
      </c>
    </row>
    <row r="100" spans="1:40" x14ac:dyDescent="0.25">
      <c r="A100" t="s">
        <v>1435</v>
      </c>
      <c r="B100" t="s">
        <v>136</v>
      </c>
      <c r="C100" s="4" t="s">
        <v>1752</v>
      </c>
      <c r="D100" t="s">
        <v>1753</v>
      </c>
      <c r="E100" t="s">
        <v>108</v>
      </c>
      <c r="F100" t="str">
        <f>LEFT(premier_player_23_24[[#This Row],[Position]],2)</f>
        <v>DF</v>
      </c>
      <c r="G100" s="3">
        <v>25</v>
      </c>
      <c r="H10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00" s="3">
        <v>28</v>
      </c>
      <c r="J100" s="3">
        <v>21</v>
      </c>
      <c r="K100" s="2">
        <v>1832</v>
      </c>
      <c r="L100" s="2" t="str">
        <f>IF(premier_player_23_24[[#This Row],[Minutes]]&gt;1000,"More than 1000 minutes","Less than 1000 minutes")</f>
        <v>More than 1000 minutes</v>
      </c>
      <c r="M100" s="2">
        <v>20.399999999999999</v>
      </c>
      <c r="N100" s="3">
        <v>2</v>
      </c>
      <c r="O100" s="3">
        <v>1</v>
      </c>
      <c r="P100" s="3">
        <v>3</v>
      </c>
      <c r="Q100" s="3">
        <v>2</v>
      </c>
      <c r="R100" s="3">
        <v>0</v>
      </c>
      <c r="S100" s="3">
        <v>0</v>
      </c>
      <c r="T100" s="2">
        <v>5</v>
      </c>
      <c r="U100" s="2">
        <v>0</v>
      </c>
      <c r="V100" s="2">
        <v>1.3</v>
      </c>
      <c r="W100" s="2">
        <f>premier_player_23_24[[#This Row],[Goals]]-premier_player_23_24[[#This Row],[Expected Goals ]]</f>
        <v>0.7</v>
      </c>
      <c r="X100" s="2">
        <v>1.3</v>
      </c>
      <c r="Y100" s="2">
        <v>2.2999999999999998</v>
      </c>
      <c r="Z100" s="2">
        <v>3.6</v>
      </c>
      <c r="AA100" s="3">
        <v>22</v>
      </c>
      <c r="AB100" s="3">
        <v>61</v>
      </c>
      <c r="AC100" s="3">
        <v>31</v>
      </c>
      <c r="AD100" s="1">
        <v>0.1</v>
      </c>
      <c r="AE100" s="1">
        <v>0.05</v>
      </c>
      <c r="AF100" s="1">
        <v>0.15</v>
      </c>
      <c r="AG100" s="1">
        <v>0.1</v>
      </c>
      <c r="AH100" s="1">
        <v>0.15</v>
      </c>
      <c r="AI100" s="1">
        <v>0.06</v>
      </c>
      <c r="AJ100" s="1">
        <v>0.11</v>
      </c>
      <c r="AK100" s="1">
        <v>0.18</v>
      </c>
      <c r="AL100" s="1">
        <v>0.06</v>
      </c>
      <c r="AM100" s="1">
        <v>0.18</v>
      </c>
      <c r="AN100" t="s">
        <v>1413</v>
      </c>
    </row>
    <row r="101" spans="1:40" x14ac:dyDescent="0.25">
      <c r="A101" t="s">
        <v>1431</v>
      </c>
      <c r="B101" t="s">
        <v>804</v>
      </c>
      <c r="C101" s="4" t="s">
        <v>1788</v>
      </c>
      <c r="D101" t="s">
        <v>1789</v>
      </c>
      <c r="E101" t="s">
        <v>108</v>
      </c>
      <c r="F101" t="str">
        <f>LEFT(premier_player_23_24[[#This Row],[Position]],2)</f>
        <v>DF</v>
      </c>
      <c r="G101" s="3">
        <v>24</v>
      </c>
      <c r="H10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01" s="3">
        <v>34</v>
      </c>
      <c r="J101" s="3">
        <v>22</v>
      </c>
      <c r="K101" s="2">
        <v>1985</v>
      </c>
      <c r="L101" s="2" t="str">
        <f>IF(premier_player_23_24[[#This Row],[Minutes]]&gt;1000,"More than 1000 minutes","Less than 1000 minutes")</f>
        <v>More than 1000 minutes</v>
      </c>
      <c r="M101" s="2">
        <v>22.1</v>
      </c>
      <c r="N101" s="3">
        <v>1</v>
      </c>
      <c r="O101" s="3">
        <v>2</v>
      </c>
      <c r="P101" s="3">
        <v>3</v>
      </c>
      <c r="Q101" s="3">
        <v>1</v>
      </c>
      <c r="R101" s="3">
        <v>0</v>
      </c>
      <c r="S101" s="3">
        <v>0</v>
      </c>
      <c r="T101" s="2">
        <v>1</v>
      </c>
      <c r="U101" s="2">
        <v>0</v>
      </c>
      <c r="V101" s="2">
        <v>0.9</v>
      </c>
      <c r="W101" s="2">
        <f>premier_player_23_24[[#This Row],[Goals]]-premier_player_23_24[[#This Row],[Expected Goals ]]</f>
        <v>9.9999999999999978E-2</v>
      </c>
      <c r="X101" s="2">
        <v>0.9</v>
      </c>
      <c r="Y101" s="2">
        <v>1.8</v>
      </c>
      <c r="Z101" s="2">
        <v>2.7</v>
      </c>
      <c r="AA101" s="3">
        <v>18</v>
      </c>
      <c r="AB101" s="3">
        <v>43</v>
      </c>
      <c r="AC101" s="3">
        <v>90</v>
      </c>
      <c r="AD101" s="1">
        <v>0.05</v>
      </c>
      <c r="AE101" s="1">
        <v>0.09</v>
      </c>
      <c r="AF101" s="1">
        <v>0.14000000000000001</v>
      </c>
      <c r="AG101" s="1">
        <v>0.05</v>
      </c>
      <c r="AH101" s="1">
        <v>0.14000000000000001</v>
      </c>
      <c r="AI101" s="1">
        <v>0.04</v>
      </c>
      <c r="AJ101" s="1">
        <v>0.08</v>
      </c>
      <c r="AK101" s="1">
        <v>0.12</v>
      </c>
      <c r="AL101" s="1">
        <v>0.04</v>
      </c>
      <c r="AM101" s="1">
        <v>0.12</v>
      </c>
      <c r="AN101" t="s">
        <v>1413</v>
      </c>
    </row>
    <row r="102" spans="1:40" x14ac:dyDescent="0.25">
      <c r="A102" t="s">
        <v>1443</v>
      </c>
      <c r="B102" t="s">
        <v>57</v>
      </c>
      <c r="C102" s="4" t="s">
        <v>1744</v>
      </c>
      <c r="D102" t="s">
        <v>1745</v>
      </c>
      <c r="E102" t="s">
        <v>108</v>
      </c>
      <c r="F102" t="str">
        <f>LEFT(premier_player_23_24[[#This Row],[Position]],2)</f>
        <v>DF</v>
      </c>
      <c r="G102" s="3">
        <v>33</v>
      </c>
      <c r="H10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02" s="3">
        <v>16</v>
      </c>
      <c r="J102" s="3">
        <v>15</v>
      </c>
      <c r="K102" s="2">
        <v>1272</v>
      </c>
      <c r="L102" s="2" t="str">
        <f>IF(premier_player_23_24[[#This Row],[Minutes]]&gt;1000,"More than 1000 minutes","Less than 1000 minutes")</f>
        <v>More than 1000 minutes</v>
      </c>
      <c r="M102" s="2">
        <v>14.1</v>
      </c>
      <c r="N102" s="3">
        <v>2</v>
      </c>
      <c r="O102" s="3">
        <v>0</v>
      </c>
      <c r="P102" s="3">
        <v>2</v>
      </c>
      <c r="Q102" s="3">
        <v>2</v>
      </c>
      <c r="R102" s="3">
        <v>0</v>
      </c>
      <c r="S102" s="3">
        <v>0</v>
      </c>
      <c r="T102" s="2">
        <v>1</v>
      </c>
      <c r="U102" s="2">
        <v>1</v>
      </c>
      <c r="V102" s="2">
        <v>1.5</v>
      </c>
      <c r="W102" s="2">
        <f>premier_player_23_24[[#This Row],[Goals]]-premier_player_23_24[[#This Row],[Expected Goals ]]</f>
        <v>0.5</v>
      </c>
      <c r="X102" s="2">
        <v>1.5</v>
      </c>
      <c r="Y102" s="2">
        <v>0.3</v>
      </c>
      <c r="Z102" s="2">
        <v>1.8</v>
      </c>
      <c r="AA102" s="3">
        <v>11</v>
      </c>
      <c r="AB102" s="3">
        <v>49</v>
      </c>
      <c r="AC102" s="3">
        <v>9</v>
      </c>
      <c r="AD102" s="1">
        <v>0.14000000000000001</v>
      </c>
      <c r="AE102" s="1">
        <v>0</v>
      </c>
      <c r="AF102" s="1">
        <v>0.14000000000000001</v>
      </c>
      <c r="AG102" s="1">
        <v>0.14000000000000001</v>
      </c>
      <c r="AH102" s="1">
        <v>0.14000000000000001</v>
      </c>
      <c r="AI102" s="1">
        <v>0.1</v>
      </c>
      <c r="AJ102" s="1">
        <v>0.02</v>
      </c>
      <c r="AK102" s="1">
        <v>0.13</v>
      </c>
      <c r="AL102" s="1">
        <v>0.1</v>
      </c>
      <c r="AM102" s="1">
        <v>0.13</v>
      </c>
      <c r="AN102" t="s">
        <v>1413</v>
      </c>
    </row>
    <row r="103" spans="1:40" x14ac:dyDescent="0.25">
      <c r="A103" t="s">
        <v>1414</v>
      </c>
      <c r="B103" t="s">
        <v>262</v>
      </c>
      <c r="C103" s="4" t="s">
        <v>1748</v>
      </c>
      <c r="D103" t="s">
        <v>1749</v>
      </c>
      <c r="E103" t="s">
        <v>524</v>
      </c>
      <c r="F103" t="str">
        <f>LEFT(premier_player_23_24[[#This Row],[Position]],2)</f>
        <v>MF</v>
      </c>
      <c r="G103" s="3">
        <v>25</v>
      </c>
      <c r="H10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03" s="3">
        <v>38</v>
      </c>
      <c r="J103" s="3">
        <v>37</v>
      </c>
      <c r="K103" s="2">
        <v>3054</v>
      </c>
      <c r="L103" s="2" t="str">
        <f>IF(premier_player_23_24[[#This Row],[Minutes]]&gt;1000,"More than 1000 minutes","Less than 1000 minutes")</f>
        <v>More than 1000 minutes</v>
      </c>
      <c r="M103" s="2">
        <v>33.9</v>
      </c>
      <c r="N103" s="3">
        <v>1</v>
      </c>
      <c r="O103" s="3">
        <v>3</v>
      </c>
      <c r="P103" s="3">
        <v>4</v>
      </c>
      <c r="Q103" s="3">
        <v>1</v>
      </c>
      <c r="R103" s="3">
        <v>0</v>
      </c>
      <c r="S103" s="3">
        <v>0</v>
      </c>
      <c r="T103" s="2">
        <v>8</v>
      </c>
      <c r="U103" s="2">
        <v>0</v>
      </c>
      <c r="V103" s="2">
        <v>1.8</v>
      </c>
      <c r="W103" s="2">
        <f>premier_player_23_24[[#This Row],[Goals]]-premier_player_23_24[[#This Row],[Expected Goals ]]</f>
        <v>-0.8</v>
      </c>
      <c r="X103" s="2">
        <v>1.8</v>
      </c>
      <c r="Y103" s="2">
        <v>4.8</v>
      </c>
      <c r="Z103" s="2">
        <v>6.5</v>
      </c>
      <c r="AA103" s="3">
        <v>25</v>
      </c>
      <c r="AB103" s="3">
        <v>123</v>
      </c>
      <c r="AC103" s="3">
        <v>81</v>
      </c>
      <c r="AD103" s="1">
        <v>0.03</v>
      </c>
      <c r="AE103" s="1">
        <v>0.09</v>
      </c>
      <c r="AF103" s="1">
        <v>0.12</v>
      </c>
      <c r="AG103" s="1">
        <v>0.03</v>
      </c>
      <c r="AH103" s="1">
        <v>0.12</v>
      </c>
      <c r="AI103" s="1">
        <v>0.05</v>
      </c>
      <c r="AJ103" s="1">
        <v>0.14000000000000001</v>
      </c>
      <c r="AK103" s="1">
        <v>0.19</v>
      </c>
      <c r="AL103" s="1">
        <v>0.05</v>
      </c>
      <c r="AM103" s="1">
        <v>0.19</v>
      </c>
      <c r="AN103" t="s">
        <v>1413</v>
      </c>
    </row>
    <row r="104" spans="1:40" x14ac:dyDescent="0.25">
      <c r="A104" t="s">
        <v>1455</v>
      </c>
      <c r="B104" t="s">
        <v>1456</v>
      </c>
      <c r="C104" s="4" t="s">
        <v>1808</v>
      </c>
      <c r="D104" t="s">
        <v>1809</v>
      </c>
      <c r="E104" t="s">
        <v>108</v>
      </c>
      <c r="F104" t="str">
        <f>LEFT(premier_player_23_24[[#This Row],[Position]],2)</f>
        <v>DF</v>
      </c>
      <c r="G104" s="3">
        <v>29</v>
      </c>
      <c r="H10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04" s="3">
        <v>19</v>
      </c>
      <c r="J104" s="3">
        <v>7</v>
      </c>
      <c r="K104" s="2">
        <v>739</v>
      </c>
      <c r="L104" s="2" t="str">
        <f>IF(premier_player_23_24[[#This Row],[Minutes]]&gt;1000,"More than 1000 minutes","Less than 1000 minutes")</f>
        <v>Less than 1000 minutes</v>
      </c>
      <c r="M104" s="2">
        <v>8.1999999999999993</v>
      </c>
      <c r="N104" s="3">
        <v>1</v>
      </c>
      <c r="O104" s="3">
        <v>0</v>
      </c>
      <c r="P104" s="3">
        <v>1</v>
      </c>
      <c r="Q104" s="3">
        <v>1</v>
      </c>
      <c r="R104" s="3">
        <v>0</v>
      </c>
      <c r="S104" s="3">
        <v>0</v>
      </c>
      <c r="T104" s="2">
        <v>5</v>
      </c>
      <c r="U104" s="2">
        <v>0</v>
      </c>
      <c r="V104" s="2">
        <v>0.3</v>
      </c>
      <c r="W104" s="2">
        <f>premier_player_23_24[[#This Row],[Goals]]-premier_player_23_24[[#This Row],[Expected Goals ]]</f>
        <v>0.7</v>
      </c>
      <c r="X104" s="2">
        <v>0.3</v>
      </c>
      <c r="Y104" s="2">
        <v>1.1000000000000001</v>
      </c>
      <c r="Z104" s="2">
        <v>1.4</v>
      </c>
      <c r="AA104" s="3">
        <v>22</v>
      </c>
      <c r="AB104" s="3">
        <v>36</v>
      </c>
      <c r="AC104" s="3">
        <v>31</v>
      </c>
      <c r="AD104" s="1">
        <v>0.12</v>
      </c>
      <c r="AE104" s="1">
        <v>0</v>
      </c>
      <c r="AF104" s="1">
        <v>0.12</v>
      </c>
      <c r="AG104" s="1">
        <v>0.12</v>
      </c>
      <c r="AH104" s="1">
        <v>0.12</v>
      </c>
      <c r="AI104" s="1">
        <v>0.04</v>
      </c>
      <c r="AJ104" s="1">
        <v>0.13</v>
      </c>
      <c r="AK104" s="1">
        <v>0.17</v>
      </c>
      <c r="AL104" s="1">
        <v>0.04</v>
      </c>
      <c r="AM104" s="1">
        <v>0.17</v>
      </c>
      <c r="AN104" t="s">
        <v>1413</v>
      </c>
    </row>
    <row r="105" spans="1:40" x14ac:dyDescent="0.25">
      <c r="A105" t="s">
        <v>1416</v>
      </c>
      <c r="B105" t="s">
        <v>804</v>
      </c>
      <c r="C105" s="4" t="s">
        <v>1788</v>
      </c>
      <c r="D105" t="s">
        <v>1789</v>
      </c>
      <c r="E105" t="s">
        <v>36</v>
      </c>
      <c r="F105" t="str">
        <f>LEFT(premier_player_23_24[[#This Row],[Position]],2)</f>
        <v>MF</v>
      </c>
      <c r="G105" s="3">
        <v>29</v>
      </c>
      <c r="H10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05" s="3">
        <v>31</v>
      </c>
      <c r="J105" s="3">
        <v>30</v>
      </c>
      <c r="K105" s="2">
        <v>2505</v>
      </c>
      <c r="L105" s="2" t="str">
        <f>IF(premier_player_23_24[[#This Row],[Minutes]]&gt;1000,"More than 1000 minutes","Less than 1000 minutes")</f>
        <v>More than 1000 minutes</v>
      </c>
      <c r="M105" s="2">
        <v>27.8</v>
      </c>
      <c r="N105" s="3">
        <v>2</v>
      </c>
      <c r="O105" s="3">
        <v>1</v>
      </c>
      <c r="P105" s="3">
        <v>3</v>
      </c>
      <c r="Q105" s="3">
        <v>2</v>
      </c>
      <c r="R105" s="3">
        <v>0</v>
      </c>
      <c r="S105" s="3">
        <v>0</v>
      </c>
      <c r="T105" s="2">
        <v>8</v>
      </c>
      <c r="U105" s="2">
        <v>0</v>
      </c>
      <c r="V105" s="2">
        <v>3.5</v>
      </c>
      <c r="W105" s="2">
        <f>premier_player_23_24[[#This Row],[Goals]]-premier_player_23_24[[#This Row],[Expected Goals ]]</f>
        <v>-1.5</v>
      </c>
      <c r="X105" s="2">
        <v>3.5</v>
      </c>
      <c r="Y105" s="2">
        <v>1.9</v>
      </c>
      <c r="Z105" s="2">
        <v>5.4</v>
      </c>
      <c r="AA105" s="3">
        <v>15</v>
      </c>
      <c r="AB105" s="3">
        <v>161</v>
      </c>
      <c r="AC105" s="3">
        <v>42</v>
      </c>
      <c r="AD105" s="1">
        <v>7.0000000000000007E-2</v>
      </c>
      <c r="AE105" s="1">
        <v>0.04</v>
      </c>
      <c r="AF105" s="1">
        <v>0.11</v>
      </c>
      <c r="AG105" s="1">
        <v>7.0000000000000007E-2</v>
      </c>
      <c r="AH105" s="1">
        <v>0.11</v>
      </c>
      <c r="AI105" s="1">
        <v>0.12</v>
      </c>
      <c r="AJ105" s="1">
        <v>7.0000000000000007E-2</v>
      </c>
      <c r="AK105" s="1">
        <v>0.19</v>
      </c>
      <c r="AL105" s="1">
        <v>0.12</v>
      </c>
      <c r="AM105" s="1">
        <v>0.19</v>
      </c>
      <c r="AN105" t="s">
        <v>1413</v>
      </c>
    </row>
    <row r="106" spans="1:40" x14ac:dyDescent="0.25">
      <c r="A106" t="s">
        <v>1448</v>
      </c>
      <c r="B106" t="s">
        <v>804</v>
      </c>
      <c r="C106" s="4" t="s">
        <v>1788</v>
      </c>
      <c r="D106" t="s">
        <v>1789</v>
      </c>
      <c r="E106" t="s">
        <v>108</v>
      </c>
      <c r="F106" t="str">
        <f>LEFT(premier_player_23_24[[#This Row],[Position]],2)</f>
        <v>DF</v>
      </c>
      <c r="G106" s="3">
        <v>33</v>
      </c>
      <c r="H10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06" s="3">
        <v>14</v>
      </c>
      <c r="J106" s="3">
        <v>12</v>
      </c>
      <c r="K106" s="2">
        <v>1087</v>
      </c>
      <c r="L106" s="2" t="str">
        <f>IF(premier_player_23_24[[#This Row],[Minutes]]&gt;1000,"More than 1000 minutes","Less than 1000 minutes")</f>
        <v>More than 1000 minutes</v>
      </c>
      <c r="M106" s="2">
        <v>12.1</v>
      </c>
      <c r="N106" s="3">
        <v>1</v>
      </c>
      <c r="O106" s="3">
        <v>0</v>
      </c>
      <c r="P106" s="3">
        <v>1</v>
      </c>
      <c r="Q106" s="3">
        <v>1</v>
      </c>
      <c r="R106" s="3">
        <v>0</v>
      </c>
      <c r="S106" s="3">
        <v>0</v>
      </c>
      <c r="T106" s="2">
        <v>4</v>
      </c>
      <c r="U106" s="2">
        <v>0</v>
      </c>
      <c r="V106" s="2">
        <v>0.7</v>
      </c>
      <c r="W106" s="2">
        <f>premier_player_23_24[[#This Row],[Goals]]-premier_player_23_24[[#This Row],[Expected Goals ]]</f>
        <v>0.30000000000000004</v>
      </c>
      <c r="X106" s="2">
        <v>0.7</v>
      </c>
      <c r="Y106" s="2">
        <v>0.9</v>
      </c>
      <c r="Z106" s="2">
        <v>1.7</v>
      </c>
      <c r="AA106" s="3">
        <v>5</v>
      </c>
      <c r="AB106" s="3">
        <v>50</v>
      </c>
      <c r="AC106" s="3">
        <v>4</v>
      </c>
      <c r="AD106" s="1">
        <v>0.08</v>
      </c>
      <c r="AE106" s="1">
        <v>0</v>
      </c>
      <c r="AF106" s="1">
        <v>0.08</v>
      </c>
      <c r="AG106" s="1">
        <v>0.08</v>
      </c>
      <c r="AH106" s="1">
        <v>0.08</v>
      </c>
      <c r="AI106" s="1">
        <v>0.06</v>
      </c>
      <c r="AJ106" s="1">
        <v>0.08</v>
      </c>
      <c r="AK106" s="1">
        <v>0.14000000000000001</v>
      </c>
      <c r="AL106" s="1">
        <v>0.06</v>
      </c>
      <c r="AM106" s="1">
        <v>0.14000000000000001</v>
      </c>
      <c r="AN106" t="s">
        <v>1413</v>
      </c>
    </row>
    <row r="107" spans="1:40" x14ac:dyDescent="0.25">
      <c r="A107" t="s">
        <v>1420</v>
      </c>
      <c r="B107" t="s">
        <v>411</v>
      </c>
      <c r="C107" s="4" t="s">
        <v>1792</v>
      </c>
      <c r="D107" t="s">
        <v>1793</v>
      </c>
      <c r="E107" t="s">
        <v>108</v>
      </c>
      <c r="F107" t="str">
        <f>LEFT(premier_player_23_24[[#This Row],[Position]],2)</f>
        <v>DF</v>
      </c>
      <c r="G107" s="3">
        <v>22</v>
      </c>
      <c r="H10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07" s="3">
        <v>32</v>
      </c>
      <c r="J107" s="3">
        <v>29</v>
      </c>
      <c r="K107" s="2">
        <v>2652</v>
      </c>
      <c r="L107" s="2" t="str">
        <f>IF(premier_player_23_24[[#This Row],[Minutes]]&gt;1000,"More than 1000 minutes","Less than 1000 minutes")</f>
        <v>More than 1000 minutes</v>
      </c>
      <c r="M107" s="2">
        <v>29.5</v>
      </c>
      <c r="N107" s="3">
        <v>1</v>
      </c>
      <c r="O107" s="3">
        <v>1</v>
      </c>
      <c r="P107" s="3">
        <v>2</v>
      </c>
      <c r="Q107" s="3">
        <v>1</v>
      </c>
      <c r="R107" s="3">
        <v>0</v>
      </c>
      <c r="S107" s="3">
        <v>0</v>
      </c>
      <c r="T107" s="2">
        <v>3</v>
      </c>
      <c r="U107" s="2">
        <v>0</v>
      </c>
      <c r="V107" s="2">
        <v>1.7</v>
      </c>
      <c r="W107" s="2">
        <f>premier_player_23_24[[#This Row],[Goals]]-premier_player_23_24[[#This Row],[Expected Goals ]]</f>
        <v>-0.7</v>
      </c>
      <c r="X107" s="2">
        <v>1.7</v>
      </c>
      <c r="Y107" s="2">
        <v>2.2000000000000002</v>
      </c>
      <c r="Z107" s="2">
        <v>3.9</v>
      </c>
      <c r="AA107" s="3">
        <v>11</v>
      </c>
      <c r="AB107" s="3">
        <v>97</v>
      </c>
      <c r="AC107" s="3">
        <v>18</v>
      </c>
      <c r="AD107" s="1">
        <v>0.03</v>
      </c>
      <c r="AE107" s="1">
        <v>0.03</v>
      </c>
      <c r="AF107" s="1">
        <v>7.0000000000000007E-2</v>
      </c>
      <c r="AG107" s="1">
        <v>0.03</v>
      </c>
      <c r="AH107" s="1">
        <v>7.0000000000000007E-2</v>
      </c>
      <c r="AI107" s="1">
        <v>0.06</v>
      </c>
      <c r="AJ107" s="1">
        <v>7.0000000000000007E-2</v>
      </c>
      <c r="AK107" s="1">
        <v>0.13</v>
      </c>
      <c r="AL107" s="1">
        <v>0.06</v>
      </c>
      <c r="AM107" s="1">
        <v>0.13</v>
      </c>
      <c r="AN107" t="s">
        <v>1413</v>
      </c>
    </row>
    <row r="108" spans="1:40" x14ac:dyDescent="0.25">
      <c r="A108" t="s">
        <v>1427</v>
      </c>
      <c r="B108" t="s">
        <v>942</v>
      </c>
      <c r="C108" s="4" t="s">
        <v>1774</v>
      </c>
      <c r="D108" t="s">
        <v>1775</v>
      </c>
      <c r="E108" t="s">
        <v>108</v>
      </c>
      <c r="F108" t="str">
        <f>LEFT(premier_player_23_24[[#This Row],[Position]],2)</f>
        <v>DF</v>
      </c>
      <c r="G108" s="3">
        <v>30</v>
      </c>
      <c r="H10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08" s="3">
        <v>29</v>
      </c>
      <c r="J108" s="3">
        <v>28</v>
      </c>
      <c r="K108" s="2">
        <v>2521</v>
      </c>
      <c r="L108" s="2" t="str">
        <f>IF(premier_player_23_24[[#This Row],[Minutes]]&gt;1000,"More than 1000 minutes","Less than 1000 minutes")</f>
        <v>More than 1000 minutes</v>
      </c>
      <c r="M108" s="2">
        <v>28</v>
      </c>
      <c r="N108" s="3">
        <v>2</v>
      </c>
      <c r="O108" s="3">
        <v>0</v>
      </c>
      <c r="P108" s="3">
        <v>2</v>
      </c>
      <c r="Q108" s="3">
        <v>2</v>
      </c>
      <c r="R108" s="3">
        <v>0</v>
      </c>
      <c r="S108" s="3">
        <v>0</v>
      </c>
      <c r="T108" s="2">
        <v>1</v>
      </c>
      <c r="U108" s="2">
        <v>0</v>
      </c>
      <c r="V108" s="2">
        <v>2</v>
      </c>
      <c r="W108" s="2">
        <f>premier_player_23_24[[#This Row],[Goals]]-premier_player_23_24[[#This Row],[Expected Goals ]]</f>
        <v>0</v>
      </c>
      <c r="X108" s="2">
        <v>2</v>
      </c>
      <c r="Y108" s="2">
        <v>1</v>
      </c>
      <c r="Z108" s="2">
        <v>3</v>
      </c>
      <c r="AA108" s="3">
        <v>11</v>
      </c>
      <c r="AB108" s="3">
        <v>61</v>
      </c>
      <c r="AC108" s="3">
        <v>16</v>
      </c>
      <c r="AD108" s="1">
        <v>7.0000000000000007E-2</v>
      </c>
      <c r="AE108" s="1">
        <v>0</v>
      </c>
      <c r="AF108" s="1">
        <v>7.0000000000000007E-2</v>
      </c>
      <c r="AG108" s="1">
        <v>7.0000000000000007E-2</v>
      </c>
      <c r="AH108" s="1">
        <v>7.0000000000000007E-2</v>
      </c>
      <c r="AI108" s="1">
        <v>7.0000000000000007E-2</v>
      </c>
      <c r="AJ108" s="1">
        <v>0.04</v>
      </c>
      <c r="AK108" s="1">
        <v>0.11</v>
      </c>
      <c r="AL108" s="1">
        <v>7.0000000000000007E-2</v>
      </c>
      <c r="AM108" s="1">
        <v>0.11</v>
      </c>
      <c r="AN108" t="s">
        <v>1413</v>
      </c>
    </row>
    <row r="109" spans="1:40" x14ac:dyDescent="0.25">
      <c r="A109" t="s">
        <v>1410</v>
      </c>
      <c r="B109" t="s">
        <v>196</v>
      </c>
      <c r="C109" s="4" t="s">
        <v>1768</v>
      </c>
      <c r="D109" t="s">
        <v>1769</v>
      </c>
      <c r="E109" t="s">
        <v>77</v>
      </c>
      <c r="F109" t="str">
        <f>LEFT(premier_player_23_24[[#This Row],[Position]],2)</f>
        <v>GK</v>
      </c>
      <c r="G109" s="3">
        <v>30</v>
      </c>
      <c r="H10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09" s="3">
        <v>37</v>
      </c>
      <c r="J109" s="3">
        <v>37</v>
      </c>
      <c r="K109" s="2">
        <v>3285</v>
      </c>
      <c r="L109" s="2" t="str">
        <f>IF(premier_player_23_24[[#This Row],[Minutes]]&gt;1000,"More than 1000 minutes","Less than 1000 minutes")</f>
        <v>More than 1000 minutes</v>
      </c>
      <c r="M109" s="2">
        <v>36.5</v>
      </c>
      <c r="N109" s="3">
        <v>0</v>
      </c>
      <c r="O109" s="3">
        <v>1</v>
      </c>
      <c r="P109" s="3">
        <v>1</v>
      </c>
      <c r="Q109" s="3">
        <v>0</v>
      </c>
      <c r="R109" s="3">
        <v>0</v>
      </c>
      <c r="S109" s="3">
        <v>0</v>
      </c>
      <c r="T109" s="2">
        <v>3</v>
      </c>
      <c r="U109" s="2">
        <v>0</v>
      </c>
      <c r="V109" s="2">
        <v>0</v>
      </c>
      <c r="W109" s="2">
        <f>premier_player_23_24[[#This Row],[Goals]]-premier_player_23_24[[#This Row],[Expected Goals ]]</f>
        <v>0</v>
      </c>
      <c r="X109" s="2">
        <v>0</v>
      </c>
      <c r="Y109" s="2">
        <v>0.5</v>
      </c>
      <c r="Z109" s="2">
        <v>0.5</v>
      </c>
      <c r="AA109" s="3">
        <v>0</v>
      </c>
      <c r="AB109" s="3">
        <v>5</v>
      </c>
      <c r="AC109" s="3">
        <v>0</v>
      </c>
      <c r="AD109" s="1">
        <v>0</v>
      </c>
      <c r="AE109" s="1">
        <v>0.03</v>
      </c>
      <c r="AF109" s="1">
        <v>0.03</v>
      </c>
      <c r="AG109" s="1">
        <v>0</v>
      </c>
      <c r="AH109" s="1">
        <v>0.03</v>
      </c>
      <c r="AI109" s="1">
        <v>0</v>
      </c>
      <c r="AJ109" s="1">
        <v>0.01</v>
      </c>
      <c r="AK109" s="1">
        <v>0.01</v>
      </c>
      <c r="AL109" s="1">
        <v>0</v>
      </c>
      <c r="AM109" s="1">
        <v>0.01</v>
      </c>
      <c r="AN109" t="s">
        <v>1413</v>
      </c>
    </row>
    <row r="110" spans="1:40" x14ac:dyDescent="0.25">
      <c r="A110" t="s">
        <v>1451</v>
      </c>
      <c r="B110" t="s">
        <v>360</v>
      </c>
      <c r="C110" s="4" t="s">
        <v>1776</v>
      </c>
      <c r="D110" t="s">
        <v>1777</v>
      </c>
      <c r="E110" t="s">
        <v>108</v>
      </c>
      <c r="F110" t="str">
        <f>LEFT(premier_player_23_24[[#This Row],[Position]],2)</f>
        <v>DF</v>
      </c>
      <c r="G110" s="3">
        <v>21</v>
      </c>
      <c r="H11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10" s="3">
        <v>9</v>
      </c>
      <c r="J110" s="3">
        <v>9</v>
      </c>
      <c r="K110" s="2">
        <v>713</v>
      </c>
      <c r="L110" s="2" t="str">
        <f>IF(premier_player_23_24[[#This Row],[Minutes]]&gt;1000,"More than 1000 minutes","Less than 1000 minutes")</f>
        <v>Less than 1000 minutes</v>
      </c>
      <c r="M110" s="2">
        <v>7.9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2">
        <v>5</v>
      </c>
      <c r="U110" s="2">
        <v>0</v>
      </c>
      <c r="V110" s="2">
        <v>0.2</v>
      </c>
      <c r="W110" s="2">
        <f>premier_player_23_24[[#This Row],[Goals]]-premier_player_23_24[[#This Row],[Expected Goals ]]</f>
        <v>-0.2</v>
      </c>
      <c r="X110" s="2">
        <v>0.2</v>
      </c>
      <c r="Y110" s="2">
        <v>0.1</v>
      </c>
      <c r="Z110" s="2">
        <v>0.3</v>
      </c>
      <c r="AA110" s="3">
        <v>9</v>
      </c>
      <c r="AB110" s="3">
        <v>21</v>
      </c>
      <c r="AC110" s="3">
        <v>13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0.03</v>
      </c>
      <c r="AJ110" s="1">
        <v>0.01</v>
      </c>
      <c r="AK110" s="1">
        <v>0.04</v>
      </c>
      <c r="AL110" s="1">
        <v>0.03</v>
      </c>
      <c r="AM110" s="1">
        <v>0.04</v>
      </c>
      <c r="AN110" t="s">
        <v>1413</v>
      </c>
    </row>
    <row r="111" spans="1:40" x14ac:dyDescent="0.25">
      <c r="A111" t="s">
        <v>1458</v>
      </c>
      <c r="B111" t="s">
        <v>493</v>
      </c>
      <c r="C111" s="4" t="s">
        <v>1760</v>
      </c>
      <c r="D111" t="s">
        <v>1761</v>
      </c>
      <c r="E111" t="s">
        <v>36</v>
      </c>
      <c r="F111" t="str">
        <f>LEFT(premier_player_23_24[[#This Row],[Position]],2)</f>
        <v>MF</v>
      </c>
      <c r="G111" s="3">
        <v>19</v>
      </c>
      <c r="H11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11" s="3">
        <v>27</v>
      </c>
      <c r="J111" s="3">
        <v>6</v>
      </c>
      <c r="K111" s="2">
        <v>688</v>
      </c>
      <c r="L111" s="2" t="str">
        <f>IF(premier_player_23_24[[#This Row],[Minutes]]&gt;1000,"More than 1000 minutes","Less than 1000 minutes")</f>
        <v>Less than 1000 minutes</v>
      </c>
      <c r="M111" s="2">
        <v>7.6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2">
        <v>2</v>
      </c>
      <c r="U111" s="2">
        <v>0</v>
      </c>
      <c r="V111" s="2">
        <v>1</v>
      </c>
      <c r="W111" s="2">
        <f>premier_player_23_24[[#This Row],[Goals]]-premier_player_23_24[[#This Row],[Expected Goals ]]</f>
        <v>-1</v>
      </c>
      <c r="X111" s="2">
        <v>1</v>
      </c>
      <c r="Y111" s="2">
        <v>0.1</v>
      </c>
      <c r="Z111" s="2">
        <v>1.1000000000000001</v>
      </c>
      <c r="AA111" s="3">
        <v>13</v>
      </c>
      <c r="AB111" s="3">
        <v>35</v>
      </c>
      <c r="AC111" s="3">
        <v>36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0.13</v>
      </c>
      <c r="AJ111" s="1">
        <v>0.01</v>
      </c>
      <c r="AK111" s="1">
        <v>0.14000000000000001</v>
      </c>
      <c r="AL111" s="1">
        <v>0.13</v>
      </c>
      <c r="AM111" s="1">
        <v>0.14000000000000001</v>
      </c>
      <c r="AN111" t="s">
        <v>1413</v>
      </c>
    </row>
    <row r="112" spans="1:40" x14ac:dyDescent="0.25">
      <c r="A112" t="s">
        <v>1466</v>
      </c>
      <c r="B112" t="s">
        <v>625</v>
      </c>
      <c r="C112" s="4" t="s">
        <v>1810</v>
      </c>
      <c r="D112" t="s">
        <v>1811</v>
      </c>
      <c r="E112" t="s">
        <v>77</v>
      </c>
      <c r="F112" t="str">
        <f>LEFT(premier_player_23_24[[#This Row],[Position]],2)</f>
        <v>GK</v>
      </c>
      <c r="G112" s="3">
        <v>28</v>
      </c>
      <c r="H11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12" s="3">
        <v>2</v>
      </c>
      <c r="J112" s="3">
        <v>1</v>
      </c>
      <c r="K112" s="2">
        <v>135</v>
      </c>
      <c r="L112" s="2" t="str">
        <f>IF(premier_player_23_24[[#This Row],[Minutes]]&gt;1000,"More than 1000 minutes","Less than 1000 minutes")</f>
        <v>Less than 1000 minutes</v>
      </c>
      <c r="M112" s="2">
        <v>1.5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2">
        <v>0</v>
      </c>
      <c r="U112" s="2">
        <v>0</v>
      </c>
      <c r="V112" s="2">
        <v>0</v>
      </c>
      <c r="W112" s="2">
        <f>premier_player_23_24[[#This Row],[Goals]]-premier_player_23_24[[#This Row],[Expected Goals ]]</f>
        <v>0</v>
      </c>
      <c r="X112" s="2">
        <v>0</v>
      </c>
      <c r="Y112" s="2">
        <v>0</v>
      </c>
      <c r="Z112" s="2">
        <v>0</v>
      </c>
      <c r="AA112" s="3">
        <v>0</v>
      </c>
      <c r="AB112" s="3">
        <v>0</v>
      </c>
      <c r="AC112" s="3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t="s">
        <v>1413</v>
      </c>
    </row>
    <row r="113" spans="1:40" x14ac:dyDescent="0.25">
      <c r="A113" t="s">
        <v>1467</v>
      </c>
      <c r="B113" t="s">
        <v>57</v>
      </c>
      <c r="C113" s="4" t="s">
        <v>1744</v>
      </c>
      <c r="D113" t="s">
        <v>1745</v>
      </c>
      <c r="E113" t="s">
        <v>644</v>
      </c>
      <c r="F113" t="str">
        <f>LEFT(premier_player_23_24[[#This Row],[Position]],2)</f>
        <v>DF</v>
      </c>
      <c r="G113" s="3">
        <v>19</v>
      </c>
      <c r="H11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13" s="3">
        <v>8</v>
      </c>
      <c r="J113" s="3">
        <v>0</v>
      </c>
      <c r="K113" s="2">
        <v>59</v>
      </c>
      <c r="L113" s="2" t="str">
        <f>IF(premier_player_23_24[[#This Row],[Minutes]]&gt;1000,"More than 1000 minutes","Less than 1000 minutes")</f>
        <v>Less than 1000 minutes</v>
      </c>
      <c r="M113" s="2">
        <v>0.7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2">
        <v>0</v>
      </c>
      <c r="U113" s="2">
        <v>0</v>
      </c>
      <c r="V113" s="2">
        <v>0.1</v>
      </c>
      <c r="W113" s="2">
        <f>premier_player_23_24[[#This Row],[Goals]]-premier_player_23_24[[#This Row],[Expected Goals ]]</f>
        <v>-0.1</v>
      </c>
      <c r="X113" s="2">
        <v>0.1</v>
      </c>
      <c r="Y113" s="2">
        <v>0</v>
      </c>
      <c r="Z113" s="2">
        <v>0.1</v>
      </c>
      <c r="AA113" s="3">
        <v>10</v>
      </c>
      <c r="AB113" s="3">
        <v>4</v>
      </c>
      <c r="AC113" s="3">
        <v>17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0.18</v>
      </c>
      <c r="AJ113" s="1">
        <v>0</v>
      </c>
      <c r="AK113" s="1">
        <v>0.18</v>
      </c>
      <c r="AL113" s="1">
        <v>0.18</v>
      </c>
      <c r="AM113" s="1">
        <v>0.18</v>
      </c>
      <c r="AN113" t="s">
        <v>1413</v>
      </c>
    </row>
    <row r="114" spans="1:40" x14ac:dyDescent="0.25">
      <c r="A114" t="s">
        <v>1468</v>
      </c>
      <c r="B114" t="s">
        <v>57</v>
      </c>
      <c r="C114" s="4" t="s">
        <v>1744</v>
      </c>
      <c r="D114" t="s">
        <v>1745</v>
      </c>
      <c r="E114" t="s">
        <v>644</v>
      </c>
      <c r="F114" t="str">
        <f>LEFT(premier_player_23_24[[#This Row],[Position]],2)</f>
        <v>DF</v>
      </c>
      <c r="G114" s="3">
        <v>24</v>
      </c>
      <c r="H11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14" s="3">
        <v>3</v>
      </c>
      <c r="J114" s="3">
        <v>0</v>
      </c>
      <c r="K114" s="2">
        <v>24</v>
      </c>
      <c r="L114" s="2" t="str">
        <f>IF(premier_player_23_24[[#This Row],[Minutes]]&gt;1000,"More than 1000 minutes","Less than 1000 minutes")</f>
        <v>Less than 1000 minutes</v>
      </c>
      <c r="M114" s="2">
        <v>0.3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2">
        <v>0</v>
      </c>
      <c r="U114" s="2">
        <v>0</v>
      </c>
      <c r="V114" s="2">
        <v>0</v>
      </c>
      <c r="W114" s="2">
        <f>premier_player_23_24[[#This Row],[Goals]]-premier_player_23_24[[#This Row],[Expected Goals ]]</f>
        <v>0</v>
      </c>
      <c r="X114" s="2">
        <v>0</v>
      </c>
      <c r="Y114" s="2">
        <v>0.2</v>
      </c>
      <c r="Z114" s="2">
        <v>0.2</v>
      </c>
      <c r="AA114" s="3">
        <v>2</v>
      </c>
      <c r="AB114" s="3">
        <v>2</v>
      </c>
      <c r="AC114" s="3">
        <v>5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0.72</v>
      </c>
      <c r="AK114" s="1">
        <v>0.72</v>
      </c>
      <c r="AL114" s="1">
        <v>0</v>
      </c>
      <c r="AM114" s="1">
        <v>0.72</v>
      </c>
      <c r="AN114" t="s">
        <v>1413</v>
      </c>
    </row>
    <row r="115" spans="1:40" x14ac:dyDescent="0.25">
      <c r="A115" t="s">
        <v>1469</v>
      </c>
      <c r="B115" t="s">
        <v>57</v>
      </c>
      <c r="C115" s="4" t="s">
        <v>1744</v>
      </c>
      <c r="D115" t="s">
        <v>1745</v>
      </c>
      <c r="E115" t="s">
        <v>172</v>
      </c>
      <c r="F115" t="str">
        <f>LEFT(premier_player_23_24[[#This Row],[Position]],2)</f>
        <v>DF</v>
      </c>
      <c r="G115" s="3">
        <v>20</v>
      </c>
      <c r="H11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15" s="3">
        <v>3</v>
      </c>
      <c r="J115" s="3">
        <v>0</v>
      </c>
      <c r="K115" s="2">
        <v>13</v>
      </c>
      <c r="L115" s="2" t="str">
        <f>IF(premier_player_23_24[[#This Row],[Minutes]]&gt;1000,"More than 1000 minutes","Less than 1000 minutes")</f>
        <v>Less than 1000 minutes</v>
      </c>
      <c r="M115" s="2">
        <v>0.1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2">
        <v>0</v>
      </c>
      <c r="U115" s="2">
        <v>0</v>
      </c>
      <c r="V115" s="2">
        <v>0</v>
      </c>
      <c r="W115" s="2">
        <f>premier_player_23_24[[#This Row],[Goals]]-premier_player_23_24[[#This Row],[Expected Goals ]]</f>
        <v>0</v>
      </c>
      <c r="X115" s="2">
        <v>0</v>
      </c>
      <c r="Y115" s="2">
        <v>0</v>
      </c>
      <c r="Z115" s="2">
        <v>0</v>
      </c>
      <c r="AA115" s="3">
        <v>2</v>
      </c>
      <c r="AB115" s="3">
        <v>1</v>
      </c>
      <c r="AC115" s="3">
        <v>1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0.12</v>
      </c>
      <c r="AK115" s="1">
        <v>0.12</v>
      </c>
      <c r="AL115" s="1">
        <v>0</v>
      </c>
      <c r="AM115" s="1">
        <v>0.12</v>
      </c>
      <c r="AN115" t="s">
        <v>1413</v>
      </c>
    </row>
    <row r="116" spans="1:40" x14ac:dyDescent="0.25">
      <c r="A116" t="s">
        <v>1270</v>
      </c>
      <c r="B116" t="s">
        <v>57</v>
      </c>
      <c r="C116" s="4" t="s">
        <v>1744</v>
      </c>
      <c r="D116" t="s">
        <v>1745</v>
      </c>
      <c r="E116" t="s">
        <v>709</v>
      </c>
      <c r="F116" t="str">
        <f>LEFT(premier_player_23_24[[#This Row],[Position]],2)</f>
        <v>FW</v>
      </c>
      <c r="G116" s="3">
        <v>29</v>
      </c>
      <c r="H11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16" s="3">
        <v>7</v>
      </c>
      <c r="J116" s="3">
        <v>7</v>
      </c>
      <c r="K116" s="2">
        <v>554</v>
      </c>
      <c r="L116" s="2" t="str">
        <f>IF(premier_player_23_24[[#This Row],[Minutes]]&gt;1000,"More than 1000 minutes","Less than 1000 minutes")</f>
        <v>Less than 1000 minutes</v>
      </c>
      <c r="M116" s="2">
        <v>6.2</v>
      </c>
      <c r="N116" s="3">
        <v>3</v>
      </c>
      <c r="O116" s="3">
        <v>1</v>
      </c>
      <c r="P116" s="3">
        <v>4</v>
      </c>
      <c r="Q116" s="3">
        <v>3</v>
      </c>
      <c r="R116" s="3">
        <v>0</v>
      </c>
      <c r="S116" s="3">
        <v>0</v>
      </c>
      <c r="T116" s="2">
        <v>1</v>
      </c>
      <c r="U116" s="2">
        <v>0</v>
      </c>
      <c r="V116" s="2">
        <v>2</v>
      </c>
      <c r="W116" s="2">
        <f>premier_player_23_24[[#This Row],[Goals]]-premier_player_23_24[[#This Row],[Expected Goals ]]</f>
        <v>1</v>
      </c>
      <c r="X116" s="2">
        <v>2</v>
      </c>
      <c r="Y116" s="2">
        <v>1</v>
      </c>
      <c r="Z116" s="2">
        <v>2.9</v>
      </c>
      <c r="AA116" s="3">
        <v>14</v>
      </c>
      <c r="AB116" s="3">
        <v>24</v>
      </c>
      <c r="AC116" s="3">
        <v>44</v>
      </c>
      <c r="AD116" s="1">
        <v>0.49</v>
      </c>
      <c r="AE116" s="1">
        <v>0.16</v>
      </c>
      <c r="AF116" s="1">
        <v>0.65</v>
      </c>
      <c r="AG116" s="1">
        <v>0.49</v>
      </c>
      <c r="AH116" s="1">
        <v>0.65</v>
      </c>
      <c r="AI116" s="1">
        <v>0.32</v>
      </c>
      <c r="AJ116" s="1">
        <v>0.16</v>
      </c>
      <c r="AK116" s="1">
        <v>0.47</v>
      </c>
      <c r="AL116" s="1">
        <v>0.32</v>
      </c>
      <c r="AM116" s="1">
        <v>0.47</v>
      </c>
      <c r="AN116" t="s">
        <v>1221</v>
      </c>
    </row>
    <row r="117" spans="1:40" x14ac:dyDescent="0.25">
      <c r="A117" t="s">
        <v>1237</v>
      </c>
      <c r="B117" t="s">
        <v>76</v>
      </c>
      <c r="C117" s="4" t="s">
        <v>1750</v>
      </c>
      <c r="D117" t="s">
        <v>1751</v>
      </c>
      <c r="E117" t="s">
        <v>58</v>
      </c>
      <c r="F117" t="str">
        <f>LEFT(premier_player_23_24[[#This Row],[Position]],2)</f>
        <v>FW</v>
      </c>
      <c r="G117" s="3">
        <v>21</v>
      </c>
      <c r="H11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17" s="3">
        <v>31</v>
      </c>
      <c r="J117" s="3">
        <v>19</v>
      </c>
      <c r="K117" s="2">
        <v>2045</v>
      </c>
      <c r="L117" s="2" t="str">
        <f>IF(premier_player_23_24[[#This Row],[Minutes]]&gt;1000,"More than 1000 minutes","Less than 1000 minutes")</f>
        <v>More than 1000 minutes</v>
      </c>
      <c r="M117" s="2">
        <v>22.7</v>
      </c>
      <c r="N117" s="3">
        <v>9</v>
      </c>
      <c r="O117" s="3">
        <v>3</v>
      </c>
      <c r="P117" s="3">
        <v>12</v>
      </c>
      <c r="Q117" s="3">
        <v>5</v>
      </c>
      <c r="R117" s="3">
        <v>4</v>
      </c>
      <c r="S117" s="3">
        <v>5</v>
      </c>
      <c r="T117" s="2">
        <v>2</v>
      </c>
      <c r="U117" s="2">
        <v>0</v>
      </c>
      <c r="V117" s="2">
        <v>11.9</v>
      </c>
      <c r="W117" s="2">
        <f>premier_player_23_24[[#This Row],[Goals]]-premier_player_23_24[[#This Row],[Expected Goals ]]</f>
        <v>-2.9000000000000004</v>
      </c>
      <c r="X117" s="2">
        <v>7.9</v>
      </c>
      <c r="Y117" s="2">
        <v>3.8</v>
      </c>
      <c r="Z117" s="2">
        <v>11.7</v>
      </c>
      <c r="AA117" s="3">
        <v>83</v>
      </c>
      <c r="AB117" s="3">
        <v>92</v>
      </c>
      <c r="AC117" s="3">
        <v>205</v>
      </c>
      <c r="AD117" s="1">
        <v>0.4</v>
      </c>
      <c r="AE117" s="1">
        <v>0.13</v>
      </c>
      <c r="AF117" s="1">
        <v>0.53</v>
      </c>
      <c r="AG117" s="1">
        <v>0.22</v>
      </c>
      <c r="AH117" s="1">
        <v>0.35</v>
      </c>
      <c r="AI117" s="1">
        <v>0.53</v>
      </c>
      <c r="AJ117" s="1">
        <v>0.17</v>
      </c>
      <c r="AK117" s="1">
        <v>0.69</v>
      </c>
      <c r="AL117" s="1">
        <v>0.35</v>
      </c>
      <c r="AM117" s="1">
        <v>0.51</v>
      </c>
      <c r="AN117" t="s">
        <v>1221</v>
      </c>
    </row>
    <row r="118" spans="1:40" x14ac:dyDescent="0.25">
      <c r="A118" t="s">
        <v>1250</v>
      </c>
      <c r="B118" t="s">
        <v>354</v>
      </c>
      <c r="C118" s="4" t="s">
        <v>1756</v>
      </c>
      <c r="D118" t="s">
        <v>1757</v>
      </c>
      <c r="E118" t="s">
        <v>137</v>
      </c>
      <c r="F118" t="str">
        <f>LEFT(premier_player_23_24[[#This Row],[Position]],2)</f>
        <v>FW</v>
      </c>
      <c r="G118" s="3">
        <v>26</v>
      </c>
      <c r="H11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18" s="3">
        <v>19</v>
      </c>
      <c r="J118" s="3">
        <v>15</v>
      </c>
      <c r="K118" s="2">
        <v>1486</v>
      </c>
      <c r="L118" s="2" t="str">
        <f>IF(premier_player_23_24[[#This Row],[Minutes]]&gt;1000,"More than 1000 minutes","Less than 1000 minutes")</f>
        <v>More than 1000 minutes</v>
      </c>
      <c r="M118" s="2">
        <v>16.5</v>
      </c>
      <c r="N118" s="3">
        <v>3</v>
      </c>
      <c r="O118" s="3">
        <v>4</v>
      </c>
      <c r="P118" s="3">
        <v>7</v>
      </c>
      <c r="Q118" s="3">
        <v>3</v>
      </c>
      <c r="R118" s="3">
        <v>0</v>
      </c>
      <c r="S118" s="3">
        <v>0</v>
      </c>
      <c r="T118" s="2">
        <v>4</v>
      </c>
      <c r="U118" s="2">
        <v>0</v>
      </c>
      <c r="V118" s="2">
        <v>3.5</v>
      </c>
      <c r="W118" s="2">
        <f>premier_player_23_24[[#This Row],[Goals]]-premier_player_23_24[[#This Row],[Expected Goals ]]</f>
        <v>-0.5</v>
      </c>
      <c r="X118" s="2">
        <v>3.5</v>
      </c>
      <c r="Y118" s="2">
        <v>2.7</v>
      </c>
      <c r="Z118" s="2">
        <v>6.2</v>
      </c>
      <c r="AA118" s="3">
        <v>121</v>
      </c>
      <c r="AB118" s="3">
        <v>64</v>
      </c>
      <c r="AC118" s="3">
        <v>239</v>
      </c>
      <c r="AD118" s="1">
        <v>0.18</v>
      </c>
      <c r="AE118" s="1">
        <v>0.24</v>
      </c>
      <c r="AF118" s="1">
        <v>0.42</v>
      </c>
      <c r="AG118" s="1">
        <v>0.18</v>
      </c>
      <c r="AH118" s="1">
        <v>0.42</v>
      </c>
      <c r="AI118" s="1">
        <v>0.21</v>
      </c>
      <c r="AJ118" s="1">
        <v>0.16</v>
      </c>
      <c r="AK118" s="1">
        <v>0.37</v>
      </c>
      <c r="AL118" s="1">
        <v>0.21</v>
      </c>
      <c r="AM118" s="1">
        <v>0.37</v>
      </c>
      <c r="AN118" t="s">
        <v>1221</v>
      </c>
    </row>
    <row r="119" spans="1:40" x14ac:dyDescent="0.25">
      <c r="A119" t="s">
        <v>1218</v>
      </c>
      <c r="B119" t="s">
        <v>262</v>
      </c>
      <c r="C119" s="4" t="s">
        <v>1748</v>
      </c>
      <c r="D119" t="s">
        <v>1749</v>
      </c>
      <c r="E119" t="s">
        <v>524</v>
      </c>
      <c r="F119" t="str">
        <f>LEFT(premier_player_23_24[[#This Row],[Position]],2)</f>
        <v>MF</v>
      </c>
      <c r="G119" s="3">
        <v>32</v>
      </c>
      <c r="H11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19" s="3">
        <v>36</v>
      </c>
      <c r="J119" s="3">
        <v>34</v>
      </c>
      <c r="K119" s="2">
        <v>3114</v>
      </c>
      <c r="L119" s="2" t="str">
        <f>IF(premier_player_23_24[[#This Row],[Minutes]]&gt;1000,"More than 1000 minutes","Less than 1000 minutes")</f>
        <v>More than 1000 minutes</v>
      </c>
      <c r="M119" s="2">
        <v>34.6</v>
      </c>
      <c r="N119" s="3">
        <v>4</v>
      </c>
      <c r="O119" s="3">
        <v>10</v>
      </c>
      <c r="P119" s="3">
        <v>14</v>
      </c>
      <c r="Q119" s="3">
        <v>3</v>
      </c>
      <c r="R119" s="3">
        <v>1</v>
      </c>
      <c r="S119" s="3">
        <v>1</v>
      </c>
      <c r="T119" s="2">
        <v>6</v>
      </c>
      <c r="U119" s="2">
        <v>0</v>
      </c>
      <c r="V119" s="2">
        <v>6.5</v>
      </c>
      <c r="W119" s="2">
        <f>premier_player_23_24[[#This Row],[Goals]]-premier_player_23_24[[#This Row],[Expected Goals ]]</f>
        <v>-2.5</v>
      </c>
      <c r="X119" s="2">
        <v>5.7</v>
      </c>
      <c r="Y119" s="2">
        <v>8.1</v>
      </c>
      <c r="Z119" s="2">
        <v>13.8</v>
      </c>
      <c r="AA119" s="3">
        <v>83</v>
      </c>
      <c r="AB119" s="3">
        <v>302</v>
      </c>
      <c r="AC119" s="3">
        <v>180</v>
      </c>
      <c r="AD119" s="1">
        <v>0.12</v>
      </c>
      <c r="AE119" s="1">
        <v>0.28999999999999998</v>
      </c>
      <c r="AF119" s="1">
        <v>0.4</v>
      </c>
      <c r="AG119" s="1">
        <v>0.09</v>
      </c>
      <c r="AH119" s="1">
        <v>0.38</v>
      </c>
      <c r="AI119" s="1">
        <v>0.19</v>
      </c>
      <c r="AJ119" s="1">
        <v>0.24</v>
      </c>
      <c r="AK119" s="1">
        <v>0.42</v>
      </c>
      <c r="AL119" s="1">
        <v>0.16</v>
      </c>
      <c r="AM119" s="1">
        <v>0.4</v>
      </c>
      <c r="AN119" t="s">
        <v>1221</v>
      </c>
    </row>
    <row r="120" spans="1:40" x14ac:dyDescent="0.25">
      <c r="A120" t="s">
        <v>1254</v>
      </c>
      <c r="B120" t="s">
        <v>411</v>
      </c>
      <c r="C120" s="4" t="s">
        <v>1792</v>
      </c>
      <c r="D120" t="s">
        <v>1793</v>
      </c>
      <c r="E120" t="s">
        <v>137</v>
      </c>
      <c r="F120" t="str">
        <f>LEFT(premier_player_23_24[[#This Row],[Position]],2)</f>
        <v>FW</v>
      </c>
      <c r="G120" s="3">
        <v>18</v>
      </c>
      <c r="H12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20" s="3">
        <v>27</v>
      </c>
      <c r="J120" s="3">
        <v>15</v>
      </c>
      <c r="K120" s="2">
        <v>1367</v>
      </c>
      <c r="L120" s="2" t="str">
        <f>IF(premier_player_23_24[[#This Row],[Minutes]]&gt;1000,"More than 1000 minutes","Less than 1000 minutes")</f>
        <v>More than 1000 minutes</v>
      </c>
      <c r="M120" s="2">
        <v>15.2</v>
      </c>
      <c r="N120" s="3">
        <v>6</v>
      </c>
      <c r="O120" s="3">
        <v>0</v>
      </c>
      <c r="P120" s="3">
        <v>6</v>
      </c>
      <c r="Q120" s="3">
        <v>6</v>
      </c>
      <c r="R120" s="3">
        <v>0</v>
      </c>
      <c r="S120" s="3">
        <v>0</v>
      </c>
      <c r="T120" s="2">
        <v>1</v>
      </c>
      <c r="U120" s="2">
        <v>0</v>
      </c>
      <c r="V120" s="2">
        <v>4.5999999999999996</v>
      </c>
      <c r="W120" s="2">
        <f>premier_player_23_24[[#This Row],[Goals]]-premier_player_23_24[[#This Row],[Expected Goals ]]</f>
        <v>1.4000000000000004</v>
      </c>
      <c r="X120" s="2">
        <v>4.5999999999999996</v>
      </c>
      <c r="Y120" s="2">
        <v>0.5</v>
      </c>
      <c r="Z120" s="2">
        <v>5.0999999999999996</v>
      </c>
      <c r="AA120" s="3">
        <v>13</v>
      </c>
      <c r="AB120" s="3">
        <v>15</v>
      </c>
      <c r="AC120" s="3">
        <v>62</v>
      </c>
      <c r="AD120" s="1">
        <v>0.4</v>
      </c>
      <c r="AE120" s="1">
        <v>0</v>
      </c>
      <c r="AF120" s="1">
        <v>0.4</v>
      </c>
      <c r="AG120" s="1">
        <v>0.4</v>
      </c>
      <c r="AH120" s="1">
        <v>0.4</v>
      </c>
      <c r="AI120" s="1">
        <v>0.3</v>
      </c>
      <c r="AJ120" s="1">
        <v>0.04</v>
      </c>
      <c r="AK120" s="1">
        <v>0.34</v>
      </c>
      <c r="AL120" s="1">
        <v>0.3</v>
      </c>
      <c r="AM120" s="1">
        <v>0.34</v>
      </c>
      <c r="AN120" t="s">
        <v>1221</v>
      </c>
    </row>
    <row r="121" spans="1:40" x14ac:dyDescent="0.25">
      <c r="A121" t="s">
        <v>1276</v>
      </c>
      <c r="B121" t="s">
        <v>689</v>
      </c>
      <c r="C121" s="4" t="s">
        <v>1812</v>
      </c>
      <c r="D121" t="s">
        <v>1813</v>
      </c>
      <c r="E121" t="s">
        <v>86</v>
      </c>
      <c r="F121" t="str">
        <f>LEFT(premier_player_23_24[[#This Row],[Position]],2)</f>
        <v>MF</v>
      </c>
      <c r="G121" s="3">
        <v>19</v>
      </c>
      <c r="H12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21" s="3">
        <v>12</v>
      </c>
      <c r="J121" s="3">
        <v>5</v>
      </c>
      <c r="K121" s="2">
        <v>475</v>
      </c>
      <c r="L121" s="2" t="str">
        <f>IF(premier_player_23_24[[#This Row],[Minutes]]&gt;1000,"More than 1000 minutes","Less than 1000 minutes")</f>
        <v>Less than 1000 minutes</v>
      </c>
      <c r="M121" s="2">
        <v>5.3</v>
      </c>
      <c r="N121" s="3">
        <v>0</v>
      </c>
      <c r="O121" s="3">
        <v>2</v>
      </c>
      <c r="P121" s="3">
        <v>2</v>
      </c>
      <c r="Q121" s="3">
        <v>0</v>
      </c>
      <c r="R121" s="3">
        <v>0</v>
      </c>
      <c r="S121" s="3">
        <v>0</v>
      </c>
      <c r="T121" s="2">
        <v>2</v>
      </c>
      <c r="U121" s="2">
        <v>0</v>
      </c>
      <c r="V121" s="2">
        <v>1.4</v>
      </c>
      <c r="W121" s="2">
        <f>premier_player_23_24[[#This Row],[Goals]]-premier_player_23_24[[#This Row],[Expected Goals ]]</f>
        <v>-1.4</v>
      </c>
      <c r="X121" s="2">
        <v>1.4</v>
      </c>
      <c r="Y121" s="2">
        <v>1.7</v>
      </c>
      <c r="Z121" s="2">
        <v>3.2</v>
      </c>
      <c r="AA121" s="3">
        <v>28</v>
      </c>
      <c r="AB121" s="3">
        <v>21</v>
      </c>
      <c r="AC121" s="3">
        <v>29</v>
      </c>
      <c r="AD121" s="1">
        <v>0</v>
      </c>
      <c r="AE121" s="1">
        <v>0.38</v>
      </c>
      <c r="AF121" s="1">
        <v>0.38</v>
      </c>
      <c r="AG121" s="1">
        <v>0</v>
      </c>
      <c r="AH121" s="1">
        <v>0.38</v>
      </c>
      <c r="AI121" s="1">
        <v>0.27</v>
      </c>
      <c r="AJ121" s="1">
        <v>0.32</v>
      </c>
      <c r="AK121" s="1">
        <v>0.59</v>
      </c>
      <c r="AL121" s="1">
        <v>0.27</v>
      </c>
      <c r="AM121" s="1">
        <v>0.59</v>
      </c>
      <c r="AN121" t="s">
        <v>1221</v>
      </c>
    </row>
    <row r="122" spans="1:40" x14ac:dyDescent="0.25">
      <c r="A122" t="s">
        <v>1257</v>
      </c>
      <c r="B122" t="s">
        <v>551</v>
      </c>
      <c r="C122" s="4" t="s">
        <v>1814</v>
      </c>
      <c r="D122" t="s">
        <v>1815</v>
      </c>
      <c r="E122" t="s">
        <v>108</v>
      </c>
      <c r="F122" t="str">
        <f>LEFT(premier_player_23_24[[#This Row],[Position]],2)</f>
        <v>DF</v>
      </c>
      <c r="G122" s="3">
        <v>25</v>
      </c>
      <c r="H12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22" s="3">
        <v>19</v>
      </c>
      <c r="J122" s="3">
        <v>15</v>
      </c>
      <c r="K122" s="2">
        <v>1243</v>
      </c>
      <c r="L122" s="2" t="str">
        <f>IF(premier_player_23_24[[#This Row],[Minutes]]&gt;1000,"More than 1000 minutes","Less than 1000 minutes")</f>
        <v>More than 1000 minutes</v>
      </c>
      <c r="M122" s="2">
        <v>13.8</v>
      </c>
      <c r="N122" s="3">
        <v>2</v>
      </c>
      <c r="O122" s="3">
        <v>3</v>
      </c>
      <c r="P122" s="3">
        <v>5</v>
      </c>
      <c r="Q122" s="3">
        <v>2</v>
      </c>
      <c r="R122" s="3">
        <v>0</v>
      </c>
      <c r="S122" s="3">
        <v>0</v>
      </c>
      <c r="T122" s="2">
        <v>4</v>
      </c>
      <c r="U122" s="2">
        <v>0</v>
      </c>
      <c r="V122" s="2">
        <v>1</v>
      </c>
      <c r="W122" s="2">
        <f>premier_player_23_24[[#This Row],[Goals]]-premier_player_23_24[[#This Row],[Expected Goals ]]</f>
        <v>1</v>
      </c>
      <c r="X122" s="2">
        <v>1</v>
      </c>
      <c r="Y122" s="2">
        <v>3.5</v>
      </c>
      <c r="Z122" s="2">
        <v>4.4000000000000004</v>
      </c>
      <c r="AA122" s="3">
        <v>47</v>
      </c>
      <c r="AB122" s="3">
        <v>83</v>
      </c>
      <c r="AC122" s="3">
        <v>88</v>
      </c>
      <c r="AD122" s="1">
        <v>0.14000000000000001</v>
      </c>
      <c r="AE122" s="1">
        <v>0.22</v>
      </c>
      <c r="AF122" s="1">
        <v>0.36</v>
      </c>
      <c r="AG122" s="1">
        <v>0.14000000000000001</v>
      </c>
      <c r="AH122" s="1">
        <v>0.36</v>
      </c>
      <c r="AI122" s="1">
        <v>7.0000000000000007E-2</v>
      </c>
      <c r="AJ122" s="1">
        <v>0.25</v>
      </c>
      <c r="AK122" s="1">
        <v>0.32</v>
      </c>
      <c r="AL122" s="1">
        <v>7.0000000000000007E-2</v>
      </c>
      <c r="AM122" s="1">
        <v>0.32</v>
      </c>
      <c r="AN122" t="s">
        <v>1221</v>
      </c>
    </row>
    <row r="123" spans="1:40" x14ac:dyDescent="0.25">
      <c r="A123" t="s">
        <v>1277</v>
      </c>
      <c r="B123" t="s">
        <v>35</v>
      </c>
      <c r="C123" s="4" t="s">
        <v>1764</v>
      </c>
      <c r="D123" t="s">
        <v>1765</v>
      </c>
      <c r="E123" t="s">
        <v>86</v>
      </c>
      <c r="F123" t="str">
        <f>LEFT(premier_player_23_24[[#This Row],[Position]],2)</f>
        <v>MF</v>
      </c>
      <c r="G123" s="3">
        <v>20</v>
      </c>
      <c r="H12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23" s="3">
        <v>19</v>
      </c>
      <c r="J123" s="3">
        <v>3</v>
      </c>
      <c r="K123" s="2">
        <v>521</v>
      </c>
      <c r="L123" s="2" t="str">
        <f>IF(premier_player_23_24[[#This Row],[Minutes]]&gt;1000,"More than 1000 minutes","Less than 1000 minutes")</f>
        <v>Less than 1000 minutes</v>
      </c>
      <c r="M123" s="2">
        <v>5.8</v>
      </c>
      <c r="N123" s="3">
        <v>2</v>
      </c>
      <c r="O123" s="3">
        <v>0</v>
      </c>
      <c r="P123" s="3">
        <v>2</v>
      </c>
      <c r="Q123" s="3">
        <v>2</v>
      </c>
      <c r="R123" s="3">
        <v>0</v>
      </c>
      <c r="S123" s="3">
        <v>0</v>
      </c>
      <c r="T123" s="2">
        <v>2</v>
      </c>
      <c r="U123" s="2">
        <v>0</v>
      </c>
      <c r="V123" s="2">
        <v>3.4</v>
      </c>
      <c r="W123" s="2">
        <f>premier_player_23_24[[#This Row],[Goals]]-premier_player_23_24[[#This Row],[Expected Goals ]]</f>
        <v>-1.4</v>
      </c>
      <c r="X123" s="2">
        <v>3.4</v>
      </c>
      <c r="Y123" s="2">
        <v>0.8</v>
      </c>
      <c r="Z123" s="2">
        <v>4.2</v>
      </c>
      <c r="AA123" s="3">
        <v>16</v>
      </c>
      <c r="AB123" s="3">
        <v>28</v>
      </c>
      <c r="AC123" s="3">
        <v>50</v>
      </c>
      <c r="AD123" s="1">
        <v>0.35</v>
      </c>
      <c r="AE123" s="1">
        <v>0</v>
      </c>
      <c r="AF123" s="1">
        <v>0.35</v>
      </c>
      <c r="AG123" s="1">
        <v>0.35</v>
      </c>
      <c r="AH123" s="1">
        <v>0.35</v>
      </c>
      <c r="AI123" s="1">
        <v>0.59</v>
      </c>
      <c r="AJ123" s="1">
        <v>0.14000000000000001</v>
      </c>
      <c r="AK123" s="1">
        <v>0.73</v>
      </c>
      <c r="AL123" s="1">
        <v>0.59</v>
      </c>
      <c r="AM123" s="1">
        <v>0.73</v>
      </c>
      <c r="AN123" t="s">
        <v>1221</v>
      </c>
    </row>
    <row r="124" spans="1:40" x14ac:dyDescent="0.25">
      <c r="A124" t="s">
        <v>1236</v>
      </c>
      <c r="B124" t="s">
        <v>57</v>
      </c>
      <c r="C124" s="4" t="s">
        <v>1744</v>
      </c>
      <c r="D124" t="s">
        <v>1745</v>
      </c>
      <c r="E124" t="s">
        <v>58</v>
      </c>
      <c r="F124" t="str">
        <f>LEFT(premier_player_23_24[[#This Row],[Position]],2)</f>
        <v>FW</v>
      </c>
      <c r="G124" s="3">
        <v>32</v>
      </c>
      <c r="H12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24" s="3">
        <v>29</v>
      </c>
      <c r="J124" s="3">
        <v>21</v>
      </c>
      <c r="K124" s="2">
        <v>1693</v>
      </c>
      <c r="L124" s="2" t="str">
        <f>IF(premier_player_23_24[[#This Row],[Minutes]]&gt;1000,"More than 1000 minutes","Less than 1000 minutes")</f>
        <v>More than 1000 minutes</v>
      </c>
      <c r="M124" s="2">
        <v>18.8</v>
      </c>
      <c r="N124" s="3">
        <v>5</v>
      </c>
      <c r="O124" s="3">
        <v>1</v>
      </c>
      <c r="P124" s="3">
        <v>6</v>
      </c>
      <c r="Q124" s="3">
        <v>5</v>
      </c>
      <c r="R124" s="3">
        <v>0</v>
      </c>
      <c r="S124" s="3">
        <v>0</v>
      </c>
      <c r="T124" s="2">
        <v>4</v>
      </c>
      <c r="U124" s="2">
        <v>0</v>
      </c>
      <c r="V124" s="2">
        <v>5.3</v>
      </c>
      <c r="W124" s="2">
        <f>premier_player_23_24[[#This Row],[Goals]]-premier_player_23_24[[#This Row],[Expected Goals ]]</f>
        <v>-0.29999999999999982</v>
      </c>
      <c r="X124" s="2">
        <v>5.3</v>
      </c>
      <c r="Y124" s="2">
        <v>1.7</v>
      </c>
      <c r="Z124" s="2">
        <v>7</v>
      </c>
      <c r="AA124" s="3">
        <v>32</v>
      </c>
      <c r="AB124" s="3">
        <v>44</v>
      </c>
      <c r="AC124" s="3">
        <v>100</v>
      </c>
      <c r="AD124" s="1">
        <v>0.27</v>
      </c>
      <c r="AE124" s="1">
        <v>0.05</v>
      </c>
      <c r="AF124" s="1">
        <v>0.32</v>
      </c>
      <c r="AG124" s="1">
        <v>0.27</v>
      </c>
      <c r="AH124" s="1">
        <v>0.32</v>
      </c>
      <c r="AI124" s="1">
        <v>0.28000000000000003</v>
      </c>
      <c r="AJ124" s="1">
        <v>0.09</v>
      </c>
      <c r="AK124" s="1">
        <v>0.37</v>
      </c>
      <c r="AL124" s="1">
        <v>0.28000000000000003</v>
      </c>
      <c r="AM124" s="1">
        <v>0.37</v>
      </c>
      <c r="AN124" t="s">
        <v>1221</v>
      </c>
    </row>
    <row r="125" spans="1:40" x14ac:dyDescent="0.25">
      <c r="A125" t="s">
        <v>1267</v>
      </c>
      <c r="B125" t="s">
        <v>57</v>
      </c>
      <c r="C125" s="4" t="s">
        <v>1744</v>
      </c>
      <c r="D125" t="s">
        <v>1745</v>
      </c>
      <c r="E125" t="s">
        <v>108</v>
      </c>
      <c r="F125" t="str">
        <f>LEFT(premier_player_23_24[[#This Row],[Position]],2)</f>
        <v>DF</v>
      </c>
      <c r="G125" s="3">
        <v>18</v>
      </c>
      <c r="H12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25" s="3">
        <v>12</v>
      </c>
      <c r="J125" s="3">
        <v>8</v>
      </c>
      <c r="K125" s="2">
        <v>869</v>
      </c>
      <c r="L125" s="2" t="str">
        <f>IF(premier_player_23_24[[#This Row],[Minutes]]&gt;1000,"More than 1000 minutes","Less than 1000 minutes")</f>
        <v>Less than 1000 minutes</v>
      </c>
      <c r="M125" s="2">
        <v>9.6999999999999993</v>
      </c>
      <c r="N125" s="3">
        <v>3</v>
      </c>
      <c r="O125" s="3">
        <v>0</v>
      </c>
      <c r="P125" s="3">
        <v>3</v>
      </c>
      <c r="Q125" s="3">
        <v>3</v>
      </c>
      <c r="R125" s="3">
        <v>0</v>
      </c>
      <c r="S125" s="3">
        <v>0</v>
      </c>
      <c r="T125" s="2">
        <v>1</v>
      </c>
      <c r="U125" s="2">
        <v>0</v>
      </c>
      <c r="V125" s="2">
        <v>1.9</v>
      </c>
      <c r="W125" s="2">
        <f>premier_player_23_24[[#This Row],[Goals]]-premier_player_23_24[[#This Row],[Expected Goals ]]</f>
        <v>1.1000000000000001</v>
      </c>
      <c r="X125" s="2">
        <v>1.9</v>
      </c>
      <c r="Y125" s="2">
        <v>0.7</v>
      </c>
      <c r="Z125" s="2">
        <v>2.5</v>
      </c>
      <c r="AA125" s="3">
        <v>16</v>
      </c>
      <c r="AB125" s="3">
        <v>19</v>
      </c>
      <c r="AC125" s="3">
        <v>38</v>
      </c>
      <c r="AD125" s="1">
        <v>0.31</v>
      </c>
      <c r="AE125" s="1">
        <v>0</v>
      </c>
      <c r="AF125" s="1">
        <v>0.31</v>
      </c>
      <c r="AG125" s="1">
        <v>0.31</v>
      </c>
      <c r="AH125" s="1">
        <v>0.31</v>
      </c>
      <c r="AI125" s="1">
        <v>0.19</v>
      </c>
      <c r="AJ125" s="1">
        <v>7.0000000000000007E-2</v>
      </c>
      <c r="AK125" s="1">
        <v>0.26</v>
      </c>
      <c r="AL125" s="1">
        <v>0.19</v>
      </c>
      <c r="AM125" s="1">
        <v>0.26</v>
      </c>
      <c r="AN125" t="s">
        <v>1221</v>
      </c>
    </row>
    <row r="126" spans="1:40" x14ac:dyDescent="0.25">
      <c r="A126" t="s">
        <v>1265</v>
      </c>
      <c r="B126" t="s">
        <v>523</v>
      </c>
      <c r="C126" s="4" t="s">
        <v>1766</v>
      </c>
      <c r="D126" t="s">
        <v>1767</v>
      </c>
      <c r="E126" t="s">
        <v>644</v>
      </c>
      <c r="F126" t="str">
        <f>LEFT(premier_player_23_24[[#This Row],[Position]],2)</f>
        <v>DF</v>
      </c>
      <c r="G126" s="3">
        <v>22</v>
      </c>
      <c r="H12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26" s="3">
        <v>19</v>
      </c>
      <c r="J126" s="3">
        <v>10</v>
      </c>
      <c r="K126" s="2">
        <v>914</v>
      </c>
      <c r="L126" s="2" t="str">
        <f>IF(premier_player_23_24[[#This Row],[Minutes]]&gt;1000,"More than 1000 minutes","Less than 1000 minutes")</f>
        <v>Less than 1000 minutes</v>
      </c>
      <c r="M126" s="2">
        <v>10.199999999999999</v>
      </c>
      <c r="N126" s="3">
        <v>0</v>
      </c>
      <c r="O126" s="3">
        <v>3</v>
      </c>
      <c r="P126" s="3">
        <v>3</v>
      </c>
      <c r="Q126" s="3">
        <v>0</v>
      </c>
      <c r="R126" s="3">
        <v>0</v>
      </c>
      <c r="S126" s="3">
        <v>0</v>
      </c>
      <c r="T126" s="2">
        <v>3</v>
      </c>
      <c r="U126" s="2">
        <v>0</v>
      </c>
      <c r="V126" s="2">
        <v>0.4</v>
      </c>
      <c r="W126" s="2">
        <f>premier_player_23_24[[#This Row],[Goals]]-premier_player_23_24[[#This Row],[Expected Goals ]]</f>
        <v>-0.4</v>
      </c>
      <c r="X126" s="2">
        <v>0.4</v>
      </c>
      <c r="Y126" s="2">
        <v>1.2</v>
      </c>
      <c r="Z126" s="2">
        <v>1.7</v>
      </c>
      <c r="AA126" s="3">
        <v>39</v>
      </c>
      <c r="AB126" s="3">
        <v>17</v>
      </c>
      <c r="AC126" s="3">
        <v>64</v>
      </c>
      <c r="AD126" s="1">
        <v>0</v>
      </c>
      <c r="AE126" s="1">
        <v>0.3</v>
      </c>
      <c r="AF126" s="1">
        <v>0.3</v>
      </c>
      <c r="AG126" s="1">
        <v>0</v>
      </c>
      <c r="AH126" s="1">
        <v>0.3</v>
      </c>
      <c r="AI126" s="1">
        <v>0.04</v>
      </c>
      <c r="AJ126" s="1">
        <v>0.12</v>
      </c>
      <c r="AK126" s="1">
        <v>0.16</v>
      </c>
      <c r="AL126" s="1">
        <v>0.04</v>
      </c>
      <c r="AM126" s="1">
        <v>0.16</v>
      </c>
      <c r="AN126" t="s">
        <v>1221</v>
      </c>
    </row>
    <row r="127" spans="1:40" x14ac:dyDescent="0.25">
      <c r="A127" t="s">
        <v>1227</v>
      </c>
      <c r="B127" t="s">
        <v>891</v>
      </c>
      <c r="C127" s="4" t="s">
        <v>1798</v>
      </c>
      <c r="D127" t="s">
        <v>1799</v>
      </c>
      <c r="E127" t="s">
        <v>137</v>
      </c>
      <c r="F127" t="str">
        <f>LEFT(premier_player_23_24[[#This Row],[Position]],2)</f>
        <v>FW</v>
      </c>
      <c r="G127" s="3">
        <v>21</v>
      </c>
      <c r="H12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27" s="3">
        <v>31</v>
      </c>
      <c r="J127" s="3">
        <v>25</v>
      </c>
      <c r="K127" s="2">
        <v>2222</v>
      </c>
      <c r="L127" s="2" t="str">
        <f>IF(premier_player_23_24[[#This Row],[Minutes]]&gt;1000,"More than 1000 minutes","Less than 1000 minutes")</f>
        <v>More than 1000 minutes</v>
      </c>
      <c r="M127" s="2">
        <v>24.7</v>
      </c>
      <c r="N127" s="3">
        <v>6</v>
      </c>
      <c r="O127" s="3">
        <v>1</v>
      </c>
      <c r="P127" s="3">
        <v>7</v>
      </c>
      <c r="Q127" s="3">
        <v>6</v>
      </c>
      <c r="R127" s="3">
        <v>0</v>
      </c>
      <c r="S127" s="3">
        <v>0</v>
      </c>
      <c r="T127" s="2">
        <v>3</v>
      </c>
      <c r="U127" s="2">
        <v>0</v>
      </c>
      <c r="V127" s="2">
        <v>4.3</v>
      </c>
      <c r="W127" s="2">
        <f>premier_player_23_24[[#This Row],[Goals]]-premier_player_23_24[[#This Row],[Expected Goals ]]</f>
        <v>1.7000000000000002</v>
      </c>
      <c r="X127" s="2">
        <v>4.3</v>
      </c>
      <c r="Y127" s="2">
        <v>3.7</v>
      </c>
      <c r="Z127" s="2">
        <v>8</v>
      </c>
      <c r="AA127" s="3">
        <v>111</v>
      </c>
      <c r="AB127" s="3">
        <v>50</v>
      </c>
      <c r="AC127" s="3">
        <v>278</v>
      </c>
      <c r="AD127" s="1">
        <v>0.24</v>
      </c>
      <c r="AE127" s="1">
        <v>0.04</v>
      </c>
      <c r="AF127" s="1">
        <v>0.28000000000000003</v>
      </c>
      <c r="AG127" s="1">
        <v>0.24</v>
      </c>
      <c r="AH127" s="1">
        <v>0.28000000000000003</v>
      </c>
      <c r="AI127" s="1">
        <v>0.17</v>
      </c>
      <c r="AJ127" s="1">
        <v>0.15</v>
      </c>
      <c r="AK127" s="1">
        <v>0.32</v>
      </c>
      <c r="AL127" s="1">
        <v>0.17</v>
      </c>
      <c r="AM127" s="1">
        <v>0.32</v>
      </c>
      <c r="AN127" t="s">
        <v>1221</v>
      </c>
    </row>
    <row r="128" spans="1:40" x14ac:dyDescent="0.25">
      <c r="A128" t="s">
        <v>1247</v>
      </c>
      <c r="B128" t="s">
        <v>85</v>
      </c>
      <c r="C128" s="4" t="s">
        <v>1778</v>
      </c>
      <c r="D128" t="s">
        <v>1779</v>
      </c>
      <c r="E128" t="s">
        <v>58</v>
      </c>
      <c r="F128" t="str">
        <f>LEFT(premier_player_23_24[[#This Row],[Position]],2)</f>
        <v>FW</v>
      </c>
      <c r="G128" s="3">
        <v>18</v>
      </c>
      <c r="H12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28" s="3">
        <v>27</v>
      </c>
      <c r="J128" s="3">
        <v>17</v>
      </c>
      <c r="K128" s="2">
        <v>1364</v>
      </c>
      <c r="L128" s="2" t="str">
        <f>IF(premier_player_23_24[[#This Row],[Minutes]]&gt;1000,"More than 1000 minutes","Less than 1000 minutes")</f>
        <v>More than 1000 minutes</v>
      </c>
      <c r="M128" s="2">
        <v>15.2</v>
      </c>
      <c r="N128" s="3">
        <v>3</v>
      </c>
      <c r="O128" s="3">
        <v>1</v>
      </c>
      <c r="P128" s="3">
        <v>4</v>
      </c>
      <c r="Q128" s="3">
        <v>3</v>
      </c>
      <c r="R128" s="3">
        <v>0</v>
      </c>
      <c r="S128" s="3">
        <v>0</v>
      </c>
      <c r="T128" s="2">
        <v>7</v>
      </c>
      <c r="U128" s="2">
        <v>0</v>
      </c>
      <c r="V128" s="2">
        <v>2.4</v>
      </c>
      <c r="W128" s="2">
        <f>premier_player_23_24[[#This Row],[Goals]]-premier_player_23_24[[#This Row],[Expected Goals ]]</f>
        <v>0.60000000000000009</v>
      </c>
      <c r="X128" s="2">
        <v>2.4</v>
      </c>
      <c r="Y128" s="2">
        <v>1.8</v>
      </c>
      <c r="Z128" s="2">
        <v>4.2</v>
      </c>
      <c r="AA128" s="3">
        <v>23</v>
      </c>
      <c r="AB128" s="3">
        <v>42</v>
      </c>
      <c r="AC128" s="3">
        <v>69</v>
      </c>
      <c r="AD128" s="1">
        <v>0.2</v>
      </c>
      <c r="AE128" s="1">
        <v>7.0000000000000007E-2</v>
      </c>
      <c r="AF128" s="1">
        <v>0.26</v>
      </c>
      <c r="AG128" s="1">
        <v>0.2</v>
      </c>
      <c r="AH128" s="1">
        <v>0.26</v>
      </c>
      <c r="AI128" s="1">
        <v>0.16</v>
      </c>
      <c r="AJ128" s="1">
        <v>0.12</v>
      </c>
      <c r="AK128" s="1">
        <v>0.28000000000000003</v>
      </c>
      <c r="AL128" s="1">
        <v>0.16</v>
      </c>
      <c r="AM128" s="1">
        <v>0.28000000000000003</v>
      </c>
      <c r="AN128" t="s">
        <v>1221</v>
      </c>
    </row>
    <row r="129" spans="1:40" x14ac:dyDescent="0.25">
      <c r="A129" t="s">
        <v>1263</v>
      </c>
      <c r="B129" t="s">
        <v>57</v>
      </c>
      <c r="C129" s="4" t="s">
        <v>1744</v>
      </c>
      <c r="D129" t="s">
        <v>1745</v>
      </c>
      <c r="E129" t="s">
        <v>172</v>
      </c>
      <c r="F129" t="str">
        <f>LEFT(premier_player_23_24[[#This Row],[Position]],2)</f>
        <v>DF</v>
      </c>
      <c r="G129" s="3">
        <v>37</v>
      </c>
      <c r="H12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Veterans</v>
      </c>
      <c r="I129" s="3">
        <v>15</v>
      </c>
      <c r="J129" s="3">
        <v>11</v>
      </c>
      <c r="K129" s="2">
        <v>773</v>
      </c>
      <c r="L129" s="2" t="str">
        <f>IF(premier_player_23_24[[#This Row],[Minutes]]&gt;1000,"More than 1000 minutes","Less than 1000 minutes")</f>
        <v>Less than 1000 minutes</v>
      </c>
      <c r="M129" s="2">
        <v>8.6</v>
      </c>
      <c r="N129" s="3">
        <v>0</v>
      </c>
      <c r="O129" s="3">
        <v>2</v>
      </c>
      <c r="P129" s="3">
        <v>2</v>
      </c>
      <c r="Q129" s="3">
        <v>0</v>
      </c>
      <c r="R129" s="3">
        <v>0</v>
      </c>
      <c r="S129" s="3">
        <v>0</v>
      </c>
      <c r="T129" s="2">
        <v>3</v>
      </c>
      <c r="U129" s="2">
        <v>0</v>
      </c>
      <c r="V129" s="2">
        <v>0.3</v>
      </c>
      <c r="W129" s="2">
        <f>premier_player_23_24[[#This Row],[Goals]]-premier_player_23_24[[#This Row],[Expected Goals ]]</f>
        <v>-0.3</v>
      </c>
      <c r="X129" s="2">
        <v>0.3</v>
      </c>
      <c r="Y129" s="2">
        <v>1.8</v>
      </c>
      <c r="Z129" s="2">
        <v>2</v>
      </c>
      <c r="AA129" s="3">
        <v>11</v>
      </c>
      <c r="AB129" s="3">
        <v>69</v>
      </c>
      <c r="AC129" s="3">
        <v>73</v>
      </c>
      <c r="AD129" s="1">
        <v>0</v>
      </c>
      <c r="AE129" s="1">
        <v>0.23</v>
      </c>
      <c r="AF129" s="1">
        <v>0.23</v>
      </c>
      <c r="AG129" s="1">
        <v>0</v>
      </c>
      <c r="AH129" s="1">
        <v>0.23</v>
      </c>
      <c r="AI129" s="1">
        <v>0.03</v>
      </c>
      <c r="AJ129" s="1">
        <v>0.21</v>
      </c>
      <c r="AK129" s="1">
        <v>0.24</v>
      </c>
      <c r="AL129" s="1">
        <v>0.03</v>
      </c>
      <c r="AM129" s="1">
        <v>0.24</v>
      </c>
      <c r="AN129" t="s">
        <v>1221</v>
      </c>
    </row>
    <row r="130" spans="1:40" x14ac:dyDescent="0.25">
      <c r="A130" t="s">
        <v>1274</v>
      </c>
      <c r="B130" t="s">
        <v>262</v>
      </c>
      <c r="C130" s="4" t="s">
        <v>1748</v>
      </c>
      <c r="D130" t="s">
        <v>1749</v>
      </c>
      <c r="E130" t="s">
        <v>36</v>
      </c>
      <c r="F130" t="str">
        <f>LEFT(premier_player_23_24[[#This Row],[Position]],2)</f>
        <v>MF</v>
      </c>
      <c r="G130" s="3">
        <v>27</v>
      </c>
      <c r="H13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30" s="3">
        <v>9</v>
      </c>
      <c r="J130" s="3">
        <v>6</v>
      </c>
      <c r="K130" s="2">
        <v>452</v>
      </c>
      <c r="L130" s="2" t="str">
        <f>IF(premier_player_23_24[[#This Row],[Minutes]]&gt;1000,"More than 1000 minutes","Less than 1000 minutes")</f>
        <v>Less than 1000 minutes</v>
      </c>
      <c r="M130" s="2">
        <v>5</v>
      </c>
      <c r="N130" s="3">
        <v>0</v>
      </c>
      <c r="O130" s="3">
        <v>1</v>
      </c>
      <c r="P130" s="3">
        <v>1</v>
      </c>
      <c r="Q130" s="3">
        <v>0</v>
      </c>
      <c r="R130" s="3">
        <v>0</v>
      </c>
      <c r="S130" s="3">
        <v>0</v>
      </c>
      <c r="T130" s="2">
        <v>1</v>
      </c>
      <c r="U130" s="2">
        <v>1</v>
      </c>
      <c r="V130" s="2">
        <v>0.2</v>
      </c>
      <c r="W130" s="2">
        <f>premier_player_23_24[[#This Row],[Goals]]-premier_player_23_24[[#This Row],[Expected Goals ]]</f>
        <v>-0.2</v>
      </c>
      <c r="X130" s="2">
        <v>0.2</v>
      </c>
      <c r="Y130" s="2">
        <v>0.9</v>
      </c>
      <c r="Z130" s="2">
        <v>1.1000000000000001</v>
      </c>
      <c r="AA130" s="3">
        <v>4</v>
      </c>
      <c r="AB130" s="3">
        <v>11</v>
      </c>
      <c r="AC130" s="3">
        <v>6</v>
      </c>
      <c r="AD130" s="1">
        <v>0</v>
      </c>
      <c r="AE130" s="1">
        <v>0.2</v>
      </c>
      <c r="AF130" s="1">
        <v>0.2</v>
      </c>
      <c r="AG130" s="1">
        <v>0</v>
      </c>
      <c r="AH130" s="1">
        <v>0.2</v>
      </c>
      <c r="AI130" s="1">
        <v>0.04</v>
      </c>
      <c r="AJ130" s="1">
        <v>0.18</v>
      </c>
      <c r="AK130" s="1">
        <v>0.22</v>
      </c>
      <c r="AL130" s="1">
        <v>0.04</v>
      </c>
      <c r="AM130" s="1">
        <v>0.22</v>
      </c>
      <c r="AN130" t="s">
        <v>1221</v>
      </c>
    </row>
    <row r="131" spans="1:40" x14ac:dyDescent="0.25">
      <c r="A131" t="s">
        <v>1222</v>
      </c>
      <c r="B131" t="s">
        <v>57</v>
      </c>
      <c r="C131" s="4" t="s">
        <v>1744</v>
      </c>
      <c r="D131" t="s">
        <v>1745</v>
      </c>
      <c r="E131" t="s">
        <v>108</v>
      </c>
      <c r="F131" t="str">
        <f>LEFT(premier_player_23_24[[#This Row],[Position]],2)</f>
        <v>DF</v>
      </c>
      <c r="G131" s="3">
        <v>31</v>
      </c>
      <c r="H13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31" s="3">
        <v>33</v>
      </c>
      <c r="J131" s="3">
        <v>33</v>
      </c>
      <c r="K131" s="2">
        <v>2869</v>
      </c>
      <c r="L131" s="2" t="str">
        <f>IF(premier_player_23_24[[#This Row],[Minutes]]&gt;1000,"More than 1000 minutes","Less than 1000 minutes")</f>
        <v>More than 1000 minutes</v>
      </c>
      <c r="M131" s="2">
        <v>31.9</v>
      </c>
      <c r="N131" s="3">
        <v>3</v>
      </c>
      <c r="O131" s="3">
        <v>1</v>
      </c>
      <c r="P131" s="3">
        <v>4</v>
      </c>
      <c r="Q131" s="3">
        <v>3</v>
      </c>
      <c r="R131" s="3">
        <v>0</v>
      </c>
      <c r="S131" s="3">
        <v>0</v>
      </c>
      <c r="T131" s="2">
        <v>7</v>
      </c>
      <c r="U131" s="2">
        <v>1</v>
      </c>
      <c r="V131" s="2">
        <v>3.1</v>
      </c>
      <c r="W131" s="2">
        <f>premier_player_23_24[[#This Row],[Goals]]-premier_player_23_24[[#This Row],[Expected Goals ]]</f>
        <v>-0.10000000000000009</v>
      </c>
      <c r="X131" s="2">
        <v>3.1</v>
      </c>
      <c r="Y131" s="2">
        <v>0.9</v>
      </c>
      <c r="Z131" s="2">
        <v>4</v>
      </c>
      <c r="AA131" s="3">
        <v>33</v>
      </c>
      <c r="AB131" s="3">
        <v>152</v>
      </c>
      <c r="AC131" s="3">
        <v>13</v>
      </c>
      <c r="AD131" s="1">
        <v>0.09</v>
      </c>
      <c r="AE131" s="1">
        <v>0.03</v>
      </c>
      <c r="AF131" s="1">
        <v>0.13</v>
      </c>
      <c r="AG131" s="1">
        <v>0.09</v>
      </c>
      <c r="AH131" s="1">
        <v>0.13</v>
      </c>
      <c r="AI131" s="1">
        <v>0.1</v>
      </c>
      <c r="AJ131" s="1">
        <v>0.03</v>
      </c>
      <c r="AK131" s="1">
        <v>0.12</v>
      </c>
      <c r="AL131" s="1">
        <v>0.1</v>
      </c>
      <c r="AM131" s="1">
        <v>0.12</v>
      </c>
      <c r="AN131" t="s">
        <v>1221</v>
      </c>
    </row>
    <row r="132" spans="1:40" x14ac:dyDescent="0.25">
      <c r="A132" t="s">
        <v>1241</v>
      </c>
      <c r="B132" t="s">
        <v>196</v>
      </c>
      <c r="C132" s="4" t="s">
        <v>1768</v>
      </c>
      <c r="D132" t="s">
        <v>1769</v>
      </c>
      <c r="E132" t="s">
        <v>108</v>
      </c>
      <c r="F132" t="str">
        <f>LEFT(premier_player_23_24[[#This Row],[Position]],2)</f>
        <v>DF</v>
      </c>
      <c r="G132" s="3">
        <v>31</v>
      </c>
      <c r="H13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32" s="3">
        <v>27</v>
      </c>
      <c r="J132" s="3">
        <v>17</v>
      </c>
      <c r="K132" s="2">
        <v>1588</v>
      </c>
      <c r="L132" s="2" t="str">
        <f>IF(premier_player_23_24[[#This Row],[Minutes]]&gt;1000,"More than 1000 minutes","Less than 1000 minutes")</f>
        <v>More than 1000 minutes</v>
      </c>
      <c r="M132" s="2">
        <v>17.600000000000001</v>
      </c>
      <c r="N132" s="3">
        <v>1</v>
      </c>
      <c r="O132" s="3">
        <v>1</v>
      </c>
      <c r="P132" s="3">
        <v>2</v>
      </c>
      <c r="Q132" s="3">
        <v>1</v>
      </c>
      <c r="R132" s="3">
        <v>0</v>
      </c>
      <c r="S132" s="3">
        <v>0</v>
      </c>
      <c r="T132" s="2">
        <v>4</v>
      </c>
      <c r="U132" s="2">
        <v>0</v>
      </c>
      <c r="V132" s="2">
        <v>0.4</v>
      </c>
      <c r="W132" s="2">
        <f>premier_player_23_24[[#This Row],[Goals]]-premier_player_23_24[[#This Row],[Expected Goals ]]</f>
        <v>0.6</v>
      </c>
      <c r="X132" s="2">
        <v>0.4</v>
      </c>
      <c r="Y132" s="2">
        <v>0.5</v>
      </c>
      <c r="Z132" s="2">
        <v>0.9</v>
      </c>
      <c r="AA132" s="3">
        <v>24</v>
      </c>
      <c r="AB132" s="3">
        <v>85</v>
      </c>
      <c r="AC132" s="3">
        <v>54</v>
      </c>
      <c r="AD132" s="1">
        <v>0.06</v>
      </c>
      <c r="AE132" s="1">
        <v>0.06</v>
      </c>
      <c r="AF132" s="1">
        <v>0.11</v>
      </c>
      <c r="AG132" s="1">
        <v>0.06</v>
      </c>
      <c r="AH132" s="1">
        <v>0.11</v>
      </c>
      <c r="AI132" s="1">
        <v>0.02</v>
      </c>
      <c r="AJ132" s="1">
        <v>0.03</v>
      </c>
      <c r="AK132" s="1">
        <v>0.05</v>
      </c>
      <c r="AL132" s="1">
        <v>0.02</v>
      </c>
      <c r="AM132" s="1">
        <v>0.05</v>
      </c>
      <c r="AN132" t="s">
        <v>1221</v>
      </c>
    </row>
    <row r="133" spans="1:40" x14ac:dyDescent="0.25">
      <c r="A133" t="s">
        <v>1261</v>
      </c>
      <c r="B133" t="s">
        <v>57</v>
      </c>
      <c r="C133" s="4" t="s">
        <v>1744</v>
      </c>
      <c r="D133" t="s">
        <v>1745</v>
      </c>
      <c r="E133" t="s">
        <v>86</v>
      </c>
      <c r="F133" t="str">
        <f>LEFT(premier_player_23_24[[#This Row],[Position]],2)</f>
        <v>MF</v>
      </c>
      <c r="G133" s="3">
        <v>35</v>
      </c>
      <c r="H13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Veterans</v>
      </c>
      <c r="I133" s="3">
        <v>25</v>
      </c>
      <c r="J133" s="3">
        <v>13</v>
      </c>
      <c r="K133" s="2">
        <v>850</v>
      </c>
      <c r="L133" s="2" t="str">
        <f>IF(premier_player_23_24[[#This Row],[Minutes]]&gt;1000,"More than 1000 minutes","Less than 1000 minutes")</f>
        <v>Less than 1000 minutes</v>
      </c>
      <c r="M133" s="2">
        <v>9.4</v>
      </c>
      <c r="N133" s="3">
        <v>0</v>
      </c>
      <c r="O133" s="3">
        <v>1</v>
      </c>
      <c r="P133" s="3">
        <v>1</v>
      </c>
      <c r="Q133" s="3">
        <v>0</v>
      </c>
      <c r="R133" s="3">
        <v>0</v>
      </c>
      <c r="S133" s="3">
        <v>0</v>
      </c>
      <c r="T133" s="2">
        <v>2</v>
      </c>
      <c r="U133" s="2">
        <v>0</v>
      </c>
      <c r="V133" s="2">
        <v>0.8</v>
      </c>
      <c r="W133" s="2">
        <f>premier_player_23_24[[#This Row],[Goals]]-premier_player_23_24[[#This Row],[Expected Goals ]]</f>
        <v>-0.8</v>
      </c>
      <c r="X133" s="2">
        <v>0.8</v>
      </c>
      <c r="Y133" s="2">
        <v>1.7</v>
      </c>
      <c r="Z133" s="2">
        <v>2.5</v>
      </c>
      <c r="AA133" s="3">
        <v>9</v>
      </c>
      <c r="AB133" s="3">
        <v>39</v>
      </c>
      <c r="AC133" s="3">
        <v>55</v>
      </c>
      <c r="AD133" s="1">
        <v>0</v>
      </c>
      <c r="AE133" s="1">
        <v>0.11</v>
      </c>
      <c r="AF133" s="1">
        <v>0.11</v>
      </c>
      <c r="AG133" s="1">
        <v>0</v>
      </c>
      <c r="AH133" s="1">
        <v>0.11</v>
      </c>
      <c r="AI133" s="1">
        <v>0.09</v>
      </c>
      <c r="AJ133" s="1">
        <v>0.18</v>
      </c>
      <c r="AK133" s="1">
        <v>0.27</v>
      </c>
      <c r="AL133" s="1">
        <v>0.09</v>
      </c>
      <c r="AM133" s="1">
        <v>0.27</v>
      </c>
      <c r="AN133" t="s">
        <v>1221</v>
      </c>
    </row>
    <row r="134" spans="1:40" x14ac:dyDescent="0.25">
      <c r="A134" t="s">
        <v>1230</v>
      </c>
      <c r="B134" t="s">
        <v>360</v>
      </c>
      <c r="C134" s="4" t="s">
        <v>1776</v>
      </c>
      <c r="D134" t="s">
        <v>1777</v>
      </c>
      <c r="E134" t="s">
        <v>36</v>
      </c>
      <c r="F134" t="str">
        <f>LEFT(premier_player_23_24[[#This Row],[Position]],2)</f>
        <v>MF</v>
      </c>
      <c r="G134" s="3">
        <v>22</v>
      </c>
      <c r="H13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34" s="3">
        <v>30</v>
      </c>
      <c r="J134" s="3">
        <v>24</v>
      </c>
      <c r="K134" s="2">
        <v>2120</v>
      </c>
      <c r="L134" s="2" t="str">
        <f>IF(premier_player_23_24[[#This Row],[Minutes]]&gt;1000,"More than 1000 minutes","Less than 1000 minutes")</f>
        <v>More than 1000 minutes</v>
      </c>
      <c r="M134" s="2">
        <v>23.6</v>
      </c>
      <c r="N134" s="3">
        <v>0</v>
      </c>
      <c r="O134" s="3">
        <v>1</v>
      </c>
      <c r="P134" s="3">
        <v>1</v>
      </c>
      <c r="Q134" s="3">
        <v>0</v>
      </c>
      <c r="R134" s="3">
        <v>0</v>
      </c>
      <c r="S134" s="3">
        <v>0</v>
      </c>
      <c r="T134" s="2">
        <v>8</v>
      </c>
      <c r="U134" s="2">
        <v>1</v>
      </c>
      <c r="V134" s="2">
        <v>1</v>
      </c>
      <c r="W134" s="2">
        <f>premier_player_23_24[[#This Row],[Goals]]-premier_player_23_24[[#This Row],[Expected Goals ]]</f>
        <v>-1</v>
      </c>
      <c r="X134" s="2">
        <v>1</v>
      </c>
      <c r="Y134" s="2">
        <v>2</v>
      </c>
      <c r="Z134" s="2">
        <v>3</v>
      </c>
      <c r="AA134" s="3">
        <v>39</v>
      </c>
      <c r="AB134" s="3">
        <v>193</v>
      </c>
      <c r="AC134" s="3">
        <v>33</v>
      </c>
      <c r="AD134" s="1">
        <v>0</v>
      </c>
      <c r="AE134" s="1">
        <v>0.04</v>
      </c>
      <c r="AF134" s="1">
        <v>0.04</v>
      </c>
      <c r="AG134" s="1">
        <v>0</v>
      </c>
      <c r="AH134" s="1">
        <v>0.04</v>
      </c>
      <c r="AI134" s="1">
        <v>0.04</v>
      </c>
      <c r="AJ134" s="1">
        <v>0.09</v>
      </c>
      <c r="AK134" s="1">
        <v>0.13</v>
      </c>
      <c r="AL134" s="1">
        <v>0.04</v>
      </c>
      <c r="AM134" s="1">
        <v>0.13</v>
      </c>
      <c r="AN134" t="s">
        <v>1221</v>
      </c>
    </row>
    <row r="135" spans="1:40" x14ac:dyDescent="0.25">
      <c r="A135" t="s">
        <v>1224</v>
      </c>
      <c r="B135" t="s">
        <v>196</v>
      </c>
      <c r="C135" s="4" t="s">
        <v>1768</v>
      </c>
      <c r="D135" t="s">
        <v>1769</v>
      </c>
      <c r="E135" t="s">
        <v>108</v>
      </c>
      <c r="F135" t="str">
        <f>LEFT(premier_player_23_24[[#This Row],[Position]],2)</f>
        <v>DF</v>
      </c>
      <c r="G135" s="3">
        <v>23</v>
      </c>
      <c r="H13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35" s="3">
        <v>28</v>
      </c>
      <c r="J135" s="3">
        <v>26</v>
      </c>
      <c r="K135" s="2">
        <v>2369</v>
      </c>
      <c r="L135" s="2" t="str">
        <f>IF(premier_player_23_24[[#This Row],[Minutes]]&gt;1000,"More than 1000 minutes","Less than 1000 minutes")</f>
        <v>More than 1000 minutes</v>
      </c>
      <c r="M135" s="2">
        <v>26.3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2">
        <v>4</v>
      </c>
      <c r="U135" s="2">
        <v>0</v>
      </c>
      <c r="V135" s="2">
        <v>1.2</v>
      </c>
      <c r="W135" s="2">
        <f>premier_player_23_24[[#This Row],[Goals]]-premier_player_23_24[[#This Row],[Expected Goals ]]</f>
        <v>-1.2</v>
      </c>
      <c r="X135" s="2">
        <v>1.2</v>
      </c>
      <c r="Y135" s="2">
        <v>0.9</v>
      </c>
      <c r="Z135" s="2">
        <v>2.1</v>
      </c>
      <c r="AA135" s="3">
        <v>25</v>
      </c>
      <c r="AB135" s="3">
        <v>147</v>
      </c>
      <c r="AC135" s="3">
        <v>7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0.05</v>
      </c>
      <c r="AJ135" s="1">
        <v>0.03</v>
      </c>
      <c r="AK135" s="1">
        <v>0.08</v>
      </c>
      <c r="AL135" s="1">
        <v>0.05</v>
      </c>
      <c r="AM135" s="1">
        <v>0.08</v>
      </c>
      <c r="AN135" t="s">
        <v>1221</v>
      </c>
    </row>
    <row r="136" spans="1:40" x14ac:dyDescent="0.25">
      <c r="A136" t="s">
        <v>1234</v>
      </c>
      <c r="B136" t="s">
        <v>196</v>
      </c>
      <c r="C136" s="4" t="s">
        <v>1768</v>
      </c>
      <c r="D136" t="s">
        <v>1769</v>
      </c>
      <c r="E136" t="s">
        <v>77</v>
      </c>
      <c r="F136" t="str">
        <f>LEFT(premier_player_23_24[[#This Row],[Position]],2)</f>
        <v>GK</v>
      </c>
      <c r="G136" s="3">
        <v>20</v>
      </c>
      <c r="H13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36" s="3">
        <v>21</v>
      </c>
      <c r="J136" s="3">
        <v>21</v>
      </c>
      <c r="K136" s="2">
        <v>1890</v>
      </c>
      <c r="L136" s="2" t="str">
        <f>IF(premier_player_23_24[[#This Row],[Minutes]]&gt;1000,"More than 1000 minutes","Less than 1000 minutes")</f>
        <v>More than 1000 minutes</v>
      </c>
      <c r="M136" s="2">
        <v>21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2">
        <v>3</v>
      </c>
      <c r="U136" s="2">
        <v>0</v>
      </c>
      <c r="V136" s="2">
        <v>0</v>
      </c>
      <c r="W136" s="2">
        <f>premier_player_23_24[[#This Row],[Goals]]-premier_player_23_24[[#This Row],[Expected Goals ]]</f>
        <v>0</v>
      </c>
      <c r="X136" s="2">
        <v>0</v>
      </c>
      <c r="Y136" s="2">
        <v>0</v>
      </c>
      <c r="Z136" s="2">
        <v>0</v>
      </c>
      <c r="AA136" s="3">
        <v>0</v>
      </c>
      <c r="AB136" s="3">
        <v>3</v>
      </c>
      <c r="AC136" s="3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t="s">
        <v>1221</v>
      </c>
    </row>
    <row r="137" spans="1:40" x14ac:dyDescent="0.25">
      <c r="A137" t="s">
        <v>1239</v>
      </c>
      <c r="B137" t="s">
        <v>76</v>
      </c>
      <c r="C137" s="4" t="s">
        <v>1750</v>
      </c>
      <c r="D137" t="s">
        <v>1751</v>
      </c>
      <c r="E137" t="s">
        <v>108</v>
      </c>
      <c r="F137" t="str">
        <f>LEFT(premier_player_23_24[[#This Row],[Position]],2)</f>
        <v>DF</v>
      </c>
      <c r="G137" s="3">
        <v>25</v>
      </c>
      <c r="H13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37" s="3">
        <v>24</v>
      </c>
      <c r="J137" s="3">
        <v>17</v>
      </c>
      <c r="K137" s="2">
        <v>1637</v>
      </c>
      <c r="L137" s="2" t="str">
        <f>IF(premier_player_23_24[[#This Row],[Minutes]]&gt;1000,"More than 1000 minutes","Less than 1000 minutes")</f>
        <v>More than 1000 minutes</v>
      </c>
      <c r="M137" s="2">
        <v>18.2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2">
        <v>4</v>
      </c>
      <c r="U137" s="2">
        <v>0</v>
      </c>
      <c r="V137" s="2">
        <v>0.3</v>
      </c>
      <c r="W137" s="2">
        <f>premier_player_23_24[[#This Row],[Goals]]-premier_player_23_24[[#This Row],[Expected Goals ]]</f>
        <v>-0.3</v>
      </c>
      <c r="X137" s="2">
        <v>0.3</v>
      </c>
      <c r="Y137" s="2">
        <v>0.7</v>
      </c>
      <c r="Z137" s="2">
        <v>1</v>
      </c>
      <c r="AA137" s="3">
        <v>30</v>
      </c>
      <c r="AB137" s="3">
        <v>107</v>
      </c>
      <c r="AC137" s="3">
        <v>12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0.02</v>
      </c>
      <c r="AJ137" s="1">
        <v>0.04</v>
      </c>
      <c r="AK137" s="1">
        <v>0.05</v>
      </c>
      <c r="AL137" s="1">
        <v>0.02</v>
      </c>
      <c r="AM137" s="1">
        <v>0.05</v>
      </c>
      <c r="AN137" t="s">
        <v>1221</v>
      </c>
    </row>
    <row r="138" spans="1:40" x14ac:dyDescent="0.25">
      <c r="A138" t="s">
        <v>1245</v>
      </c>
      <c r="B138" t="s">
        <v>57</v>
      </c>
      <c r="C138" s="4" t="s">
        <v>1744</v>
      </c>
      <c r="D138" t="s">
        <v>1745</v>
      </c>
      <c r="E138" t="s">
        <v>77</v>
      </c>
      <c r="F138" t="str">
        <f>LEFT(premier_player_23_24[[#This Row],[Position]],2)</f>
        <v>GK</v>
      </c>
      <c r="G138" s="3">
        <v>32</v>
      </c>
      <c r="H13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38" s="3">
        <v>17</v>
      </c>
      <c r="J138" s="3">
        <v>17</v>
      </c>
      <c r="K138" s="2">
        <v>1530</v>
      </c>
      <c r="L138" s="2" t="str">
        <f>IF(premier_player_23_24[[#This Row],[Minutes]]&gt;1000,"More than 1000 minutes","Less than 1000 minutes")</f>
        <v>More than 1000 minutes</v>
      </c>
      <c r="M138" s="2">
        <v>17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2">
        <v>0</v>
      </c>
      <c r="U138" s="2">
        <v>0</v>
      </c>
      <c r="V138" s="2">
        <v>0</v>
      </c>
      <c r="W138" s="2">
        <f>premier_player_23_24[[#This Row],[Goals]]-premier_player_23_24[[#This Row],[Expected Goals ]]</f>
        <v>0</v>
      </c>
      <c r="X138" s="2">
        <v>0</v>
      </c>
      <c r="Y138" s="2">
        <v>0</v>
      </c>
      <c r="Z138" s="2">
        <v>0</v>
      </c>
      <c r="AA138" s="3">
        <v>0</v>
      </c>
      <c r="AB138" s="3">
        <v>0</v>
      </c>
      <c r="AC138" s="3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t="s">
        <v>1221</v>
      </c>
    </row>
    <row r="139" spans="1:40" x14ac:dyDescent="0.25">
      <c r="A139" t="s">
        <v>1256</v>
      </c>
      <c r="B139" t="s">
        <v>418</v>
      </c>
      <c r="C139" s="4" t="s">
        <v>1802</v>
      </c>
      <c r="D139" t="s">
        <v>1803</v>
      </c>
      <c r="E139" t="s">
        <v>36</v>
      </c>
      <c r="F139" t="str">
        <f>LEFT(premier_player_23_24[[#This Row],[Position]],2)</f>
        <v>MF</v>
      </c>
      <c r="G139" s="3">
        <v>19</v>
      </c>
      <c r="H13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39" s="3">
        <v>27</v>
      </c>
      <c r="J139" s="3">
        <v>15</v>
      </c>
      <c r="K139" s="2">
        <v>1325</v>
      </c>
      <c r="L139" s="2" t="str">
        <f>IF(premier_player_23_24[[#This Row],[Minutes]]&gt;1000,"More than 1000 minutes","Less than 1000 minutes")</f>
        <v>More than 1000 minutes</v>
      </c>
      <c r="M139" s="2">
        <v>14.7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2">
        <v>7</v>
      </c>
      <c r="U139" s="2">
        <v>0</v>
      </c>
      <c r="V139" s="2">
        <v>0.8</v>
      </c>
      <c r="W139" s="2">
        <f>premier_player_23_24[[#This Row],[Goals]]-premier_player_23_24[[#This Row],[Expected Goals ]]</f>
        <v>-0.8</v>
      </c>
      <c r="X139" s="2">
        <v>0.8</v>
      </c>
      <c r="Y139" s="2">
        <v>0.3</v>
      </c>
      <c r="Z139" s="2">
        <v>1.1000000000000001</v>
      </c>
      <c r="AA139" s="3">
        <v>19</v>
      </c>
      <c r="AB139" s="3">
        <v>50</v>
      </c>
      <c r="AC139" s="3">
        <v>9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0.06</v>
      </c>
      <c r="AJ139" s="1">
        <v>0.02</v>
      </c>
      <c r="AK139" s="1">
        <v>0.08</v>
      </c>
      <c r="AL139" s="1">
        <v>0.06</v>
      </c>
      <c r="AM139" s="1">
        <v>0.08</v>
      </c>
      <c r="AN139" t="s">
        <v>1221</v>
      </c>
    </row>
    <row r="140" spans="1:40" x14ac:dyDescent="0.25">
      <c r="A140" t="s">
        <v>1259</v>
      </c>
      <c r="B140" t="s">
        <v>57</v>
      </c>
      <c r="C140" s="4" t="s">
        <v>1744</v>
      </c>
      <c r="D140" t="s">
        <v>1745</v>
      </c>
      <c r="E140" t="s">
        <v>108</v>
      </c>
      <c r="F140" t="str">
        <f>LEFT(premier_player_23_24[[#This Row],[Position]],2)</f>
        <v>DF</v>
      </c>
      <c r="G140" s="3">
        <v>28</v>
      </c>
      <c r="H14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40" s="3">
        <v>15</v>
      </c>
      <c r="J140" s="3">
        <v>13</v>
      </c>
      <c r="K140" s="2">
        <v>1144</v>
      </c>
      <c r="L140" s="2" t="str">
        <f>IF(premier_player_23_24[[#This Row],[Minutes]]&gt;1000,"More than 1000 minutes","Less than 1000 minutes")</f>
        <v>More than 1000 minutes</v>
      </c>
      <c r="M140" s="2">
        <v>12.7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2">
        <v>2</v>
      </c>
      <c r="U140" s="2">
        <v>0</v>
      </c>
      <c r="V140" s="2">
        <v>0.4</v>
      </c>
      <c r="W140" s="2">
        <f>premier_player_23_24[[#This Row],[Goals]]-premier_player_23_24[[#This Row],[Expected Goals ]]</f>
        <v>-0.4</v>
      </c>
      <c r="X140" s="2">
        <v>0.4</v>
      </c>
      <c r="Y140" s="2">
        <v>0.1</v>
      </c>
      <c r="Z140" s="2">
        <v>0.6</v>
      </c>
      <c r="AA140" s="3">
        <v>16</v>
      </c>
      <c r="AB140" s="3">
        <v>80</v>
      </c>
      <c r="AC140" s="3">
        <v>2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0.03</v>
      </c>
      <c r="AJ140" s="1">
        <v>0.01</v>
      </c>
      <c r="AK140" s="1">
        <v>0.05</v>
      </c>
      <c r="AL140" s="1">
        <v>0.03</v>
      </c>
      <c r="AM140" s="1">
        <v>0.05</v>
      </c>
      <c r="AN140" t="s">
        <v>1221</v>
      </c>
    </row>
    <row r="141" spans="1:40" x14ac:dyDescent="0.25">
      <c r="A141" t="s">
        <v>1272</v>
      </c>
      <c r="B141" t="s">
        <v>508</v>
      </c>
      <c r="C141" s="4" t="s">
        <v>1754</v>
      </c>
      <c r="D141" t="s">
        <v>1755</v>
      </c>
      <c r="E141" t="s">
        <v>524</v>
      </c>
      <c r="F141" t="str">
        <f>LEFT(premier_player_23_24[[#This Row],[Position]],2)</f>
        <v>MF</v>
      </c>
      <c r="G141" s="3">
        <v>24</v>
      </c>
      <c r="H14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41" s="3">
        <v>17</v>
      </c>
      <c r="J141" s="3">
        <v>6</v>
      </c>
      <c r="K141" s="2">
        <v>618</v>
      </c>
      <c r="L141" s="2" t="str">
        <f>IF(premier_player_23_24[[#This Row],[Minutes]]&gt;1000,"More than 1000 minutes","Less than 1000 minutes")</f>
        <v>Less than 1000 minutes</v>
      </c>
      <c r="M141" s="2">
        <v>6.9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2">
        <v>2</v>
      </c>
      <c r="U141" s="2">
        <v>0</v>
      </c>
      <c r="V141" s="2">
        <v>0.6</v>
      </c>
      <c r="W141" s="2">
        <f>premier_player_23_24[[#This Row],[Goals]]-premier_player_23_24[[#This Row],[Expected Goals ]]</f>
        <v>-0.6</v>
      </c>
      <c r="X141" s="2">
        <v>0.6</v>
      </c>
      <c r="Y141" s="2">
        <v>0.8</v>
      </c>
      <c r="Z141" s="2">
        <v>1.3</v>
      </c>
      <c r="AA141" s="3">
        <v>10</v>
      </c>
      <c r="AB141" s="3">
        <v>23</v>
      </c>
      <c r="AC141" s="3">
        <v>26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0.08</v>
      </c>
      <c r="AJ141" s="1">
        <v>0.11</v>
      </c>
      <c r="AK141" s="1">
        <v>0.2</v>
      </c>
      <c r="AL141" s="1">
        <v>0.08</v>
      </c>
      <c r="AM141" s="1">
        <v>0.2</v>
      </c>
      <c r="AN141" t="s">
        <v>1221</v>
      </c>
    </row>
    <row r="142" spans="1:40" x14ac:dyDescent="0.25">
      <c r="A142" t="s">
        <v>1279</v>
      </c>
      <c r="B142" t="s">
        <v>85</v>
      </c>
      <c r="C142" s="4" t="s">
        <v>1778</v>
      </c>
      <c r="D142" t="s">
        <v>1779</v>
      </c>
      <c r="E142" t="s">
        <v>644</v>
      </c>
      <c r="F142" t="str">
        <f>LEFT(premier_player_23_24[[#This Row],[Position]],2)</f>
        <v>DF</v>
      </c>
      <c r="G142" s="3">
        <v>19</v>
      </c>
      <c r="H14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42" s="3">
        <v>6</v>
      </c>
      <c r="J142" s="3">
        <v>3</v>
      </c>
      <c r="K142" s="2">
        <v>307</v>
      </c>
      <c r="L142" s="2" t="str">
        <f>IF(premier_player_23_24[[#This Row],[Minutes]]&gt;1000,"More than 1000 minutes","Less than 1000 minutes")</f>
        <v>Less than 1000 minutes</v>
      </c>
      <c r="M142" s="2">
        <v>3.4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2">
        <v>1</v>
      </c>
      <c r="U142" s="2">
        <v>0</v>
      </c>
      <c r="V142" s="2">
        <v>0.2</v>
      </c>
      <c r="W142" s="2">
        <f>premier_player_23_24[[#This Row],[Goals]]-premier_player_23_24[[#This Row],[Expected Goals ]]</f>
        <v>-0.2</v>
      </c>
      <c r="X142" s="2">
        <v>0.2</v>
      </c>
      <c r="Y142" s="2">
        <v>0.2</v>
      </c>
      <c r="Z142" s="2">
        <v>0.4</v>
      </c>
      <c r="AA142" s="3">
        <v>8</v>
      </c>
      <c r="AB142" s="3">
        <v>14</v>
      </c>
      <c r="AC142" s="3">
        <v>20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0.05</v>
      </c>
      <c r="AJ142" s="1">
        <v>7.0000000000000007E-2</v>
      </c>
      <c r="AK142" s="1">
        <v>0.13</v>
      </c>
      <c r="AL142" s="1">
        <v>0.05</v>
      </c>
      <c r="AM142" s="1">
        <v>0.13</v>
      </c>
      <c r="AN142" t="s">
        <v>1221</v>
      </c>
    </row>
    <row r="143" spans="1:40" x14ac:dyDescent="0.25">
      <c r="A143" t="s">
        <v>1281</v>
      </c>
      <c r="B143" t="s">
        <v>57</v>
      </c>
      <c r="C143" s="4" t="s">
        <v>1744</v>
      </c>
      <c r="D143" t="s">
        <v>1745</v>
      </c>
      <c r="E143" t="s">
        <v>108</v>
      </c>
      <c r="F143" t="str">
        <f>LEFT(premier_player_23_24[[#This Row],[Position]],2)</f>
        <v>DF</v>
      </c>
      <c r="G143" s="3">
        <v>20</v>
      </c>
      <c r="H14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43" s="3">
        <v>4</v>
      </c>
      <c r="J143" s="3">
        <v>1</v>
      </c>
      <c r="K143" s="2">
        <v>128</v>
      </c>
      <c r="L143" s="2" t="str">
        <f>IF(premier_player_23_24[[#This Row],[Minutes]]&gt;1000,"More than 1000 minutes","Less than 1000 minutes")</f>
        <v>Less than 1000 minutes</v>
      </c>
      <c r="M143" s="2">
        <v>1.4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2">
        <v>0</v>
      </c>
      <c r="U143" s="2">
        <v>0</v>
      </c>
      <c r="V143" s="2">
        <v>0</v>
      </c>
      <c r="W143" s="2">
        <f>premier_player_23_24[[#This Row],[Goals]]-premier_player_23_24[[#This Row],[Expected Goals ]]</f>
        <v>0</v>
      </c>
      <c r="X143" s="2">
        <v>0</v>
      </c>
      <c r="Y143" s="2">
        <v>0</v>
      </c>
      <c r="Z143" s="2">
        <v>0</v>
      </c>
      <c r="AA143" s="3">
        <v>9</v>
      </c>
      <c r="AB143" s="3">
        <v>4</v>
      </c>
      <c r="AC143" s="3">
        <v>9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t="s">
        <v>1221</v>
      </c>
    </row>
    <row r="144" spans="1:40" x14ac:dyDescent="0.25">
      <c r="A144" t="s">
        <v>1282</v>
      </c>
      <c r="B144" t="s">
        <v>411</v>
      </c>
      <c r="C144" s="4" t="s">
        <v>1792</v>
      </c>
      <c r="D144" t="s">
        <v>1793</v>
      </c>
      <c r="E144" t="s">
        <v>137</v>
      </c>
      <c r="F144" t="str">
        <f>LEFT(premier_player_23_24[[#This Row],[Position]],2)</f>
        <v>FW</v>
      </c>
      <c r="G144" s="3">
        <v>18</v>
      </c>
      <c r="H14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44" s="3">
        <v>3</v>
      </c>
      <c r="J144" s="3">
        <v>1</v>
      </c>
      <c r="K144" s="2">
        <v>63</v>
      </c>
      <c r="L144" s="2" t="str">
        <f>IF(premier_player_23_24[[#This Row],[Minutes]]&gt;1000,"More than 1000 minutes","Less than 1000 minutes")</f>
        <v>Less than 1000 minutes</v>
      </c>
      <c r="M144" s="2">
        <v>0.7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2">
        <v>1</v>
      </c>
      <c r="U144" s="2">
        <v>0</v>
      </c>
      <c r="V144" s="2">
        <v>0.1</v>
      </c>
      <c r="W144" s="2">
        <f>premier_player_23_24[[#This Row],[Goals]]-premier_player_23_24[[#This Row],[Expected Goals ]]</f>
        <v>-0.1</v>
      </c>
      <c r="X144" s="2">
        <v>0.1</v>
      </c>
      <c r="Y144" s="2">
        <v>0</v>
      </c>
      <c r="Z144" s="2">
        <v>0.1</v>
      </c>
      <c r="AA144" s="3">
        <v>0</v>
      </c>
      <c r="AB144" s="3">
        <v>0</v>
      </c>
      <c r="AC144" s="3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0.08</v>
      </c>
      <c r="AJ144" s="1">
        <v>0</v>
      </c>
      <c r="AK144" s="1">
        <v>0.08</v>
      </c>
      <c r="AL144" s="1">
        <v>0.08</v>
      </c>
      <c r="AM144" s="1">
        <v>0.08</v>
      </c>
      <c r="AN144" t="s">
        <v>1221</v>
      </c>
    </row>
    <row r="145" spans="1:40" x14ac:dyDescent="0.25">
      <c r="A145" t="s">
        <v>1283</v>
      </c>
      <c r="B145" t="s">
        <v>57</v>
      </c>
      <c r="C145" s="4" t="s">
        <v>1744</v>
      </c>
      <c r="D145" t="s">
        <v>1745</v>
      </c>
      <c r="E145" t="s">
        <v>709</v>
      </c>
      <c r="F145" t="str">
        <f>LEFT(premier_player_23_24[[#This Row],[Position]],2)</f>
        <v>FW</v>
      </c>
      <c r="G145" s="3">
        <v>19</v>
      </c>
      <c r="H14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45" s="3">
        <v>5</v>
      </c>
      <c r="J145" s="3">
        <v>0</v>
      </c>
      <c r="K145" s="2">
        <v>40</v>
      </c>
      <c r="L145" s="2" t="str">
        <f>IF(premier_player_23_24[[#This Row],[Minutes]]&gt;1000,"More than 1000 minutes","Less than 1000 minutes")</f>
        <v>Less than 1000 minutes</v>
      </c>
      <c r="M145" s="2">
        <v>0.4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2">
        <v>1</v>
      </c>
      <c r="U145" s="2">
        <v>0</v>
      </c>
      <c r="V145" s="2">
        <v>0</v>
      </c>
      <c r="W145" s="2">
        <f>premier_player_23_24[[#This Row],[Goals]]-premier_player_23_24[[#This Row],[Expected Goals ]]</f>
        <v>0</v>
      </c>
      <c r="X145" s="2">
        <v>0</v>
      </c>
      <c r="Y145" s="2">
        <v>0.1</v>
      </c>
      <c r="Z145" s="2">
        <v>0.1</v>
      </c>
      <c r="AA145" s="3">
        <v>1</v>
      </c>
      <c r="AB145" s="3">
        <v>2</v>
      </c>
      <c r="AC145" s="3">
        <v>2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0.05</v>
      </c>
      <c r="AJ145" s="1">
        <v>0.13</v>
      </c>
      <c r="AK145" s="1">
        <v>0.19</v>
      </c>
      <c r="AL145" s="1">
        <v>0.05</v>
      </c>
      <c r="AM145" s="1">
        <v>0.19</v>
      </c>
      <c r="AN145" t="s">
        <v>1221</v>
      </c>
    </row>
    <row r="146" spans="1:40" x14ac:dyDescent="0.25">
      <c r="A146" t="s">
        <v>1636</v>
      </c>
      <c r="B146" t="s">
        <v>891</v>
      </c>
      <c r="C146" s="4" t="s">
        <v>1798</v>
      </c>
      <c r="D146" t="s">
        <v>1799</v>
      </c>
      <c r="E146" t="s">
        <v>137</v>
      </c>
      <c r="F146" t="str">
        <f>LEFT(premier_player_23_24[[#This Row],[Position]],2)</f>
        <v>FW</v>
      </c>
      <c r="G146" s="3">
        <v>20</v>
      </c>
      <c r="H14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46" s="3">
        <v>15</v>
      </c>
      <c r="J146" s="3">
        <v>10</v>
      </c>
      <c r="K146" s="2">
        <v>879</v>
      </c>
      <c r="L146" s="2" t="str">
        <f>IF(premier_player_23_24[[#This Row],[Minutes]]&gt;1000,"More than 1000 minutes","Less than 1000 minutes")</f>
        <v>Less than 1000 minutes</v>
      </c>
      <c r="M146" s="2">
        <v>9.8000000000000007</v>
      </c>
      <c r="N146" s="3">
        <v>4</v>
      </c>
      <c r="O146" s="3">
        <v>1</v>
      </c>
      <c r="P146" s="3">
        <v>5</v>
      </c>
      <c r="Q146" s="3">
        <v>4</v>
      </c>
      <c r="R146" s="3">
        <v>0</v>
      </c>
      <c r="S146" s="3">
        <v>0</v>
      </c>
      <c r="T146" s="2">
        <v>1</v>
      </c>
      <c r="U146" s="2">
        <v>0</v>
      </c>
      <c r="V146" s="2">
        <v>4.5</v>
      </c>
      <c r="W146" s="2">
        <f>premier_player_23_24[[#This Row],[Goals]]-premier_player_23_24[[#This Row],[Expected Goals ]]</f>
        <v>-0.5</v>
      </c>
      <c r="X146" s="2">
        <v>4.5</v>
      </c>
      <c r="Y146" s="2">
        <v>1.8</v>
      </c>
      <c r="Z146" s="2">
        <v>6.4</v>
      </c>
      <c r="AA146" s="3">
        <v>21</v>
      </c>
      <c r="AB146" s="3">
        <v>15</v>
      </c>
      <c r="AC146" s="3">
        <v>39</v>
      </c>
      <c r="AD146" s="1">
        <v>0.41</v>
      </c>
      <c r="AE146" s="1">
        <v>0.1</v>
      </c>
      <c r="AF146" s="1">
        <v>0.51</v>
      </c>
      <c r="AG146" s="1">
        <v>0.41</v>
      </c>
      <c r="AH146" s="1">
        <v>0.51</v>
      </c>
      <c r="AI146" s="1">
        <v>0.46</v>
      </c>
      <c r="AJ146" s="1">
        <v>0.19</v>
      </c>
      <c r="AK146" s="1">
        <v>0.65</v>
      </c>
      <c r="AL146" s="1">
        <v>0.46</v>
      </c>
      <c r="AM146" s="1">
        <v>0.65</v>
      </c>
      <c r="AN146" t="s">
        <v>1598</v>
      </c>
    </row>
    <row r="147" spans="1:40" x14ac:dyDescent="0.25">
      <c r="A147" t="s">
        <v>1618</v>
      </c>
      <c r="B147" t="s">
        <v>804</v>
      </c>
      <c r="C147" s="4" t="s">
        <v>1788</v>
      </c>
      <c r="D147" t="s">
        <v>1789</v>
      </c>
      <c r="E147" t="s">
        <v>86</v>
      </c>
      <c r="F147" t="str">
        <f>LEFT(premier_player_23_24[[#This Row],[Position]],2)</f>
        <v>MF</v>
      </c>
      <c r="G147" s="3">
        <v>24</v>
      </c>
      <c r="H14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47" s="3">
        <v>32</v>
      </c>
      <c r="J147" s="3">
        <v>16</v>
      </c>
      <c r="K147" s="2">
        <v>1249</v>
      </c>
      <c r="L147" s="2" t="str">
        <f>IF(premier_player_23_24[[#This Row],[Minutes]]&gt;1000,"More than 1000 minutes","Less than 1000 minutes")</f>
        <v>More than 1000 minutes</v>
      </c>
      <c r="M147" s="2">
        <v>13.9</v>
      </c>
      <c r="N147" s="3">
        <v>6</v>
      </c>
      <c r="O147" s="3">
        <v>0</v>
      </c>
      <c r="P147" s="3">
        <v>6</v>
      </c>
      <c r="Q147" s="3">
        <v>5</v>
      </c>
      <c r="R147" s="3">
        <v>1</v>
      </c>
      <c r="S147" s="3">
        <v>1</v>
      </c>
      <c r="T147" s="2">
        <v>1</v>
      </c>
      <c r="U147" s="2">
        <v>0</v>
      </c>
      <c r="V147" s="2">
        <v>5</v>
      </c>
      <c r="W147" s="2">
        <f>premier_player_23_24[[#This Row],[Goals]]-premier_player_23_24[[#This Row],[Expected Goals ]]</f>
        <v>1</v>
      </c>
      <c r="X147" s="2">
        <v>4.2</v>
      </c>
      <c r="Y147" s="2">
        <v>1.5</v>
      </c>
      <c r="Z147" s="2">
        <v>5.7</v>
      </c>
      <c r="AA147" s="3">
        <v>61</v>
      </c>
      <c r="AB147" s="3">
        <v>38</v>
      </c>
      <c r="AC147" s="3">
        <v>146</v>
      </c>
      <c r="AD147" s="1">
        <v>0.43</v>
      </c>
      <c r="AE147" s="1">
        <v>0</v>
      </c>
      <c r="AF147" s="1">
        <v>0.43</v>
      </c>
      <c r="AG147" s="1">
        <v>0.36</v>
      </c>
      <c r="AH147" s="1">
        <v>0.36</v>
      </c>
      <c r="AI147" s="1">
        <v>0.36</v>
      </c>
      <c r="AJ147" s="1">
        <v>0.1</v>
      </c>
      <c r="AK147" s="1">
        <v>0.46</v>
      </c>
      <c r="AL147" s="1">
        <v>0.3</v>
      </c>
      <c r="AM147" s="1">
        <v>0.41</v>
      </c>
      <c r="AN147" t="s">
        <v>1598</v>
      </c>
    </row>
    <row r="148" spans="1:40" x14ac:dyDescent="0.25">
      <c r="A148" t="s">
        <v>1615</v>
      </c>
      <c r="B148" t="s">
        <v>1616</v>
      </c>
      <c r="C148" s="4" t="s">
        <v>1816</v>
      </c>
      <c r="D148" t="s">
        <v>1817</v>
      </c>
      <c r="E148" t="s">
        <v>58</v>
      </c>
      <c r="F148" t="str">
        <f>LEFT(premier_player_23_24[[#This Row],[Position]],2)</f>
        <v>FW</v>
      </c>
      <c r="G148" s="3">
        <v>22</v>
      </c>
      <c r="H14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48" s="3">
        <v>24</v>
      </c>
      <c r="J148" s="3">
        <v>22</v>
      </c>
      <c r="K148" s="2">
        <v>1899</v>
      </c>
      <c r="L148" s="2" t="str">
        <f>IF(premier_player_23_24[[#This Row],[Minutes]]&gt;1000,"More than 1000 minutes","Less than 1000 minutes")</f>
        <v>More than 1000 minutes</v>
      </c>
      <c r="M148" s="2">
        <v>21.1</v>
      </c>
      <c r="N148" s="3">
        <v>5</v>
      </c>
      <c r="O148" s="3">
        <v>3</v>
      </c>
      <c r="P148" s="3">
        <v>8</v>
      </c>
      <c r="Q148" s="3">
        <v>5</v>
      </c>
      <c r="R148" s="3">
        <v>0</v>
      </c>
      <c r="S148" s="3">
        <v>0</v>
      </c>
      <c r="T148" s="2">
        <v>0</v>
      </c>
      <c r="U148" s="2">
        <v>1</v>
      </c>
      <c r="V148" s="2">
        <v>4.5</v>
      </c>
      <c r="W148" s="2">
        <f>premier_player_23_24[[#This Row],[Goals]]-premier_player_23_24[[#This Row],[Expected Goals ]]</f>
        <v>0.5</v>
      </c>
      <c r="X148" s="2">
        <v>4.5</v>
      </c>
      <c r="Y148" s="2">
        <v>1.9</v>
      </c>
      <c r="Z148" s="2">
        <v>6.4</v>
      </c>
      <c r="AA148" s="3">
        <v>55</v>
      </c>
      <c r="AB148" s="3">
        <v>37</v>
      </c>
      <c r="AC148" s="3">
        <v>104</v>
      </c>
      <c r="AD148" s="1">
        <v>0.24</v>
      </c>
      <c r="AE148" s="1">
        <v>0.14000000000000001</v>
      </c>
      <c r="AF148" s="1">
        <v>0.38</v>
      </c>
      <c r="AG148" s="1">
        <v>0.24</v>
      </c>
      <c r="AH148" s="1">
        <v>0.38</v>
      </c>
      <c r="AI148" s="1">
        <v>0.21</v>
      </c>
      <c r="AJ148" s="1">
        <v>0.09</v>
      </c>
      <c r="AK148" s="1">
        <v>0.3</v>
      </c>
      <c r="AL148" s="1">
        <v>0.21</v>
      </c>
      <c r="AM148" s="1">
        <v>0.3</v>
      </c>
      <c r="AN148" t="s">
        <v>1598</v>
      </c>
    </row>
    <row r="149" spans="1:40" x14ac:dyDescent="0.25">
      <c r="A149" t="s">
        <v>1640</v>
      </c>
      <c r="B149" t="s">
        <v>57</v>
      </c>
      <c r="C149" s="4" t="s">
        <v>1744</v>
      </c>
      <c r="D149" t="s">
        <v>1745</v>
      </c>
      <c r="E149" t="s">
        <v>137</v>
      </c>
      <c r="F149" t="str">
        <f>LEFT(premier_player_23_24[[#This Row],[Position]],2)</f>
        <v>FW</v>
      </c>
      <c r="G149" s="3">
        <v>34</v>
      </c>
      <c r="H14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49" s="3">
        <v>21</v>
      </c>
      <c r="J149" s="3">
        <v>7</v>
      </c>
      <c r="K149" s="2">
        <v>822</v>
      </c>
      <c r="L149" s="2" t="str">
        <f>IF(premier_player_23_24[[#This Row],[Minutes]]&gt;1000,"More than 1000 minutes","Less than 1000 minutes")</f>
        <v>Less than 1000 minutes</v>
      </c>
      <c r="M149" s="2">
        <v>9.1</v>
      </c>
      <c r="N149" s="3">
        <v>2</v>
      </c>
      <c r="O149" s="3">
        <v>1</v>
      </c>
      <c r="P149" s="3">
        <v>3</v>
      </c>
      <c r="Q149" s="3">
        <v>1</v>
      </c>
      <c r="R149" s="3">
        <v>1</v>
      </c>
      <c r="S149" s="3">
        <v>1</v>
      </c>
      <c r="T149" s="2">
        <v>0</v>
      </c>
      <c r="U149" s="2">
        <v>0</v>
      </c>
      <c r="V149" s="2">
        <v>3.5</v>
      </c>
      <c r="W149" s="2">
        <f>premier_player_23_24[[#This Row],[Goals]]-premier_player_23_24[[#This Row],[Expected Goals ]]</f>
        <v>-1.5</v>
      </c>
      <c r="X149" s="2">
        <v>2.7</v>
      </c>
      <c r="Y149" s="2">
        <v>0.2</v>
      </c>
      <c r="Z149" s="2">
        <v>2.9</v>
      </c>
      <c r="AA149" s="3">
        <v>2</v>
      </c>
      <c r="AB149" s="3">
        <v>17</v>
      </c>
      <c r="AC149" s="3">
        <v>28</v>
      </c>
      <c r="AD149" s="1">
        <v>0.22</v>
      </c>
      <c r="AE149" s="1">
        <v>0.11</v>
      </c>
      <c r="AF149" s="1">
        <v>0.33</v>
      </c>
      <c r="AG149" s="1">
        <v>0.11</v>
      </c>
      <c r="AH149" s="1">
        <v>0.22</v>
      </c>
      <c r="AI149" s="1">
        <v>0.38</v>
      </c>
      <c r="AJ149" s="1">
        <v>0.02</v>
      </c>
      <c r="AK149" s="1">
        <v>0.4</v>
      </c>
      <c r="AL149" s="1">
        <v>0.3</v>
      </c>
      <c r="AM149" s="1">
        <v>0.32</v>
      </c>
      <c r="AN149" t="s">
        <v>1598</v>
      </c>
    </row>
    <row r="150" spans="1:40" x14ac:dyDescent="0.25">
      <c r="A150" t="s">
        <v>1629</v>
      </c>
      <c r="B150" t="s">
        <v>1630</v>
      </c>
      <c r="C150" s="4" t="s">
        <v>1818</v>
      </c>
      <c r="D150" t="s">
        <v>1819</v>
      </c>
      <c r="E150" t="s">
        <v>86</v>
      </c>
      <c r="F150" t="str">
        <f>LEFT(premier_player_23_24[[#This Row],[Position]],2)</f>
        <v>MF</v>
      </c>
      <c r="G150" s="3">
        <v>32</v>
      </c>
      <c r="H15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50" s="3">
        <v>26</v>
      </c>
      <c r="J150" s="3">
        <v>12</v>
      </c>
      <c r="K150" s="2">
        <v>1192</v>
      </c>
      <c r="L150" s="2" t="str">
        <f>IF(premier_player_23_24[[#This Row],[Minutes]]&gt;1000,"More than 1000 minutes","Less than 1000 minutes")</f>
        <v>More than 1000 minutes</v>
      </c>
      <c r="M150" s="2">
        <v>13.2</v>
      </c>
      <c r="N150" s="3">
        <v>1</v>
      </c>
      <c r="O150" s="3">
        <v>3</v>
      </c>
      <c r="P150" s="3">
        <v>4</v>
      </c>
      <c r="Q150" s="3">
        <v>1</v>
      </c>
      <c r="R150" s="3">
        <v>0</v>
      </c>
      <c r="S150" s="3">
        <v>0</v>
      </c>
      <c r="T150" s="2">
        <v>2</v>
      </c>
      <c r="U150" s="2">
        <v>0</v>
      </c>
      <c r="V150" s="2">
        <v>1.9</v>
      </c>
      <c r="W150" s="2">
        <f>premier_player_23_24[[#This Row],[Goals]]-premier_player_23_24[[#This Row],[Expected Goals ]]</f>
        <v>-0.89999999999999991</v>
      </c>
      <c r="X150" s="2">
        <v>1.9</v>
      </c>
      <c r="Y150" s="2">
        <v>2.7</v>
      </c>
      <c r="Z150" s="2">
        <v>4.5</v>
      </c>
      <c r="AA150" s="3">
        <v>13</v>
      </c>
      <c r="AB150" s="3">
        <v>59</v>
      </c>
      <c r="AC150" s="3">
        <v>69</v>
      </c>
      <c r="AD150" s="1">
        <v>0.08</v>
      </c>
      <c r="AE150" s="1">
        <v>0.23</v>
      </c>
      <c r="AF150" s="1">
        <v>0.3</v>
      </c>
      <c r="AG150" s="1">
        <v>0.08</v>
      </c>
      <c r="AH150" s="1">
        <v>0.3</v>
      </c>
      <c r="AI150" s="1">
        <v>0.14000000000000001</v>
      </c>
      <c r="AJ150" s="1">
        <v>0.2</v>
      </c>
      <c r="AK150" s="1">
        <v>0.34</v>
      </c>
      <c r="AL150" s="1">
        <v>0.14000000000000001</v>
      </c>
      <c r="AM150" s="1">
        <v>0.34</v>
      </c>
      <c r="AN150" t="s">
        <v>1598</v>
      </c>
    </row>
    <row r="151" spans="1:40" x14ac:dyDescent="0.25">
      <c r="A151" t="s">
        <v>1601</v>
      </c>
      <c r="B151" t="s">
        <v>171</v>
      </c>
      <c r="C151" s="4" t="s">
        <v>1820</v>
      </c>
      <c r="D151" t="s">
        <v>1821</v>
      </c>
      <c r="E151" t="s">
        <v>137</v>
      </c>
      <c r="F151" t="str">
        <f>LEFT(premier_player_23_24[[#This Row],[Position]],2)</f>
        <v>FW</v>
      </c>
      <c r="G151" s="3">
        <v>22</v>
      </c>
      <c r="H15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51" s="3">
        <v>34</v>
      </c>
      <c r="J151" s="3">
        <v>27</v>
      </c>
      <c r="K151" s="2">
        <v>1953</v>
      </c>
      <c r="L151" s="2" t="str">
        <f>IF(premier_player_23_24[[#This Row],[Minutes]]&gt;1000,"More than 1000 minutes","Less than 1000 minutes")</f>
        <v>More than 1000 minutes</v>
      </c>
      <c r="M151" s="2">
        <v>21.7</v>
      </c>
      <c r="N151" s="3">
        <v>5</v>
      </c>
      <c r="O151" s="3">
        <v>1</v>
      </c>
      <c r="P151" s="3">
        <v>6</v>
      </c>
      <c r="Q151" s="3">
        <v>4</v>
      </c>
      <c r="R151" s="3">
        <v>1</v>
      </c>
      <c r="S151" s="3">
        <v>1</v>
      </c>
      <c r="T151" s="2">
        <v>2</v>
      </c>
      <c r="U151" s="2">
        <v>0</v>
      </c>
      <c r="V151" s="2">
        <v>5.8</v>
      </c>
      <c r="W151" s="2">
        <f>premier_player_23_24[[#This Row],[Goals]]-premier_player_23_24[[#This Row],[Expected Goals ]]</f>
        <v>-0.79999999999999982</v>
      </c>
      <c r="X151" s="2">
        <v>5</v>
      </c>
      <c r="Y151" s="2">
        <v>1.4</v>
      </c>
      <c r="Z151" s="2">
        <v>6.5</v>
      </c>
      <c r="AA151" s="3">
        <v>63</v>
      </c>
      <c r="AB151" s="3">
        <v>49</v>
      </c>
      <c r="AC151" s="3">
        <v>93</v>
      </c>
      <c r="AD151" s="1">
        <v>0.23</v>
      </c>
      <c r="AE151" s="1">
        <v>0.05</v>
      </c>
      <c r="AF151" s="1">
        <v>0.28000000000000003</v>
      </c>
      <c r="AG151" s="1">
        <v>0.18</v>
      </c>
      <c r="AH151" s="1">
        <v>0.23</v>
      </c>
      <c r="AI151" s="1">
        <v>0.27</v>
      </c>
      <c r="AJ151" s="1">
        <v>7.0000000000000007E-2</v>
      </c>
      <c r="AK151" s="1">
        <v>0.33</v>
      </c>
      <c r="AL151" s="1">
        <v>0.23</v>
      </c>
      <c r="AM151" s="1">
        <v>0.3</v>
      </c>
      <c r="AN151" t="s">
        <v>1598</v>
      </c>
    </row>
    <row r="152" spans="1:40" x14ac:dyDescent="0.25">
      <c r="A152" t="s">
        <v>1611</v>
      </c>
      <c r="B152" t="s">
        <v>57</v>
      </c>
      <c r="C152" s="4" t="s">
        <v>1744</v>
      </c>
      <c r="D152" t="s">
        <v>1745</v>
      </c>
      <c r="E152" t="s">
        <v>36</v>
      </c>
      <c r="F152" t="str">
        <f>LEFT(premier_player_23_24[[#This Row],[Position]],2)</f>
        <v>MF</v>
      </c>
      <c r="G152" s="3">
        <v>27</v>
      </c>
      <c r="H15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52" s="3">
        <v>33</v>
      </c>
      <c r="J152" s="3">
        <v>23</v>
      </c>
      <c r="K152" s="2">
        <v>2252</v>
      </c>
      <c r="L152" s="2" t="str">
        <f>IF(premier_player_23_24[[#This Row],[Minutes]]&gt;1000,"More than 1000 minutes","Less than 1000 minutes")</f>
        <v>More than 1000 minutes</v>
      </c>
      <c r="M152" s="2">
        <v>25</v>
      </c>
      <c r="N152" s="3">
        <v>4</v>
      </c>
      <c r="O152" s="3">
        <v>2</v>
      </c>
      <c r="P152" s="3">
        <v>6</v>
      </c>
      <c r="Q152" s="3">
        <v>4</v>
      </c>
      <c r="R152" s="3">
        <v>0</v>
      </c>
      <c r="S152" s="3">
        <v>0</v>
      </c>
      <c r="T152" s="2">
        <v>4</v>
      </c>
      <c r="U152" s="2">
        <v>1</v>
      </c>
      <c r="V152" s="2">
        <v>1.9</v>
      </c>
      <c r="W152" s="2">
        <f>premier_player_23_24[[#This Row],[Goals]]-premier_player_23_24[[#This Row],[Expected Goals ]]</f>
        <v>2.1</v>
      </c>
      <c r="X152" s="2">
        <v>1.9</v>
      </c>
      <c r="Y152" s="2">
        <v>2.1</v>
      </c>
      <c r="Z152" s="2">
        <v>4</v>
      </c>
      <c r="AA152" s="3">
        <v>19</v>
      </c>
      <c r="AB152" s="3">
        <v>90</v>
      </c>
      <c r="AC152" s="3">
        <v>36</v>
      </c>
      <c r="AD152" s="1">
        <v>0.16</v>
      </c>
      <c r="AE152" s="1">
        <v>0.08</v>
      </c>
      <c r="AF152" s="1">
        <v>0.24</v>
      </c>
      <c r="AG152" s="1">
        <v>0.16</v>
      </c>
      <c r="AH152" s="1">
        <v>0.24</v>
      </c>
      <c r="AI152" s="1">
        <v>0.08</v>
      </c>
      <c r="AJ152" s="1">
        <v>0.08</v>
      </c>
      <c r="AK152" s="1">
        <v>0.16</v>
      </c>
      <c r="AL152" s="1">
        <v>0.08</v>
      </c>
      <c r="AM152" s="1">
        <v>0.16</v>
      </c>
      <c r="AN152" t="s">
        <v>1598</v>
      </c>
    </row>
    <row r="153" spans="1:40" x14ac:dyDescent="0.25">
      <c r="A153" t="s">
        <v>1599</v>
      </c>
      <c r="B153" t="s">
        <v>411</v>
      </c>
      <c r="C153" s="4" t="s">
        <v>1792</v>
      </c>
      <c r="D153" t="s">
        <v>1793</v>
      </c>
      <c r="E153" t="s">
        <v>108</v>
      </c>
      <c r="F153" t="str">
        <f>LEFT(premier_player_23_24[[#This Row],[Position]],2)</f>
        <v>DF</v>
      </c>
      <c r="G153" s="3">
        <v>24</v>
      </c>
      <c r="H15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53" s="3">
        <v>33</v>
      </c>
      <c r="J153" s="3">
        <v>32</v>
      </c>
      <c r="K153" s="2">
        <v>2892</v>
      </c>
      <c r="L153" s="2" t="str">
        <f>IF(premier_player_23_24[[#This Row],[Minutes]]&gt;1000,"More than 1000 minutes","Less than 1000 minutes")</f>
        <v>More than 1000 minutes</v>
      </c>
      <c r="M153" s="2">
        <v>32.1</v>
      </c>
      <c r="N153" s="3">
        <v>3</v>
      </c>
      <c r="O153" s="3">
        <v>4</v>
      </c>
      <c r="P153" s="3">
        <v>7</v>
      </c>
      <c r="Q153" s="3">
        <v>3</v>
      </c>
      <c r="R153" s="3">
        <v>0</v>
      </c>
      <c r="S153" s="3">
        <v>0</v>
      </c>
      <c r="T153" s="2">
        <v>5</v>
      </c>
      <c r="U153" s="2">
        <v>1</v>
      </c>
      <c r="V153" s="2">
        <v>0.7</v>
      </c>
      <c r="W153" s="2">
        <f>premier_player_23_24[[#This Row],[Goals]]-premier_player_23_24[[#This Row],[Expected Goals ]]</f>
        <v>2.2999999999999998</v>
      </c>
      <c r="X153" s="2">
        <v>0.7</v>
      </c>
      <c r="Y153" s="2">
        <v>2</v>
      </c>
      <c r="Z153" s="2">
        <v>2.7</v>
      </c>
      <c r="AA153" s="3">
        <v>32</v>
      </c>
      <c r="AB153" s="3">
        <v>122</v>
      </c>
      <c r="AC153" s="3">
        <v>10</v>
      </c>
      <c r="AD153" s="1">
        <v>0.09</v>
      </c>
      <c r="AE153" s="1">
        <v>0.12</v>
      </c>
      <c r="AF153" s="1">
        <v>0.22</v>
      </c>
      <c r="AG153" s="1">
        <v>0.09</v>
      </c>
      <c r="AH153" s="1">
        <v>0.22</v>
      </c>
      <c r="AI153" s="1">
        <v>0.02</v>
      </c>
      <c r="AJ153" s="1">
        <v>0.06</v>
      </c>
      <c r="AK153" s="1">
        <v>0.08</v>
      </c>
      <c r="AL153" s="1">
        <v>0.02</v>
      </c>
      <c r="AM153" s="1">
        <v>0.08</v>
      </c>
      <c r="AN153" t="s">
        <v>1598</v>
      </c>
    </row>
    <row r="154" spans="1:40" x14ac:dyDescent="0.25">
      <c r="A154" t="s">
        <v>1613</v>
      </c>
      <c r="B154" t="s">
        <v>411</v>
      </c>
      <c r="C154" s="4" t="s">
        <v>1792</v>
      </c>
      <c r="D154" t="s">
        <v>1793</v>
      </c>
      <c r="E154" t="s">
        <v>36</v>
      </c>
      <c r="F154" t="str">
        <f>LEFT(premier_player_23_24[[#This Row],[Position]],2)</f>
        <v>MF</v>
      </c>
      <c r="G154" s="3">
        <v>27</v>
      </c>
      <c r="H15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54" s="3">
        <v>25</v>
      </c>
      <c r="J154" s="3">
        <v>23</v>
      </c>
      <c r="K154" s="2">
        <v>2057</v>
      </c>
      <c r="L154" s="2" t="str">
        <f>IF(premier_player_23_24[[#This Row],[Minutes]]&gt;1000,"More than 1000 minutes","Less than 1000 minutes")</f>
        <v>More than 1000 minutes</v>
      </c>
      <c r="M154" s="2">
        <v>22.9</v>
      </c>
      <c r="N154" s="3">
        <v>2</v>
      </c>
      <c r="O154" s="3">
        <v>3</v>
      </c>
      <c r="P154" s="3">
        <v>5</v>
      </c>
      <c r="Q154" s="3">
        <v>2</v>
      </c>
      <c r="R154" s="3">
        <v>0</v>
      </c>
      <c r="S154" s="3">
        <v>0</v>
      </c>
      <c r="T154" s="2">
        <v>9</v>
      </c>
      <c r="U154" s="2">
        <v>0</v>
      </c>
      <c r="V154" s="2">
        <v>0.6</v>
      </c>
      <c r="W154" s="2">
        <f>premier_player_23_24[[#This Row],[Goals]]-premier_player_23_24[[#This Row],[Expected Goals ]]</f>
        <v>1.4</v>
      </c>
      <c r="X154" s="2">
        <v>0.6</v>
      </c>
      <c r="Y154" s="2">
        <v>1.8</v>
      </c>
      <c r="Z154" s="2">
        <v>2.4</v>
      </c>
      <c r="AA154" s="3">
        <v>22</v>
      </c>
      <c r="AB154" s="3">
        <v>123</v>
      </c>
      <c r="AC154" s="3">
        <v>22</v>
      </c>
      <c r="AD154" s="1">
        <v>0.09</v>
      </c>
      <c r="AE154" s="1">
        <v>0.13</v>
      </c>
      <c r="AF154" s="1">
        <v>0.22</v>
      </c>
      <c r="AG154" s="1">
        <v>0.09</v>
      </c>
      <c r="AH154" s="1">
        <v>0.22</v>
      </c>
      <c r="AI154" s="1">
        <v>0.03</v>
      </c>
      <c r="AJ154" s="1">
        <v>0.08</v>
      </c>
      <c r="AK154" s="1">
        <v>0.11</v>
      </c>
      <c r="AL154" s="1">
        <v>0.03</v>
      </c>
      <c r="AM154" s="1">
        <v>0.11</v>
      </c>
      <c r="AN154" t="s">
        <v>1598</v>
      </c>
    </row>
    <row r="155" spans="1:40" x14ac:dyDescent="0.25">
      <c r="A155" t="s">
        <v>1623</v>
      </c>
      <c r="B155" t="s">
        <v>1624</v>
      </c>
      <c r="C155" s="4" t="s">
        <v>1822</v>
      </c>
      <c r="D155" t="s">
        <v>1823</v>
      </c>
      <c r="E155" t="s">
        <v>108</v>
      </c>
      <c r="F155" t="str">
        <f>LEFT(premier_player_23_24[[#This Row],[Position]],2)</f>
        <v>DF</v>
      </c>
      <c r="G155" s="3">
        <v>23</v>
      </c>
      <c r="H15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55" s="3">
        <v>15</v>
      </c>
      <c r="J155" s="3">
        <v>15</v>
      </c>
      <c r="K155" s="2">
        <v>1234</v>
      </c>
      <c r="L155" s="2" t="str">
        <f>IF(premier_player_23_24[[#This Row],[Minutes]]&gt;1000,"More than 1000 minutes","Less than 1000 minutes")</f>
        <v>More than 1000 minutes</v>
      </c>
      <c r="M155" s="2">
        <v>13.7</v>
      </c>
      <c r="N155" s="3">
        <v>1</v>
      </c>
      <c r="O155" s="3">
        <v>2</v>
      </c>
      <c r="P155" s="3">
        <v>3</v>
      </c>
      <c r="Q155" s="3">
        <v>1</v>
      </c>
      <c r="R155" s="3">
        <v>0</v>
      </c>
      <c r="S155" s="3">
        <v>0</v>
      </c>
      <c r="T155" s="2">
        <v>5</v>
      </c>
      <c r="U155" s="2">
        <v>1</v>
      </c>
      <c r="V155" s="2">
        <v>0.4</v>
      </c>
      <c r="W155" s="2">
        <f>premier_player_23_24[[#This Row],[Goals]]-premier_player_23_24[[#This Row],[Expected Goals ]]</f>
        <v>0.6</v>
      </c>
      <c r="X155" s="2">
        <v>0.4</v>
      </c>
      <c r="Y155" s="2">
        <v>2.6</v>
      </c>
      <c r="Z155" s="2">
        <v>3</v>
      </c>
      <c r="AA155" s="3">
        <v>38</v>
      </c>
      <c r="AB155" s="3">
        <v>34</v>
      </c>
      <c r="AC155" s="3">
        <v>57</v>
      </c>
      <c r="AD155" s="1">
        <v>7.0000000000000007E-2</v>
      </c>
      <c r="AE155" s="1">
        <v>0.15</v>
      </c>
      <c r="AF155" s="1">
        <v>0.22</v>
      </c>
      <c r="AG155" s="1">
        <v>7.0000000000000007E-2</v>
      </c>
      <c r="AH155" s="1">
        <v>0.22</v>
      </c>
      <c r="AI155" s="1">
        <v>0.03</v>
      </c>
      <c r="AJ155" s="1">
        <v>0.19</v>
      </c>
      <c r="AK155" s="1">
        <v>0.22</v>
      </c>
      <c r="AL155" s="1">
        <v>0.03</v>
      </c>
      <c r="AM155" s="1">
        <v>0.22</v>
      </c>
      <c r="AN155" t="s">
        <v>1598</v>
      </c>
    </row>
    <row r="156" spans="1:40" x14ac:dyDescent="0.25">
      <c r="A156" t="s">
        <v>1609</v>
      </c>
      <c r="B156" t="s">
        <v>376</v>
      </c>
      <c r="C156" s="4" t="s">
        <v>1762</v>
      </c>
      <c r="D156" t="s">
        <v>1763</v>
      </c>
      <c r="E156" t="s">
        <v>86</v>
      </c>
      <c r="F156" t="str">
        <f>LEFT(premier_player_23_24[[#This Row],[Position]],2)</f>
        <v>MF</v>
      </c>
      <c r="G156" s="3">
        <v>18</v>
      </c>
      <c r="H15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56" s="3">
        <v>29</v>
      </c>
      <c r="J156" s="3">
        <v>25</v>
      </c>
      <c r="K156" s="2">
        <v>2098</v>
      </c>
      <c r="L156" s="2" t="str">
        <f>IF(premier_player_23_24[[#This Row],[Minutes]]&gt;1000,"More than 1000 minutes","Less than 1000 minutes")</f>
        <v>More than 1000 minutes</v>
      </c>
      <c r="M156" s="2">
        <v>23.3</v>
      </c>
      <c r="N156" s="3">
        <v>3</v>
      </c>
      <c r="O156" s="3">
        <v>2</v>
      </c>
      <c r="P156" s="3">
        <v>5</v>
      </c>
      <c r="Q156" s="3">
        <v>3</v>
      </c>
      <c r="R156" s="3">
        <v>0</v>
      </c>
      <c r="S156" s="3">
        <v>0</v>
      </c>
      <c r="T156" s="2">
        <v>3</v>
      </c>
      <c r="U156" s="2">
        <v>0</v>
      </c>
      <c r="V156" s="2">
        <v>2.8</v>
      </c>
      <c r="W156" s="2">
        <f>premier_player_23_24[[#This Row],[Goals]]-premier_player_23_24[[#This Row],[Expected Goals ]]</f>
        <v>0.20000000000000018</v>
      </c>
      <c r="X156" s="2">
        <v>2.8</v>
      </c>
      <c r="Y156" s="2">
        <v>3.3</v>
      </c>
      <c r="Z156" s="2">
        <v>6.1</v>
      </c>
      <c r="AA156" s="3">
        <v>102</v>
      </c>
      <c r="AB156" s="3">
        <v>58</v>
      </c>
      <c r="AC156" s="3">
        <v>123</v>
      </c>
      <c r="AD156" s="1">
        <v>0.13</v>
      </c>
      <c r="AE156" s="1">
        <v>0.09</v>
      </c>
      <c r="AF156" s="1">
        <v>0.21</v>
      </c>
      <c r="AG156" s="1">
        <v>0.13</v>
      </c>
      <c r="AH156" s="1">
        <v>0.21</v>
      </c>
      <c r="AI156" s="1">
        <v>0.12</v>
      </c>
      <c r="AJ156" s="1">
        <v>0.14000000000000001</v>
      </c>
      <c r="AK156" s="1">
        <v>0.26</v>
      </c>
      <c r="AL156" s="1">
        <v>0.12</v>
      </c>
      <c r="AM156" s="1">
        <v>0.26</v>
      </c>
      <c r="AN156" t="s">
        <v>1598</v>
      </c>
    </row>
    <row r="157" spans="1:40" x14ac:dyDescent="0.25">
      <c r="A157" t="s">
        <v>1627</v>
      </c>
      <c r="B157" t="s">
        <v>519</v>
      </c>
      <c r="C157" s="4" t="s">
        <v>1758</v>
      </c>
      <c r="D157" t="s">
        <v>1759</v>
      </c>
      <c r="E157" t="s">
        <v>86</v>
      </c>
      <c r="F157" t="str">
        <f>LEFT(premier_player_23_24[[#This Row],[Position]],2)</f>
        <v>MF</v>
      </c>
      <c r="G157" s="3">
        <v>18</v>
      </c>
      <c r="H15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57" s="3">
        <v>15</v>
      </c>
      <c r="J157" s="3">
        <v>13</v>
      </c>
      <c r="K157" s="2">
        <v>974</v>
      </c>
      <c r="L157" s="2" t="str">
        <f>IF(premier_player_23_24[[#This Row],[Minutes]]&gt;1000,"More than 1000 minutes","Less than 1000 minutes")</f>
        <v>Less than 1000 minutes</v>
      </c>
      <c r="M157" s="2">
        <v>10.8</v>
      </c>
      <c r="N157" s="3">
        <v>1</v>
      </c>
      <c r="O157" s="3">
        <v>1</v>
      </c>
      <c r="P157" s="3">
        <v>2</v>
      </c>
      <c r="Q157" s="3">
        <v>1</v>
      </c>
      <c r="R157" s="3">
        <v>0</v>
      </c>
      <c r="S157" s="3">
        <v>0</v>
      </c>
      <c r="T157" s="2">
        <v>0</v>
      </c>
      <c r="U157" s="2">
        <v>0</v>
      </c>
      <c r="V157" s="2">
        <v>2</v>
      </c>
      <c r="W157" s="2">
        <f>premier_player_23_24[[#This Row],[Goals]]-premier_player_23_24[[#This Row],[Expected Goals ]]</f>
        <v>-1</v>
      </c>
      <c r="X157" s="2">
        <v>2</v>
      </c>
      <c r="Y157" s="2">
        <v>1.3</v>
      </c>
      <c r="Z157" s="2">
        <v>3.3</v>
      </c>
      <c r="AA157" s="3">
        <v>53</v>
      </c>
      <c r="AB157" s="3">
        <v>19</v>
      </c>
      <c r="AC157" s="3">
        <v>82</v>
      </c>
      <c r="AD157" s="1">
        <v>0.09</v>
      </c>
      <c r="AE157" s="1">
        <v>0.09</v>
      </c>
      <c r="AF157" s="1">
        <v>0.18</v>
      </c>
      <c r="AG157" s="1">
        <v>0.09</v>
      </c>
      <c r="AH157" s="1">
        <v>0.18</v>
      </c>
      <c r="AI157" s="1">
        <v>0.18</v>
      </c>
      <c r="AJ157" s="1">
        <v>0.12</v>
      </c>
      <c r="AK157" s="1">
        <v>0.3</v>
      </c>
      <c r="AL157" s="1">
        <v>0.18</v>
      </c>
      <c r="AM157" s="1">
        <v>0.3</v>
      </c>
      <c r="AN157" t="s">
        <v>1598</v>
      </c>
    </row>
    <row r="158" spans="1:40" x14ac:dyDescent="0.25">
      <c r="A158" t="s">
        <v>1638</v>
      </c>
      <c r="B158" t="s">
        <v>432</v>
      </c>
      <c r="C158" s="4" t="s">
        <v>1786</v>
      </c>
      <c r="D158" t="s">
        <v>1787</v>
      </c>
      <c r="E158" t="s">
        <v>108</v>
      </c>
      <c r="F158" t="str">
        <f>LEFT(premier_player_23_24[[#This Row],[Position]],2)</f>
        <v>DF</v>
      </c>
      <c r="G158" s="3">
        <v>27</v>
      </c>
      <c r="H15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58" s="3">
        <v>14</v>
      </c>
      <c r="J158" s="3">
        <v>8</v>
      </c>
      <c r="K158" s="2">
        <v>823</v>
      </c>
      <c r="L158" s="2" t="str">
        <f>IF(premier_player_23_24[[#This Row],[Minutes]]&gt;1000,"More than 1000 minutes","Less than 1000 minutes")</f>
        <v>Less than 1000 minutes</v>
      </c>
      <c r="M158" s="2">
        <v>9.1</v>
      </c>
      <c r="N158" s="3">
        <v>0</v>
      </c>
      <c r="O158" s="3">
        <v>1</v>
      </c>
      <c r="P158" s="3">
        <v>1</v>
      </c>
      <c r="Q158" s="3">
        <v>0</v>
      </c>
      <c r="R158" s="3">
        <v>0</v>
      </c>
      <c r="S158" s="3">
        <v>0</v>
      </c>
      <c r="T158" s="2">
        <v>5</v>
      </c>
      <c r="U158" s="2">
        <v>1</v>
      </c>
      <c r="V158" s="2">
        <v>0</v>
      </c>
      <c r="W158" s="2">
        <f>premier_player_23_24[[#This Row],[Goals]]-premier_player_23_24[[#This Row],[Expected Goals ]]</f>
        <v>0</v>
      </c>
      <c r="X158" s="2">
        <v>0</v>
      </c>
      <c r="Y158" s="2">
        <v>0.2</v>
      </c>
      <c r="Z158" s="2">
        <v>0.2</v>
      </c>
      <c r="AA158" s="3">
        <v>6</v>
      </c>
      <c r="AB158" s="3">
        <v>38</v>
      </c>
      <c r="AC158" s="3">
        <v>13</v>
      </c>
      <c r="AD158" s="1">
        <v>0</v>
      </c>
      <c r="AE158" s="1">
        <v>0.11</v>
      </c>
      <c r="AF158" s="1">
        <v>0.11</v>
      </c>
      <c r="AG158" s="1">
        <v>0</v>
      </c>
      <c r="AH158" s="1">
        <v>0.11</v>
      </c>
      <c r="AI158" s="1">
        <v>0</v>
      </c>
      <c r="AJ158" s="1">
        <v>0.02</v>
      </c>
      <c r="AK158" s="1">
        <v>0.02</v>
      </c>
      <c r="AL158" s="1">
        <v>0</v>
      </c>
      <c r="AM158" s="1">
        <v>0.02</v>
      </c>
      <c r="AN158" t="s">
        <v>1598</v>
      </c>
    </row>
    <row r="159" spans="1:40" x14ac:dyDescent="0.25">
      <c r="A159" t="s">
        <v>1596</v>
      </c>
      <c r="B159" t="s">
        <v>136</v>
      </c>
      <c r="C159" s="4" t="s">
        <v>1752</v>
      </c>
      <c r="D159" t="s">
        <v>1753</v>
      </c>
      <c r="E159" t="s">
        <v>36</v>
      </c>
      <c r="F159" t="str">
        <f>LEFT(premier_player_23_24[[#This Row],[Position]],2)</f>
        <v>MF</v>
      </c>
      <c r="G159" s="3">
        <v>25</v>
      </c>
      <c r="H15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59" s="3">
        <v>37</v>
      </c>
      <c r="J159" s="3">
        <v>34</v>
      </c>
      <c r="K159" s="2">
        <v>3005</v>
      </c>
      <c r="L159" s="2" t="str">
        <f>IF(premier_player_23_24[[#This Row],[Minutes]]&gt;1000,"More than 1000 minutes","Less than 1000 minutes")</f>
        <v>More than 1000 minutes</v>
      </c>
      <c r="M159" s="2">
        <v>33.4</v>
      </c>
      <c r="N159" s="3">
        <v>1</v>
      </c>
      <c r="O159" s="3">
        <v>2</v>
      </c>
      <c r="P159" s="3">
        <v>3</v>
      </c>
      <c r="Q159" s="3">
        <v>1</v>
      </c>
      <c r="R159" s="3">
        <v>0</v>
      </c>
      <c r="S159" s="3">
        <v>0</v>
      </c>
      <c r="T159" s="2">
        <v>10</v>
      </c>
      <c r="U159" s="2">
        <v>1</v>
      </c>
      <c r="V159" s="2">
        <v>1.9</v>
      </c>
      <c r="W159" s="2">
        <f>premier_player_23_24[[#This Row],[Goals]]-premier_player_23_24[[#This Row],[Expected Goals ]]</f>
        <v>-0.89999999999999991</v>
      </c>
      <c r="X159" s="2">
        <v>1.9</v>
      </c>
      <c r="Y159" s="2">
        <v>2.4</v>
      </c>
      <c r="Z159" s="2">
        <v>4.3</v>
      </c>
      <c r="AA159" s="3">
        <v>64</v>
      </c>
      <c r="AB159" s="3">
        <v>164</v>
      </c>
      <c r="AC159" s="3">
        <v>29</v>
      </c>
      <c r="AD159" s="1">
        <v>0.03</v>
      </c>
      <c r="AE159" s="1">
        <v>0.06</v>
      </c>
      <c r="AF159" s="1">
        <v>0.09</v>
      </c>
      <c r="AG159" s="1">
        <v>0.03</v>
      </c>
      <c r="AH159" s="1">
        <v>0.09</v>
      </c>
      <c r="AI159" s="1">
        <v>0.06</v>
      </c>
      <c r="AJ159" s="1">
        <v>7.0000000000000007E-2</v>
      </c>
      <c r="AK159" s="1">
        <v>0.13</v>
      </c>
      <c r="AL159" s="1">
        <v>0.06</v>
      </c>
      <c r="AM159" s="1">
        <v>0.13</v>
      </c>
      <c r="AN159" t="s">
        <v>1598</v>
      </c>
    </row>
    <row r="160" spans="1:40" x14ac:dyDescent="0.25">
      <c r="A160" t="s">
        <v>1632</v>
      </c>
      <c r="B160" t="s">
        <v>207</v>
      </c>
      <c r="C160" s="4" t="s">
        <v>1746</v>
      </c>
      <c r="D160" t="s">
        <v>1747</v>
      </c>
      <c r="E160" t="s">
        <v>108</v>
      </c>
      <c r="F160" t="str">
        <f>LEFT(premier_player_23_24[[#This Row],[Position]],2)</f>
        <v>DF</v>
      </c>
      <c r="G160" s="3">
        <v>21</v>
      </c>
      <c r="H16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60" s="3">
        <v>13</v>
      </c>
      <c r="J160" s="3">
        <v>12</v>
      </c>
      <c r="K160" s="2">
        <v>1056</v>
      </c>
      <c r="L160" s="2" t="str">
        <f>IF(premier_player_23_24[[#This Row],[Minutes]]&gt;1000,"More than 1000 minutes","Less than 1000 minutes")</f>
        <v>More than 1000 minutes</v>
      </c>
      <c r="M160" s="2">
        <v>11.7</v>
      </c>
      <c r="N160" s="3">
        <v>1</v>
      </c>
      <c r="O160" s="3">
        <v>0</v>
      </c>
      <c r="P160" s="3">
        <v>1</v>
      </c>
      <c r="Q160" s="3">
        <v>1</v>
      </c>
      <c r="R160" s="3">
        <v>0</v>
      </c>
      <c r="S160" s="3">
        <v>0</v>
      </c>
      <c r="T160" s="2">
        <v>1</v>
      </c>
      <c r="U160" s="2">
        <v>0</v>
      </c>
      <c r="V160" s="2">
        <v>1.3</v>
      </c>
      <c r="W160" s="2">
        <f>premier_player_23_24[[#This Row],[Goals]]-premier_player_23_24[[#This Row],[Expected Goals ]]</f>
        <v>-0.30000000000000004</v>
      </c>
      <c r="X160" s="2">
        <v>1.3</v>
      </c>
      <c r="Y160" s="2">
        <v>0.1</v>
      </c>
      <c r="Z160" s="2">
        <v>1.4</v>
      </c>
      <c r="AA160" s="3">
        <v>7</v>
      </c>
      <c r="AB160" s="3">
        <v>35</v>
      </c>
      <c r="AC160" s="3">
        <v>9</v>
      </c>
      <c r="AD160" s="1">
        <v>0.09</v>
      </c>
      <c r="AE160" s="1">
        <v>0</v>
      </c>
      <c r="AF160" s="1">
        <v>0.09</v>
      </c>
      <c r="AG160" s="1">
        <v>0.09</v>
      </c>
      <c r="AH160" s="1">
        <v>0.09</v>
      </c>
      <c r="AI160" s="1">
        <v>0.11</v>
      </c>
      <c r="AJ160" s="1">
        <v>0.01</v>
      </c>
      <c r="AK160" s="1">
        <v>0.12</v>
      </c>
      <c r="AL160" s="1">
        <v>0.11</v>
      </c>
      <c r="AM160" s="1">
        <v>0.12</v>
      </c>
      <c r="AN160" t="s">
        <v>1598</v>
      </c>
    </row>
    <row r="161" spans="1:40" x14ac:dyDescent="0.25">
      <c r="A161" t="s">
        <v>1604</v>
      </c>
      <c r="B161" t="s">
        <v>76</v>
      </c>
      <c r="C161" s="4" t="s">
        <v>1750</v>
      </c>
      <c r="D161" t="s">
        <v>1751</v>
      </c>
      <c r="E161" t="s">
        <v>172</v>
      </c>
      <c r="F161" t="str">
        <f>LEFT(premier_player_23_24[[#This Row],[Position]],2)</f>
        <v>DF</v>
      </c>
      <c r="G161" s="3">
        <v>24</v>
      </c>
      <c r="H16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61" s="3">
        <v>32</v>
      </c>
      <c r="J161" s="3">
        <v>26</v>
      </c>
      <c r="K161" s="2">
        <v>2314</v>
      </c>
      <c r="L161" s="2" t="str">
        <f>IF(premier_player_23_24[[#This Row],[Minutes]]&gt;1000,"More than 1000 minutes","Less than 1000 minutes")</f>
        <v>More than 1000 minutes</v>
      </c>
      <c r="M161" s="2">
        <v>25.7</v>
      </c>
      <c r="N161" s="3">
        <v>0</v>
      </c>
      <c r="O161" s="3">
        <v>2</v>
      </c>
      <c r="P161" s="3">
        <v>2</v>
      </c>
      <c r="Q161" s="3">
        <v>0</v>
      </c>
      <c r="R161" s="3">
        <v>0</v>
      </c>
      <c r="S161" s="3">
        <v>0</v>
      </c>
      <c r="T161" s="2">
        <v>1</v>
      </c>
      <c r="U161" s="2">
        <v>0</v>
      </c>
      <c r="V161" s="2">
        <v>1.6</v>
      </c>
      <c r="W161" s="2">
        <f>premier_player_23_24[[#This Row],[Goals]]-premier_player_23_24[[#This Row],[Expected Goals ]]</f>
        <v>-1.6</v>
      </c>
      <c r="X161" s="2">
        <v>1.6</v>
      </c>
      <c r="Y161" s="2">
        <v>1.3</v>
      </c>
      <c r="Z161" s="2">
        <v>2.9</v>
      </c>
      <c r="AA161" s="3">
        <v>59</v>
      </c>
      <c r="AB161" s="3">
        <v>66</v>
      </c>
      <c r="AC161" s="3">
        <v>110</v>
      </c>
      <c r="AD161" s="1">
        <v>0</v>
      </c>
      <c r="AE161" s="1">
        <v>0.08</v>
      </c>
      <c r="AF161" s="1">
        <v>0.08</v>
      </c>
      <c r="AG161" s="1">
        <v>0</v>
      </c>
      <c r="AH161" s="1">
        <v>0.08</v>
      </c>
      <c r="AI161" s="1">
        <v>0.06</v>
      </c>
      <c r="AJ161" s="1">
        <v>0.05</v>
      </c>
      <c r="AK161" s="1">
        <v>0.11</v>
      </c>
      <c r="AL161" s="1">
        <v>0.06</v>
      </c>
      <c r="AM161" s="1">
        <v>0.11</v>
      </c>
      <c r="AN161" t="s">
        <v>1598</v>
      </c>
    </row>
    <row r="162" spans="1:40" x14ac:dyDescent="0.25">
      <c r="A162" t="s">
        <v>1607</v>
      </c>
      <c r="B162" t="s">
        <v>57</v>
      </c>
      <c r="C162" s="4" t="s">
        <v>1744</v>
      </c>
      <c r="D162" t="s">
        <v>1745</v>
      </c>
      <c r="E162" t="s">
        <v>108</v>
      </c>
      <c r="F162" t="str">
        <f>LEFT(premier_player_23_24[[#This Row],[Position]],2)</f>
        <v>DF</v>
      </c>
      <c r="G162" s="3">
        <v>29</v>
      </c>
      <c r="H16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62" s="3">
        <v>28</v>
      </c>
      <c r="J162" s="3">
        <v>25</v>
      </c>
      <c r="K162" s="2">
        <v>2331</v>
      </c>
      <c r="L162" s="2" t="str">
        <f>IF(premier_player_23_24[[#This Row],[Minutes]]&gt;1000,"More than 1000 minutes","Less than 1000 minutes")</f>
        <v>More than 1000 minutes</v>
      </c>
      <c r="M162" s="2">
        <v>25.9</v>
      </c>
      <c r="N162" s="3">
        <v>1</v>
      </c>
      <c r="O162" s="3">
        <v>1</v>
      </c>
      <c r="P162" s="3">
        <v>2</v>
      </c>
      <c r="Q162" s="3">
        <v>1</v>
      </c>
      <c r="R162" s="3">
        <v>0</v>
      </c>
      <c r="S162" s="3">
        <v>0</v>
      </c>
      <c r="T162" s="2">
        <v>8</v>
      </c>
      <c r="U162" s="2">
        <v>0</v>
      </c>
      <c r="V162" s="2">
        <v>0.2</v>
      </c>
      <c r="W162" s="2">
        <f>premier_player_23_24[[#This Row],[Goals]]-premier_player_23_24[[#This Row],[Expected Goals ]]</f>
        <v>0.8</v>
      </c>
      <c r="X162" s="2">
        <v>0.2</v>
      </c>
      <c r="Y162" s="2">
        <v>1.2</v>
      </c>
      <c r="Z162" s="2">
        <v>1.5</v>
      </c>
      <c r="AA162" s="3">
        <v>36</v>
      </c>
      <c r="AB162" s="3">
        <v>82</v>
      </c>
      <c r="AC162" s="3">
        <v>81</v>
      </c>
      <c r="AD162" s="1">
        <v>0.04</v>
      </c>
      <c r="AE162" s="1">
        <v>0.04</v>
      </c>
      <c r="AF162" s="1">
        <v>0.08</v>
      </c>
      <c r="AG162" s="1">
        <v>0.04</v>
      </c>
      <c r="AH162" s="1">
        <v>0.08</v>
      </c>
      <c r="AI162" s="1">
        <v>0.01</v>
      </c>
      <c r="AJ162" s="1">
        <v>0.05</v>
      </c>
      <c r="AK162" s="1">
        <v>0.06</v>
      </c>
      <c r="AL162" s="1">
        <v>0.01</v>
      </c>
      <c r="AM162" s="1">
        <v>0.06</v>
      </c>
      <c r="AN162" t="s">
        <v>1598</v>
      </c>
    </row>
    <row r="163" spans="1:40" x14ac:dyDescent="0.25">
      <c r="A163" t="s">
        <v>1626</v>
      </c>
      <c r="B163" t="s">
        <v>262</v>
      </c>
      <c r="C163" s="4" t="s">
        <v>1748</v>
      </c>
      <c r="D163" t="s">
        <v>1749</v>
      </c>
      <c r="E163" t="s">
        <v>108</v>
      </c>
      <c r="F163" t="str">
        <f>LEFT(premier_player_23_24[[#This Row],[Position]],2)</f>
        <v>DF</v>
      </c>
      <c r="G163" s="3">
        <v>23</v>
      </c>
      <c r="H16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63" s="3">
        <v>15</v>
      </c>
      <c r="J163" s="3">
        <v>15</v>
      </c>
      <c r="K163" s="2">
        <v>1234</v>
      </c>
      <c r="L163" s="2" t="str">
        <f>IF(premier_player_23_24[[#This Row],[Minutes]]&gt;1000,"More than 1000 minutes","Less than 1000 minutes")</f>
        <v>More than 1000 minutes</v>
      </c>
      <c r="M163" s="2">
        <v>13.7</v>
      </c>
      <c r="N163" s="3">
        <v>0</v>
      </c>
      <c r="O163" s="3">
        <v>1</v>
      </c>
      <c r="P163" s="3">
        <v>1</v>
      </c>
      <c r="Q163" s="3">
        <v>0</v>
      </c>
      <c r="R163" s="3">
        <v>0</v>
      </c>
      <c r="S163" s="3">
        <v>0</v>
      </c>
      <c r="T163" s="2">
        <v>6</v>
      </c>
      <c r="U163" s="2">
        <v>0</v>
      </c>
      <c r="V163" s="2">
        <v>0.5</v>
      </c>
      <c r="W163" s="2">
        <f>premier_player_23_24[[#This Row],[Goals]]-premier_player_23_24[[#This Row],[Expected Goals ]]</f>
        <v>-0.5</v>
      </c>
      <c r="X163" s="2">
        <v>0.5</v>
      </c>
      <c r="Y163" s="2">
        <v>0.3</v>
      </c>
      <c r="Z163" s="2">
        <v>0.8</v>
      </c>
      <c r="AA163" s="3">
        <v>9</v>
      </c>
      <c r="AB163" s="3">
        <v>25</v>
      </c>
      <c r="AC163" s="3">
        <v>1</v>
      </c>
      <c r="AD163" s="1">
        <v>0</v>
      </c>
      <c r="AE163" s="1">
        <v>7.0000000000000007E-2</v>
      </c>
      <c r="AF163" s="1">
        <v>7.0000000000000007E-2</v>
      </c>
      <c r="AG163" s="1">
        <v>0</v>
      </c>
      <c r="AH163" s="1">
        <v>7.0000000000000007E-2</v>
      </c>
      <c r="AI163" s="1">
        <v>0.04</v>
      </c>
      <c r="AJ163" s="1">
        <v>0.02</v>
      </c>
      <c r="AK163" s="1">
        <v>0.06</v>
      </c>
      <c r="AL163" s="1">
        <v>0.04</v>
      </c>
      <c r="AM163" s="1">
        <v>0.06</v>
      </c>
      <c r="AN163" t="s">
        <v>1598</v>
      </c>
    </row>
    <row r="164" spans="1:40" x14ac:dyDescent="0.25">
      <c r="A164" t="s">
        <v>1600</v>
      </c>
      <c r="B164" t="s">
        <v>57</v>
      </c>
      <c r="C164" s="4" t="s">
        <v>1744</v>
      </c>
      <c r="D164" t="s">
        <v>1745</v>
      </c>
      <c r="E164" t="s">
        <v>77</v>
      </c>
      <c r="F164" t="str">
        <f>LEFT(premier_player_23_24[[#This Row],[Position]],2)</f>
        <v>GK</v>
      </c>
      <c r="G164" s="3">
        <v>20</v>
      </c>
      <c r="H16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64" s="3">
        <v>28</v>
      </c>
      <c r="J164" s="3">
        <v>28</v>
      </c>
      <c r="K164" s="2">
        <v>2520</v>
      </c>
      <c r="L164" s="2" t="str">
        <f>IF(premier_player_23_24[[#This Row],[Minutes]]&gt;1000,"More than 1000 minutes","Less than 1000 minutes")</f>
        <v>More than 1000 minutes</v>
      </c>
      <c r="M164" s="2">
        <v>28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2">
        <v>2</v>
      </c>
      <c r="U164" s="2">
        <v>0</v>
      </c>
      <c r="V164" s="2">
        <v>0</v>
      </c>
      <c r="W164" s="2">
        <f>premier_player_23_24[[#This Row],[Goals]]-premier_player_23_24[[#This Row],[Expected Goals ]]</f>
        <v>0</v>
      </c>
      <c r="X164" s="2">
        <v>0</v>
      </c>
      <c r="Y164" s="2">
        <v>0</v>
      </c>
      <c r="Z164" s="2">
        <v>0</v>
      </c>
      <c r="AA164" s="3">
        <v>0</v>
      </c>
      <c r="AB164" s="3">
        <v>6</v>
      </c>
      <c r="AC164" s="3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t="s">
        <v>1598</v>
      </c>
    </row>
    <row r="165" spans="1:40" x14ac:dyDescent="0.25">
      <c r="A165" t="s">
        <v>1621</v>
      </c>
      <c r="B165" t="s">
        <v>376</v>
      </c>
      <c r="C165" s="4" t="s">
        <v>1762</v>
      </c>
      <c r="D165" t="s">
        <v>1763</v>
      </c>
      <c r="E165" t="s">
        <v>108</v>
      </c>
      <c r="F165" t="str">
        <f>LEFT(premier_player_23_24[[#This Row],[Position]],2)</f>
        <v>DF</v>
      </c>
      <c r="G165" s="3">
        <v>21</v>
      </c>
      <c r="H16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65" s="3">
        <v>16</v>
      </c>
      <c r="J165" s="3">
        <v>15</v>
      </c>
      <c r="K165" s="2">
        <v>1309</v>
      </c>
      <c r="L165" s="2" t="str">
        <f>IF(premier_player_23_24[[#This Row],[Minutes]]&gt;1000,"More than 1000 minutes","Less than 1000 minutes")</f>
        <v>More than 1000 minutes</v>
      </c>
      <c r="M165" s="2">
        <v>14.5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2">
        <v>6</v>
      </c>
      <c r="U165" s="2">
        <v>0</v>
      </c>
      <c r="V165" s="2">
        <v>0.3</v>
      </c>
      <c r="W165" s="2">
        <f>premier_player_23_24[[#This Row],[Goals]]-premier_player_23_24[[#This Row],[Expected Goals ]]</f>
        <v>-0.3</v>
      </c>
      <c r="X165" s="2">
        <v>0.3</v>
      </c>
      <c r="Y165" s="2">
        <v>0</v>
      </c>
      <c r="Z165" s="2">
        <v>0.3</v>
      </c>
      <c r="AA165" s="3">
        <v>15</v>
      </c>
      <c r="AB165" s="3">
        <v>40</v>
      </c>
      <c r="AC165" s="3">
        <v>3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0.02</v>
      </c>
      <c r="AJ165" s="1">
        <v>0</v>
      </c>
      <c r="AK165" s="1">
        <v>0.02</v>
      </c>
      <c r="AL165" s="1">
        <v>0.02</v>
      </c>
      <c r="AM165" s="1">
        <v>0.02</v>
      </c>
      <c r="AN165" t="s">
        <v>1598</v>
      </c>
    </row>
    <row r="166" spans="1:40" x14ac:dyDescent="0.25">
      <c r="A166" t="s">
        <v>1634</v>
      </c>
      <c r="B166" t="s">
        <v>1635</v>
      </c>
      <c r="C166" s="4" t="s">
        <v>1824</v>
      </c>
      <c r="D166" t="s">
        <v>1825</v>
      </c>
      <c r="E166" t="s">
        <v>77</v>
      </c>
      <c r="F166" t="str">
        <f>LEFT(premier_player_23_24[[#This Row],[Position]],2)</f>
        <v>GK</v>
      </c>
      <c r="G166" s="3">
        <v>24</v>
      </c>
      <c r="H16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66" s="3">
        <v>10</v>
      </c>
      <c r="J166" s="3">
        <v>10</v>
      </c>
      <c r="K166" s="2">
        <v>900</v>
      </c>
      <c r="L166" s="2" t="str">
        <f>IF(premier_player_23_24[[#This Row],[Minutes]]&gt;1000,"More than 1000 minutes","Less than 1000 minutes")</f>
        <v>Less than 1000 minutes</v>
      </c>
      <c r="M166" s="2">
        <v>10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2">
        <v>0</v>
      </c>
      <c r="U166" s="2">
        <v>0</v>
      </c>
      <c r="V166" s="2">
        <v>0</v>
      </c>
      <c r="W166" s="2">
        <f>premier_player_23_24[[#This Row],[Goals]]-premier_player_23_24[[#This Row],[Expected Goals ]]</f>
        <v>0</v>
      </c>
      <c r="X166" s="2">
        <v>0</v>
      </c>
      <c r="Y166" s="2">
        <v>0.2</v>
      </c>
      <c r="Z166" s="2">
        <v>0.2</v>
      </c>
      <c r="AA166" s="3">
        <v>0</v>
      </c>
      <c r="AB166" s="3">
        <v>1</v>
      </c>
      <c r="AC166" s="3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0.02</v>
      </c>
      <c r="AK166" s="1">
        <v>0.02</v>
      </c>
      <c r="AL166" s="1">
        <v>0</v>
      </c>
      <c r="AM166" s="1">
        <v>0.02</v>
      </c>
      <c r="AN166" t="s">
        <v>1598</v>
      </c>
    </row>
    <row r="167" spans="1:40" x14ac:dyDescent="0.25">
      <c r="A167" t="s">
        <v>1641</v>
      </c>
      <c r="B167" t="s">
        <v>207</v>
      </c>
      <c r="C167" s="4" t="s">
        <v>1746</v>
      </c>
      <c r="D167" t="s">
        <v>1747</v>
      </c>
      <c r="E167" t="s">
        <v>108</v>
      </c>
      <c r="F167" t="str">
        <f>LEFT(premier_player_23_24[[#This Row],[Position]],2)</f>
        <v>DF</v>
      </c>
      <c r="G167" s="3">
        <v>24</v>
      </c>
      <c r="H16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67" s="3">
        <v>12</v>
      </c>
      <c r="J167" s="3">
        <v>5</v>
      </c>
      <c r="K167" s="2">
        <v>589</v>
      </c>
      <c r="L167" s="2" t="str">
        <f>IF(premier_player_23_24[[#This Row],[Minutes]]&gt;1000,"More than 1000 minutes","Less than 1000 minutes")</f>
        <v>Less than 1000 minutes</v>
      </c>
      <c r="M167" s="2">
        <v>6.5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2">
        <v>2</v>
      </c>
      <c r="U167" s="2">
        <v>0</v>
      </c>
      <c r="V167" s="2">
        <v>0.4</v>
      </c>
      <c r="W167" s="2">
        <f>premier_player_23_24[[#This Row],[Goals]]-premier_player_23_24[[#This Row],[Expected Goals ]]</f>
        <v>-0.4</v>
      </c>
      <c r="X167" s="2">
        <v>0.4</v>
      </c>
      <c r="Y167" s="2">
        <v>0.2</v>
      </c>
      <c r="Z167" s="2">
        <v>0.6</v>
      </c>
      <c r="AA167" s="3">
        <v>2</v>
      </c>
      <c r="AB167" s="3">
        <v>18</v>
      </c>
      <c r="AC167" s="3">
        <v>6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0.05</v>
      </c>
      <c r="AJ167" s="1">
        <v>0.03</v>
      </c>
      <c r="AK167" s="1">
        <v>0.09</v>
      </c>
      <c r="AL167" s="1">
        <v>0.05</v>
      </c>
      <c r="AM167" s="1">
        <v>0.09</v>
      </c>
      <c r="AN167" t="s">
        <v>1598</v>
      </c>
    </row>
    <row r="168" spans="1:40" x14ac:dyDescent="0.25">
      <c r="A168" t="s">
        <v>1643</v>
      </c>
      <c r="B168" t="s">
        <v>57</v>
      </c>
      <c r="C168" s="4" t="s">
        <v>1744</v>
      </c>
      <c r="D168" t="s">
        <v>1745</v>
      </c>
      <c r="E168" t="s">
        <v>86</v>
      </c>
      <c r="F168" t="str">
        <f>LEFT(premier_player_23_24[[#This Row],[Position]],2)</f>
        <v>MF</v>
      </c>
      <c r="G168" s="3">
        <v>20</v>
      </c>
      <c r="H16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68" s="3">
        <v>14</v>
      </c>
      <c r="J168" s="3">
        <v>5</v>
      </c>
      <c r="K168" s="2">
        <v>527</v>
      </c>
      <c r="L168" s="2" t="str">
        <f>IF(premier_player_23_24[[#This Row],[Minutes]]&gt;1000,"More than 1000 minutes","Less than 1000 minutes")</f>
        <v>Less than 1000 minutes</v>
      </c>
      <c r="M168" s="2">
        <v>5.9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2">
        <v>1</v>
      </c>
      <c r="U168" s="2">
        <v>0</v>
      </c>
      <c r="V168" s="2">
        <v>0.3</v>
      </c>
      <c r="W168" s="2">
        <f>premier_player_23_24[[#This Row],[Goals]]-premier_player_23_24[[#This Row],[Expected Goals ]]</f>
        <v>-0.3</v>
      </c>
      <c r="X168" s="2">
        <v>0.3</v>
      </c>
      <c r="Y168" s="2">
        <v>0.4</v>
      </c>
      <c r="Z168" s="2">
        <v>0.7</v>
      </c>
      <c r="AA168" s="3">
        <v>8</v>
      </c>
      <c r="AB168" s="3">
        <v>8</v>
      </c>
      <c r="AC168" s="3">
        <v>17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0.06</v>
      </c>
      <c r="AJ168" s="1">
        <v>7.0000000000000007E-2</v>
      </c>
      <c r="AK168" s="1">
        <v>0.13</v>
      </c>
      <c r="AL168" s="1">
        <v>0.06</v>
      </c>
      <c r="AM168" s="1">
        <v>0.13</v>
      </c>
      <c r="AN168" t="s">
        <v>1598</v>
      </c>
    </row>
    <row r="169" spans="1:40" x14ac:dyDescent="0.25">
      <c r="A169" t="s">
        <v>1645</v>
      </c>
      <c r="B169" t="s">
        <v>675</v>
      </c>
      <c r="C169" s="4" t="s">
        <v>1780</v>
      </c>
      <c r="D169" t="s">
        <v>1781</v>
      </c>
      <c r="E169" t="s">
        <v>108</v>
      </c>
      <c r="F169" t="str">
        <f>LEFT(premier_player_23_24[[#This Row],[Position]],2)</f>
        <v>DF</v>
      </c>
      <c r="G169" s="3">
        <v>24</v>
      </c>
      <c r="H16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69" s="3">
        <v>8</v>
      </c>
      <c r="J169" s="3">
        <v>5</v>
      </c>
      <c r="K169" s="2">
        <v>437</v>
      </c>
      <c r="L169" s="2" t="str">
        <f>IF(premier_player_23_24[[#This Row],[Minutes]]&gt;1000,"More than 1000 minutes","Less than 1000 minutes")</f>
        <v>Less than 1000 minutes</v>
      </c>
      <c r="M169" s="2">
        <v>4.9000000000000004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2">
        <v>2</v>
      </c>
      <c r="U169" s="2">
        <v>0</v>
      </c>
      <c r="V169" s="2">
        <v>0.1</v>
      </c>
      <c r="W169" s="2">
        <f>premier_player_23_24[[#This Row],[Goals]]-premier_player_23_24[[#This Row],[Expected Goals ]]</f>
        <v>-0.1</v>
      </c>
      <c r="X169" s="2">
        <v>0.1</v>
      </c>
      <c r="Y169" s="2">
        <v>0.1</v>
      </c>
      <c r="Z169" s="2">
        <v>0.1</v>
      </c>
      <c r="AA169" s="3">
        <v>5</v>
      </c>
      <c r="AB169" s="3">
        <v>11</v>
      </c>
      <c r="AC169" s="3">
        <v>1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0.01</v>
      </c>
      <c r="AJ169" s="1">
        <v>0.01</v>
      </c>
      <c r="AK169" s="1">
        <v>0.03</v>
      </c>
      <c r="AL169" s="1">
        <v>0.01</v>
      </c>
      <c r="AM169" s="1">
        <v>0.03</v>
      </c>
      <c r="AN169" t="s">
        <v>1598</v>
      </c>
    </row>
    <row r="170" spans="1:40" x14ac:dyDescent="0.25">
      <c r="A170" t="s">
        <v>1647</v>
      </c>
      <c r="B170" t="s">
        <v>207</v>
      </c>
      <c r="C170" s="4" t="s">
        <v>1746</v>
      </c>
      <c r="D170" t="s">
        <v>1747</v>
      </c>
      <c r="E170" t="s">
        <v>58</v>
      </c>
      <c r="F170" t="str">
        <f>LEFT(premier_player_23_24[[#This Row],[Position]],2)</f>
        <v>FW</v>
      </c>
      <c r="G170" s="3">
        <v>24</v>
      </c>
      <c r="H17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70" s="3">
        <v>16</v>
      </c>
      <c r="J170" s="3">
        <v>3</v>
      </c>
      <c r="K170" s="2">
        <v>420</v>
      </c>
      <c r="L170" s="2" t="str">
        <f>IF(premier_player_23_24[[#This Row],[Minutes]]&gt;1000,"More than 1000 minutes","Less than 1000 minutes")</f>
        <v>Less than 1000 minutes</v>
      </c>
      <c r="M170" s="2">
        <v>4.7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2">
        <v>0</v>
      </c>
      <c r="U170" s="2">
        <v>0</v>
      </c>
      <c r="V170" s="2">
        <v>0.5</v>
      </c>
      <c r="W170" s="2">
        <f>premier_player_23_24[[#This Row],[Goals]]-premier_player_23_24[[#This Row],[Expected Goals ]]</f>
        <v>-0.5</v>
      </c>
      <c r="X170" s="2">
        <v>0.5</v>
      </c>
      <c r="Y170" s="2">
        <v>0.4</v>
      </c>
      <c r="Z170" s="2">
        <v>0.9</v>
      </c>
      <c r="AA170" s="3">
        <v>15</v>
      </c>
      <c r="AB170" s="3">
        <v>10</v>
      </c>
      <c r="AC170" s="3">
        <v>31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0.1</v>
      </c>
      <c r="AJ170" s="1">
        <v>0.08</v>
      </c>
      <c r="AK170" s="1">
        <v>0.18</v>
      </c>
      <c r="AL170" s="1">
        <v>0.1</v>
      </c>
      <c r="AM170" s="1">
        <v>0.18</v>
      </c>
      <c r="AN170" t="s">
        <v>1598</v>
      </c>
    </row>
    <row r="171" spans="1:40" x14ac:dyDescent="0.25">
      <c r="A171" t="s">
        <v>1649</v>
      </c>
      <c r="B171" t="s">
        <v>880</v>
      </c>
      <c r="C171" s="4" t="s">
        <v>1826</v>
      </c>
      <c r="D171" t="s">
        <v>1827</v>
      </c>
      <c r="E171" t="s">
        <v>58</v>
      </c>
      <c r="F171" t="str">
        <f>LEFT(premier_player_23_24[[#This Row],[Position]],2)</f>
        <v>FW</v>
      </c>
      <c r="G171" s="3">
        <v>22</v>
      </c>
      <c r="H17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71" s="3">
        <v>6</v>
      </c>
      <c r="J171" s="3">
        <v>1</v>
      </c>
      <c r="K171" s="2">
        <v>152</v>
      </c>
      <c r="L171" s="2" t="str">
        <f>IF(premier_player_23_24[[#This Row],[Minutes]]&gt;1000,"More than 1000 minutes","Less than 1000 minutes")</f>
        <v>Less than 1000 minutes</v>
      </c>
      <c r="M171" s="2">
        <v>1.7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2">
        <v>0</v>
      </c>
      <c r="U171" s="2">
        <v>1</v>
      </c>
      <c r="V171" s="2">
        <v>0.2</v>
      </c>
      <c r="W171" s="2">
        <f>premier_player_23_24[[#This Row],[Goals]]-premier_player_23_24[[#This Row],[Expected Goals ]]</f>
        <v>-0.2</v>
      </c>
      <c r="X171" s="2">
        <v>0.2</v>
      </c>
      <c r="Y171" s="2">
        <v>0</v>
      </c>
      <c r="Z171" s="2">
        <v>0.2</v>
      </c>
      <c r="AA171" s="3">
        <v>2</v>
      </c>
      <c r="AB171" s="3">
        <v>2</v>
      </c>
      <c r="AC171" s="3">
        <v>12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0.1</v>
      </c>
      <c r="AJ171" s="1">
        <v>0.02</v>
      </c>
      <c r="AK171" s="1">
        <v>0.12</v>
      </c>
      <c r="AL171" s="1">
        <v>0.1</v>
      </c>
      <c r="AM171" s="1">
        <v>0.12</v>
      </c>
      <c r="AN171" t="s">
        <v>1598</v>
      </c>
    </row>
    <row r="172" spans="1:40" x14ac:dyDescent="0.25">
      <c r="A172" t="s">
        <v>1650</v>
      </c>
      <c r="B172" t="s">
        <v>1651</v>
      </c>
      <c r="C172" s="4" t="s">
        <v>1828</v>
      </c>
      <c r="D172" t="s">
        <v>1829</v>
      </c>
      <c r="E172" t="s">
        <v>86</v>
      </c>
      <c r="F172" t="str">
        <f>LEFT(premier_player_23_24[[#This Row],[Position]],2)</f>
        <v>MF</v>
      </c>
      <c r="G172" s="3">
        <v>26</v>
      </c>
      <c r="H17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72" s="3">
        <v>8</v>
      </c>
      <c r="J172" s="3">
        <v>1</v>
      </c>
      <c r="K172" s="2">
        <v>116</v>
      </c>
      <c r="L172" s="2" t="str">
        <f>IF(premier_player_23_24[[#This Row],[Minutes]]&gt;1000,"More than 1000 minutes","Less than 1000 minutes")</f>
        <v>Less than 1000 minutes</v>
      </c>
      <c r="M172" s="2">
        <v>1.3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2">
        <v>0</v>
      </c>
      <c r="U172" s="2">
        <v>0</v>
      </c>
      <c r="V172" s="2">
        <v>0.1</v>
      </c>
      <c r="W172" s="2">
        <f>premier_player_23_24[[#This Row],[Goals]]-premier_player_23_24[[#This Row],[Expected Goals ]]</f>
        <v>-0.1</v>
      </c>
      <c r="X172" s="2">
        <v>0.1</v>
      </c>
      <c r="Y172" s="2">
        <v>0</v>
      </c>
      <c r="Z172" s="2">
        <v>0.1</v>
      </c>
      <c r="AA172" s="3">
        <v>5</v>
      </c>
      <c r="AB172" s="3">
        <v>2</v>
      </c>
      <c r="AC172" s="3">
        <v>14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0.05</v>
      </c>
      <c r="AJ172" s="1">
        <v>0.03</v>
      </c>
      <c r="AK172" s="1">
        <v>0.08</v>
      </c>
      <c r="AL172" s="1">
        <v>0.05</v>
      </c>
      <c r="AM172" s="1">
        <v>0.08</v>
      </c>
      <c r="AN172" t="s">
        <v>1598</v>
      </c>
    </row>
    <row r="173" spans="1:40" x14ac:dyDescent="0.25">
      <c r="A173" t="s">
        <v>1652</v>
      </c>
      <c r="B173" t="s">
        <v>57</v>
      </c>
      <c r="C173" s="4" t="s">
        <v>1744</v>
      </c>
      <c r="D173" t="s">
        <v>1745</v>
      </c>
      <c r="E173" t="s">
        <v>58</v>
      </c>
      <c r="F173" t="str">
        <f>LEFT(premier_player_23_24[[#This Row],[Position]],2)</f>
        <v>FW</v>
      </c>
      <c r="G173" s="3">
        <v>29</v>
      </c>
      <c r="H17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73" s="3">
        <v>12</v>
      </c>
      <c r="J173" s="3">
        <v>0</v>
      </c>
      <c r="K173" s="2">
        <v>142</v>
      </c>
      <c r="L173" s="2" t="str">
        <f>IF(premier_player_23_24[[#This Row],[Minutes]]&gt;1000,"More than 1000 minutes","Less than 1000 minutes")</f>
        <v>Less than 1000 minutes</v>
      </c>
      <c r="M173" s="2">
        <v>1.6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2">
        <v>1</v>
      </c>
      <c r="U173" s="2">
        <v>0</v>
      </c>
      <c r="V173" s="2">
        <v>0</v>
      </c>
      <c r="W173" s="2">
        <f>premier_player_23_24[[#This Row],[Goals]]-premier_player_23_24[[#This Row],[Expected Goals ]]</f>
        <v>0</v>
      </c>
      <c r="X173" s="2">
        <v>0</v>
      </c>
      <c r="Y173" s="2">
        <v>0.3</v>
      </c>
      <c r="Z173" s="2">
        <v>0.3</v>
      </c>
      <c r="AA173" s="3">
        <v>7</v>
      </c>
      <c r="AB173" s="3">
        <v>8</v>
      </c>
      <c r="AC173" s="3">
        <v>22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0.19</v>
      </c>
      <c r="AK173" s="1">
        <v>0.19</v>
      </c>
      <c r="AL173" s="1">
        <v>0</v>
      </c>
      <c r="AM173" s="1">
        <v>0.19</v>
      </c>
      <c r="AN173" t="s">
        <v>1598</v>
      </c>
    </row>
    <row r="174" spans="1:40" x14ac:dyDescent="0.25">
      <c r="A174" t="s">
        <v>1653</v>
      </c>
      <c r="B174" t="s">
        <v>57</v>
      </c>
      <c r="C174" s="4" t="s">
        <v>1744</v>
      </c>
      <c r="D174" t="s">
        <v>1745</v>
      </c>
      <c r="E174" t="s">
        <v>36</v>
      </c>
      <c r="F174" t="str">
        <f>LEFT(premier_player_23_24[[#This Row],[Position]],2)</f>
        <v>MF</v>
      </c>
      <c r="G174" s="3">
        <v>34</v>
      </c>
      <c r="H17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174" s="3">
        <v>4</v>
      </c>
      <c r="J174" s="3">
        <v>0</v>
      </c>
      <c r="K174" s="2">
        <v>27</v>
      </c>
      <c r="L174" s="2" t="str">
        <f>IF(premier_player_23_24[[#This Row],[Minutes]]&gt;1000,"More than 1000 minutes","Less than 1000 minutes")</f>
        <v>Less than 1000 minutes</v>
      </c>
      <c r="M174" s="2">
        <v>0.3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2">
        <v>0</v>
      </c>
      <c r="U174" s="2">
        <v>0</v>
      </c>
      <c r="V174" s="2">
        <v>0</v>
      </c>
      <c r="W174" s="2">
        <f>premier_player_23_24[[#This Row],[Goals]]-premier_player_23_24[[#This Row],[Expected Goals ]]</f>
        <v>0</v>
      </c>
      <c r="X174" s="2">
        <v>0</v>
      </c>
      <c r="Y174" s="2">
        <v>0</v>
      </c>
      <c r="Z174" s="2">
        <v>0</v>
      </c>
      <c r="AA174" s="3">
        <v>4</v>
      </c>
      <c r="AB174" s="3">
        <v>4</v>
      </c>
      <c r="AC174" s="3">
        <v>1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t="s">
        <v>1598</v>
      </c>
    </row>
    <row r="175" spans="1:40" x14ac:dyDescent="0.25">
      <c r="A175" t="s">
        <v>1654</v>
      </c>
      <c r="B175" t="s">
        <v>411</v>
      </c>
      <c r="C175" s="4" t="s">
        <v>1792</v>
      </c>
      <c r="D175" t="s">
        <v>1793</v>
      </c>
      <c r="E175" t="s">
        <v>58</v>
      </c>
      <c r="F175" t="str">
        <f>LEFT(premier_player_23_24[[#This Row],[Position]],2)</f>
        <v>FW</v>
      </c>
      <c r="G175" s="3">
        <v>23</v>
      </c>
      <c r="H17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75" s="3">
        <v>2</v>
      </c>
      <c r="J175" s="3">
        <v>0</v>
      </c>
      <c r="K175" s="2">
        <v>20</v>
      </c>
      <c r="L175" s="2" t="str">
        <f>IF(premier_player_23_24[[#This Row],[Minutes]]&gt;1000,"More than 1000 minutes","Less than 1000 minutes")</f>
        <v>Less than 1000 minutes</v>
      </c>
      <c r="M175" s="2">
        <v>0.2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2">
        <v>0</v>
      </c>
      <c r="U175" s="2">
        <v>0</v>
      </c>
      <c r="V175" s="2">
        <v>0.1</v>
      </c>
      <c r="W175" s="2">
        <f>premier_player_23_24[[#This Row],[Goals]]-premier_player_23_24[[#This Row],[Expected Goals ]]</f>
        <v>-0.1</v>
      </c>
      <c r="X175" s="2">
        <v>0.1</v>
      </c>
      <c r="Y175" s="2">
        <v>0</v>
      </c>
      <c r="Z175" s="2">
        <v>0.1</v>
      </c>
      <c r="AA175" s="3">
        <v>0</v>
      </c>
      <c r="AB175" s="3">
        <v>0</v>
      </c>
      <c r="AC175" s="3">
        <v>3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0.4</v>
      </c>
      <c r="AJ175" s="1">
        <v>0</v>
      </c>
      <c r="AK175" s="1">
        <v>0.4</v>
      </c>
      <c r="AL175" s="1">
        <v>0.4</v>
      </c>
      <c r="AM175" s="1">
        <v>0.4</v>
      </c>
      <c r="AN175" t="s">
        <v>1598</v>
      </c>
    </row>
    <row r="176" spans="1:40" x14ac:dyDescent="0.25">
      <c r="A176" t="s">
        <v>1655</v>
      </c>
      <c r="B176" t="s">
        <v>376</v>
      </c>
      <c r="C176" s="4" t="s">
        <v>1762</v>
      </c>
      <c r="D176" t="s">
        <v>1763</v>
      </c>
      <c r="E176" t="s">
        <v>524</v>
      </c>
      <c r="F176" t="str">
        <f>LEFT(premier_player_23_24[[#This Row],[Position]],2)</f>
        <v>MF</v>
      </c>
      <c r="G176" s="3">
        <v>22</v>
      </c>
      <c r="H17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76" s="3">
        <v>3</v>
      </c>
      <c r="J176" s="3">
        <v>0</v>
      </c>
      <c r="K176" s="2">
        <v>16</v>
      </c>
      <c r="L176" s="2" t="str">
        <f>IF(premier_player_23_24[[#This Row],[Minutes]]&gt;1000,"More than 1000 minutes","Less than 1000 minutes")</f>
        <v>Less than 1000 minutes</v>
      </c>
      <c r="M176" s="2">
        <v>0.2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2">
        <v>0</v>
      </c>
      <c r="U176" s="2">
        <v>0</v>
      </c>
      <c r="V176" s="2">
        <v>0</v>
      </c>
      <c r="W176" s="2">
        <f>premier_player_23_24[[#This Row],[Goals]]-premier_player_23_24[[#This Row],[Expected Goals ]]</f>
        <v>0</v>
      </c>
      <c r="X176" s="2">
        <v>0</v>
      </c>
      <c r="Y176" s="2">
        <v>0</v>
      </c>
      <c r="Z176" s="2">
        <v>0</v>
      </c>
      <c r="AA176" s="3">
        <v>2</v>
      </c>
      <c r="AB176" s="3">
        <v>0</v>
      </c>
      <c r="AC176" s="3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t="s">
        <v>1598</v>
      </c>
    </row>
    <row r="177" spans="1:40" x14ac:dyDescent="0.25">
      <c r="A177" t="s">
        <v>277</v>
      </c>
      <c r="B177" t="s">
        <v>57</v>
      </c>
      <c r="C177" s="4" t="s">
        <v>1744</v>
      </c>
      <c r="D177" t="s">
        <v>1745</v>
      </c>
      <c r="E177" t="s">
        <v>58</v>
      </c>
      <c r="F177" t="str">
        <f>LEFT(premier_player_23_24[[#This Row],[Position]],2)</f>
        <v>FW</v>
      </c>
      <c r="G177" s="3">
        <v>21</v>
      </c>
      <c r="H17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77" s="3">
        <v>33</v>
      </c>
      <c r="J177" s="3">
        <v>29</v>
      </c>
      <c r="K177" s="2">
        <v>2607</v>
      </c>
      <c r="L177" s="2" t="str">
        <f>IF(premier_player_23_24[[#This Row],[Minutes]]&gt;1000,"More than 1000 minutes","Less than 1000 minutes")</f>
        <v>More than 1000 minutes</v>
      </c>
      <c r="M177" s="2">
        <v>29</v>
      </c>
      <c r="N177" s="3">
        <v>22</v>
      </c>
      <c r="O177" s="3">
        <v>11</v>
      </c>
      <c r="P177" s="3">
        <v>33</v>
      </c>
      <c r="Q177" s="3">
        <v>13</v>
      </c>
      <c r="R177" s="3">
        <v>9</v>
      </c>
      <c r="S177" s="3">
        <v>9</v>
      </c>
      <c r="T177" s="2">
        <v>7</v>
      </c>
      <c r="U177" s="2">
        <v>0</v>
      </c>
      <c r="V177" s="2">
        <v>18.2</v>
      </c>
      <c r="W177" s="2">
        <f>premier_player_23_24[[#This Row],[Goals]]-premier_player_23_24[[#This Row],[Expected Goals ]]</f>
        <v>3.8000000000000007</v>
      </c>
      <c r="X177" s="2">
        <v>11.1</v>
      </c>
      <c r="Y177" s="2">
        <v>11.1</v>
      </c>
      <c r="Z177" s="2">
        <v>22.2</v>
      </c>
      <c r="AA177" s="3">
        <v>117</v>
      </c>
      <c r="AB177" s="3">
        <v>197</v>
      </c>
      <c r="AC177" s="3">
        <v>195</v>
      </c>
      <c r="AD177" s="1">
        <v>0.76</v>
      </c>
      <c r="AE177" s="1">
        <v>0.38</v>
      </c>
      <c r="AF177" s="1">
        <v>1.1399999999999999</v>
      </c>
      <c r="AG177" s="1">
        <v>0.45</v>
      </c>
      <c r="AH177" s="1">
        <v>0.83</v>
      </c>
      <c r="AI177" s="1">
        <v>0.63</v>
      </c>
      <c r="AJ177" s="1">
        <v>0.38</v>
      </c>
      <c r="AK177" s="1">
        <v>1.01</v>
      </c>
      <c r="AL177" s="1">
        <v>0.38</v>
      </c>
      <c r="AM177" s="1">
        <v>0.77</v>
      </c>
      <c r="AN177" t="s">
        <v>549</v>
      </c>
    </row>
    <row r="178" spans="1:40" x14ac:dyDescent="0.25">
      <c r="A178" t="s">
        <v>635</v>
      </c>
      <c r="B178" t="s">
        <v>57</v>
      </c>
      <c r="C178" s="4" t="s">
        <v>1744</v>
      </c>
      <c r="D178" t="s">
        <v>1745</v>
      </c>
      <c r="E178" t="s">
        <v>86</v>
      </c>
      <c r="F178" t="str">
        <f>LEFT(premier_player_23_24[[#This Row],[Position]],2)</f>
        <v>MF</v>
      </c>
      <c r="G178" s="3">
        <v>19</v>
      </c>
      <c r="H17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78" s="3">
        <v>9</v>
      </c>
      <c r="J178" s="3">
        <v>2</v>
      </c>
      <c r="K178" s="2">
        <v>227</v>
      </c>
      <c r="L178" s="2" t="str">
        <f>IF(premier_player_23_24[[#This Row],[Minutes]]&gt;1000,"More than 1000 minutes","Less than 1000 minutes")</f>
        <v>Less than 1000 minutes</v>
      </c>
      <c r="M178" s="2">
        <v>2.5</v>
      </c>
      <c r="N178" s="3">
        <v>1</v>
      </c>
      <c r="O178" s="3">
        <v>1</v>
      </c>
      <c r="P178" s="3">
        <v>2</v>
      </c>
      <c r="Q178" s="3">
        <v>1</v>
      </c>
      <c r="R178" s="3">
        <v>0</v>
      </c>
      <c r="S178" s="3">
        <v>0</v>
      </c>
      <c r="T178" s="2">
        <v>2</v>
      </c>
      <c r="U178" s="2">
        <v>0</v>
      </c>
      <c r="V178" s="2">
        <v>0.2</v>
      </c>
      <c r="W178" s="2">
        <f>premier_player_23_24[[#This Row],[Goals]]-premier_player_23_24[[#This Row],[Expected Goals ]]</f>
        <v>0.8</v>
      </c>
      <c r="X178" s="2">
        <v>0.2</v>
      </c>
      <c r="Y178" s="2">
        <v>0.3</v>
      </c>
      <c r="Z178" s="2">
        <v>0.5</v>
      </c>
      <c r="AA178" s="3">
        <v>4</v>
      </c>
      <c r="AB178" s="3">
        <v>12</v>
      </c>
      <c r="AC178" s="3">
        <v>19</v>
      </c>
      <c r="AD178" s="1">
        <v>0.4</v>
      </c>
      <c r="AE178" s="1">
        <v>0.4</v>
      </c>
      <c r="AF178" s="1">
        <v>0.79</v>
      </c>
      <c r="AG178" s="1">
        <v>0.4</v>
      </c>
      <c r="AH178" s="1">
        <v>0.79</v>
      </c>
      <c r="AI178" s="1">
        <v>0.06</v>
      </c>
      <c r="AJ178" s="1">
        <v>0.13</v>
      </c>
      <c r="AK178" s="1">
        <v>0.19</v>
      </c>
      <c r="AL178" s="1">
        <v>0.06</v>
      </c>
      <c r="AM178" s="1">
        <v>0.19</v>
      </c>
      <c r="AN178" t="s">
        <v>549</v>
      </c>
    </row>
    <row r="179" spans="1:40" x14ac:dyDescent="0.25">
      <c r="A179" t="s">
        <v>554</v>
      </c>
      <c r="B179" t="s">
        <v>555</v>
      </c>
      <c r="C179" s="4" t="s">
        <v>1830</v>
      </c>
      <c r="D179" t="s">
        <v>1831</v>
      </c>
      <c r="E179" t="s">
        <v>137</v>
      </c>
      <c r="F179" t="str">
        <f>LEFT(premier_player_23_24[[#This Row],[Position]],2)</f>
        <v>FW</v>
      </c>
      <c r="G179" s="3">
        <v>22</v>
      </c>
      <c r="H17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79" s="3">
        <v>35</v>
      </c>
      <c r="J179" s="3">
        <v>31</v>
      </c>
      <c r="K179" s="2">
        <v>2799</v>
      </c>
      <c r="L179" s="2" t="str">
        <f>IF(premier_player_23_24[[#This Row],[Minutes]]&gt;1000,"More than 1000 minutes","Less than 1000 minutes")</f>
        <v>More than 1000 minutes</v>
      </c>
      <c r="M179" s="2">
        <v>31.1</v>
      </c>
      <c r="N179" s="3">
        <v>14</v>
      </c>
      <c r="O179" s="3">
        <v>5</v>
      </c>
      <c r="P179" s="3">
        <v>19</v>
      </c>
      <c r="Q179" s="3">
        <v>14</v>
      </c>
      <c r="R179" s="3">
        <v>0</v>
      </c>
      <c r="S179" s="3">
        <v>0</v>
      </c>
      <c r="T179" s="2">
        <v>10</v>
      </c>
      <c r="U179" s="2">
        <v>0</v>
      </c>
      <c r="V179" s="2">
        <v>18.600000000000001</v>
      </c>
      <c r="W179" s="2">
        <f>premier_player_23_24[[#This Row],[Goals]]-premier_player_23_24[[#This Row],[Expected Goals ]]</f>
        <v>-4.6000000000000014</v>
      </c>
      <c r="X179" s="2">
        <v>18.600000000000001</v>
      </c>
      <c r="Y179" s="2">
        <v>4.3</v>
      </c>
      <c r="Z179" s="2">
        <v>22.9</v>
      </c>
      <c r="AA179" s="3">
        <v>70</v>
      </c>
      <c r="AB179" s="3">
        <v>67</v>
      </c>
      <c r="AC179" s="3">
        <v>200</v>
      </c>
      <c r="AD179" s="1">
        <v>0.45</v>
      </c>
      <c r="AE179" s="1">
        <v>0.16</v>
      </c>
      <c r="AF179" s="1">
        <v>0.61</v>
      </c>
      <c r="AG179" s="1">
        <v>0.45</v>
      </c>
      <c r="AH179" s="1">
        <v>0.61</v>
      </c>
      <c r="AI179" s="1">
        <v>0.6</v>
      </c>
      <c r="AJ179" s="1">
        <v>0.14000000000000001</v>
      </c>
      <c r="AK179" s="1">
        <v>0.74</v>
      </c>
      <c r="AL179" s="1">
        <v>0.6</v>
      </c>
      <c r="AM179" s="1">
        <v>0.74</v>
      </c>
      <c r="AN179" t="s">
        <v>549</v>
      </c>
    </row>
    <row r="180" spans="1:40" x14ac:dyDescent="0.25">
      <c r="A180" t="s">
        <v>632</v>
      </c>
      <c r="B180" t="s">
        <v>376</v>
      </c>
      <c r="C180" s="4" t="s">
        <v>1762</v>
      </c>
      <c r="D180" t="s">
        <v>1763</v>
      </c>
      <c r="E180" t="s">
        <v>58</v>
      </c>
      <c r="F180" t="str">
        <f>LEFT(premier_player_23_24[[#This Row],[Position]],2)</f>
        <v>FW</v>
      </c>
      <c r="G180" s="3">
        <v>25</v>
      </c>
      <c r="H18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80" s="3">
        <v>11</v>
      </c>
      <c r="J180" s="3">
        <v>2</v>
      </c>
      <c r="K180" s="2">
        <v>443</v>
      </c>
      <c r="L180" s="2" t="str">
        <f>IF(premier_player_23_24[[#This Row],[Minutes]]&gt;1000,"More than 1000 minutes","Less than 1000 minutes")</f>
        <v>Less than 1000 minutes</v>
      </c>
      <c r="M180" s="2">
        <v>4.9000000000000004</v>
      </c>
      <c r="N180" s="3">
        <v>3</v>
      </c>
      <c r="O180" s="3">
        <v>0</v>
      </c>
      <c r="P180" s="3">
        <v>3</v>
      </c>
      <c r="Q180" s="3">
        <v>3</v>
      </c>
      <c r="R180" s="3">
        <v>0</v>
      </c>
      <c r="S180" s="3">
        <v>0</v>
      </c>
      <c r="T180" s="2">
        <v>0</v>
      </c>
      <c r="U180" s="2">
        <v>0</v>
      </c>
      <c r="V180" s="2">
        <v>2.2999999999999998</v>
      </c>
      <c r="W180" s="2">
        <f>premier_player_23_24[[#This Row],[Goals]]-premier_player_23_24[[#This Row],[Expected Goals ]]</f>
        <v>0.70000000000000018</v>
      </c>
      <c r="X180" s="2">
        <v>2.2999999999999998</v>
      </c>
      <c r="Y180" s="2">
        <v>0.2</v>
      </c>
      <c r="Z180" s="2">
        <v>2.5</v>
      </c>
      <c r="AA180" s="3">
        <v>10</v>
      </c>
      <c r="AB180" s="3">
        <v>19</v>
      </c>
      <c r="AC180" s="3">
        <v>35</v>
      </c>
      <c r="AD180" s="1">
        <v>0.61</v>
      </c>
      <c r="AE180" s="1">
        <v>0</v>
      </c>
      <c r="AF180" s="1">
        <v>0.61</v>
      </c>
      <c r="AG180" s="1">
        <v>0.61</v>
      </c>
      <c r="AH180" s="1">
        <v>0.61</v>
      </c>
      <c r="AI180" s="1">
        <v>0.47</v>
      </c>
      <c r="AJ180" s="1">
        <v>0.05</v>
      </c>
      <c r="AK180" s="1">
        <v>0.52</v>
      </c>
      <c r="AL180" s="1">
        <v>0.47</v>
      </c>
      <c r="AM180" s="1">
        <v>0.52</v>
      </c>
      <c r="AN180" t="s">
        <v>549</v>
      </c>
    </row>
    <row r="181" spans="1:40" x14ac:dyDescent="0.25">
      <c r="A181" t="s">
        <v>613</v>
      </c>
      <c r="B181" t="s">
        <v>57</v>
      </c>
      <c r="C181" s="4" t="s">
        <v>1744</v>
      </c>
      <c r="D181" t="s">
        <v>1745</v>
      </c>
      <c r="E181" t="s">
        <v>137</v>
      </c>
      <c r="F181" t="str">
        <f>LEFT(premier_player_23_24[[#This Row],[Position]],2)</f>
        <v>FW</v>
      </c>
      <c r="G181" s="3">
        <v>21</v>
      </c>
      <c r="H18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81" s="3">
        <v>23</v>
      </c>
      <c r="J181" s="3">
        <v>13</v>
      </c>
      <c r="K181" s="2">
        <v>1053</v>
      </c>
      <c r="L181" s="2" t="str">
        <f>IF(premier_player_23_24[[#This Row],[Minutes]]&gt;1000,"More than 1000 minutes","Less than 1000 minutes")</f>
        <v>More than 1000 minutes</v>
      </c>
      <c r="M181" s="2">
        <v>11.7</v>
      </c>
      <c r="N181" s="3">
        <v>5</v>
      </c>
      <c r="O181" s="3">
        <v>2</v>
      </c>
      <c r="P181" s="3">
        <v>7</v>
      </c>
      <c r="Q181" s="3">
        <v>4</v>
      </c>
      <c r="R181" s="3">
        <v>1</v>
      </c>
      <c r="S181" s="3">
        <v>1</v>
      </c>
      <c r="T181" s="2">
        <v>2</v>
      </c>
      <c r="U181" s="2">
        <v>0</v>
      </c>
      <c r="V181" s="2">
        <v>2.5</v>
      </c>
      <c r="W181" s="2">
        <f>premier_player_23_24[[#This Row],[Goals]]-premier_player_23_24[[#This Row],[Expected Goals ]]</f>
        <v>2.5</v>
      </c>
      <c r="X181" s="2">
        <v>1.7</v>
      </c>
      <c r="Y181" s="2">
        <v>2.6</v>
      </c>
      <c r="Z181" s="2">
        <v>4.3</v>
      </c>
      <c r="AA181" s="3">
        <v>76</v>
      </c>
      <c r="AB181" s="3">
        <v>52</v>
      </c>
      <c r="AC181" s="3">
        <v>136</v>
      </c>
      <c r="AD181" s="1">
        <v>0.43</v>
      </c>
      <c r="AE181" s="1">
        <v>0.17</v>
      </c>
      <c r="AF181" s="1">
        <v>0.6</v>
      </c>
      <c r="AG181" s="1">
        <v>0.34</v>
      </c>
      <c r="AH181" s="1">
        <v>0.51</v>
      </c>
      <c r="AI181" s="1">
        <v>0.21</v>
      </c>
      <c r="AJ181" s="1">
        <v>0.23</v>
      </c>
      <c r="AK181" s="1">
        <v>0.44</v>
      </c>
      <c r="AL181" s="1">
        <v>0.14000000000000001</v>
      </c>
      <c r="AM181" s="1">
        <v>0.37</v>
      </c>
      <c r="AN181" t="s">
        <v>549</v>
      </c>
    </row>
    <row r="182" spans="1:40" x14ac:dyDescent="0.25">
      <c r="A182" t="s">
        <v>588</v>
      </c>
      <c r="B182" t="s">
        <v>57</v>
      </c>
      <c r="C182" s="4" t="s">
        <v>1744</v>
      </c>
      <c r="D182" t="s">
        <v>1745</v>
      </c>
      <c r="E182" t="s">
        <v>58</v>
      </c>
      <c r="F182" t="str">
        <f>LEFT(premier_player_23_24[[#This Row],[Position]],2)</f>
        <v>FW</v>
      </c>
      <c r="G182" s="3">
        <v>28</v>
      </c>
      <c r="H18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82" s="3">
        <v>31</v>
      </c>
      <c r="J182" s="3">
        <v>22</v>
      </c>
      <c r="K182" s="2">
        <v>1978</v>
      </c>
      <c r="L182" s="2" t="str">
        <f>IF(premier_player_23_24[[#This Row],[Minutes]]&gt;1000,"More than 1000 minutes","Less than 1000 minutes")</f>
        <v>More than 1000 minutes</v>
      </c>
      <c r="M182" s="2">
        <v>22</v>
      </c>
      <c r="N182" s="3">
        <v>8</v>
      </c>
      <c r="O182" s="3">
        <v>4</v>
      </c>
      <c r="P182" s="3">
        <v>12</v>
      </c>
      <c r="Q182" s="3">
        <v>8</v>
      </c>
      <c r="R182" s="3">
        <v>0</v>
      </c>
      <c r="S182" s="3">
        <v>0</v>
      </c>
      <c r="T182" s="2">
        <v>7</v>
      </c>
      <c r="U182" s="2">
        <v>0</v>
      </c>
      <c r="V182" s="2">
        <v>6.5</v>
      </c>
      <c r="W182" s="2">
        <f>premier_player_23_24[[#This Row],[Goals]]-premier_player_23_24[[#This Row],[Expected Goals ]]</f>
        <v>1.5</v>
      </c>
      <c r="X182" s="2">
        <v>6.5</v>
      </c>
      <c r="Y182" s="2">
        <v>4.5</v>
      </c>
      <c r="Z182" s="2">
        <v>11</v>
      </c>
      <c r="AA182" s="3">
        <v>120</v>
      </c>
      <c r="AB182" s="3">
        <v>78</v>
      </c>
      <c r="AC182" s="3">
        <v>242</v>
      </c>
      <c r="AD182" s="1">
        <v>0.36</v>
      </c>
      <c r="AE182" s="1">
        <v>0.18</v>
      </c>
      <c r="AF182" s="1">
        <v>0.55000000000000004</v>
      </c>
      <c r="AG182" s="1">
        <v>0.36</v>
      </c>
      <c r="AH182" s="1">
        <v>0.55000000000000004</v>
      </c>
      <c r="AI182" s="1">
        <v>0.28999999999999998</v>
      </c>
      <c r="AJ182" s="1">
        <v>0.2</v>
      </c>
      <c r="AK182" s="1">
        <v>0.5</v>
      </c>
      <c r="AL182" s="1">
        <v>0.28999999999999998</v>
      </c>
      <c r="AM182" s="1">
        <v>0.5</v>
      </c>
      <c r="AN182" t="s">
        <v>549</v>
      </c>
    </row>
    <row r="183" spans="1:40" x14ac:dyDescent="0.25">
      <c r="A183" t="s">
        <v>627</v>
      </c>
      <c r="B183" t="s">
        <v>57</v>
      </c>
      <c r="C183" s="4" t="s">
        <v>1744</v>
      </c>
      <c r="D183" t="s">
        <v>1745</v>
      </c>
      <c r="E183" t="s">
        <v>108</v>
      </c>
      <c r="F183" t="str">
        <f>LEFT(premier_player_23_24[[#This Row],[Position]],2)</f>
        <v>DF</v>
      </c>
      <c r="G183" s="3">
        <v>23</v>
      </c>
      <c r="H18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83" s="3">
        <v>10</v>
      </c>
      <c r="J183" s="3">
        <v>5</v>
      </c>
      <c r="K183" s="2">
        <v>419</v>
      </c>
      <c r="L183" s="2" t="str">
        <f>IF(premier_player_23_24[[#This Row],[Minutes]]&gt;1000,"More than 1000 minutes","Less than 1000 minutes")</f>
        <v>Less than 1000 minutes</v>
      </c>
      <c r="M183" s="2">
        <v>4.7</v>
      </c>
      <c r="N183" s="3">
        <v>0</v>
      </c>
      <c r="O183" s="3">
        <v>2</v>
      </c>
      <c r="P183" s="3">
        <v>2</v>
      </c>
      <c r="Q183" s="3">
        <v>0</v>
      </c>
      <c r="R183" s="3">
        <v>0</v>
      </c>
      <c r="S183" s="3">
        <v>0</v>
      </c>
      <c r="T183" s="2">
        <v>2</v>
      </c>
      <c r="U183" s="2">
        <v>2</v>
      </c>
      <c r="V183" s="2">
        <v>0.3</v>
      </c>
      <c r="W183" s="2">
        <f>premier_player_23_24[[#This Row],[Goals]]-premier_player_23_24[[#This Row],[Expected Goals ]]</f>
        <v>-0.3</v>
      </c>
      <c r="X183" s="2">
        <v>0.3</v>
      </c>
      <c r="Y183" s="2">
        <v>1.7</v>
      </c>
      <c r="Z183" s="2">
        <v>2.1</v>
      </c>
      <c r="AA183" s="3">
        <v>19</v>
      </c>
      <c r="AB183" s="3">
        <v>21</v>
      </c>
      <c r="AC183" s="3">
        <v>35</v>
      </c>
      <c r="AD183" s="1">
        <v>0</v>
      </c>
      <c r="AE183" s="1">
        <v>0.43</v>
      </c>
      <c r="AF183" s="1">
        <v>0.43</v>
      </c>
      <c r="AG183" s="1">
        <v>0</v>
      </c>
      <c r="AH183" s="1">
        <v>0.43</v>
      </c>
      <c r="AI183" s="1">
        <v>7.0000000000000007E-2</v>
      </c>
      <c r="AJ183" s="1">
        <v>0.37</v>
      </c>
      <c r="AK183" s="1">
        <v>0.44</v>
      </c>
      <c r="AL183" s="1">
        <v>7.0000000000000007E-2</v>
      </c>
      <c r="AM183" s="1">
        <v>0.44</v>
      </c>
      <c r="AN183" t="s">
        <v>549</v>
      </c>
    </row>
    <row r="184" spans="1:40" x14ac:dyDescent="0.25">
      <c r="A184" t="s">
        <v>637</v>
      </c>
      <c r="B184" t="s">
        <v>57</v>
      </c>
      <c r="C184" s="4" t="s">
        <v>1744</v>
      </c>
      <c r="D184" t="s">
        <v>1745</v>
      </c>
      <c r="E184" t="s">
        <v>108</v>
      </c>
      <c r="F184" t="str">
        <f>LEFT(premier_player_23_24[[#This Row],[Position]],2)</f>
        <v>DF</v>
      </c>
      <c r="G184" s="3">
        <v>19</v>
      </c>
      <c r="H18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184" s="3">
        <v>11</v>
      </c>
      <c r="J184" s="3">
        <v>2</v>
      </c>
      <c r="K184" s="2">
        <v>207</v>
      </c>
      <c r="L184" s="2" t="str">
        <f>IF(premier_player_23_24[[#This Row],[Minutes]]&gt;1000,"More than 1000 minutes","Less than 1000 minutes")</f>
        <v>Less than 1000 minutes</v>
      </c>
      <c r="M184" s="2">
        <v>2.2999999999999998</v>
      </c>
      <c r="N184" s="3">
        <v>1</v>
      </c>
      <c r="O184" s="3">
        <v>0</v>
      </c>
      <c r="P184" s="3">
        <v>1</v>
      </c>
      <c r="Q184" s="3">
        <v>1</v>
      </c>
      <c r="R184" s="3">
        <v>0</v>
      </c>
      <c r="S184" s="3">
        <v>0</v>
      </c>
      <c r="T184" s="2">
        <v>1</v>
      </c>
      <c r="U184" s="2">
        <v>0</v>
      </c>
      <c r="V184" s="2">
        <v>0.3</v>
      </c>
      <c r="W184" s="2">
        <f>premier_player_23_24[[#This Row],[Goals]]-premier_player_23_24[[#This Row],[Expected Goals ]]</f>
        <v>0.7</v>
      </c>
      <c r="X184" s="2">
        <v>0.3</v>
      </c>
      <c r="Y184" s="2">
        <v>0</v>
      </c>
      <c r="Z184" s="2">
        <v>0.3</v>
      </c>
      <c r="AA184" s="3">
        <v>1</v>
      </c>
      <c r="AB184" s="3">
        <v>7</v>
      </c>
      <c r="AC184" s="3">
        <v>4</v>
      </c>
      <c r="AD184" s="1">
        <v>0.43</v>
      </c>
      <c r="AE184" s="1">
        <v>0</v>
      </c>
      <c r="AF184" s="1">
        <v>0.43</v>
      </c>
      <c r="AG184" s="1">
        <v>0.43</v>
      </c>
      <c r="AH184" s="1">
        <v>0.43</v>
      </c>
      <c r="AI184" s="1">
        <v>0.14000000000000001</v>
      </c>
      <c r="AJ184" s="1">
        <v>0</v>
      </c>
      <c r="AK184" s="1">
        <v>0.14000000000000001</v>
      </c>
      <c r="AL184" s="1">
        <v>0.14000000000000001</v>
      </c>
      <c r="AM184" s="1">
        <v>0.14000000000000001</v>
      </c>
      <c r="AN184" t="s">
        <v>549</v>
      </c>
    </row>
    <row r="185" spans="1:40" x14ac:dyDescent="0.25">
      <c r="A185" t="s">
        <v>603</v>
      </c>
      <c r="B185" t="s">
        <v>493</v>
      </c>
      <c r="C185" s="4" t="s">
        <v>1760</v>
      </c>
      <c r="D185" t="s">
        <v>1761</v>
      </c>
      <c r="E185" t="s">
        <v>137</v>
      </c>
      <c r="F185" t="str">
        <f>LEFT(premier_player_23_24[[#This Row],[Position]],2)</f>
        <v>FW</v>
      </c>
      <c r="G185" s="3">
        <v>22</v>
      </c>
      <c r="H18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85" s="3">
        <v>31</v>
      </c>
      <c r="J185" s="3">
        <v>18</v>
      </c>
      <c r="K185" s="2">
        <v>1576</v>
      </c>
      <c r="L185" s="2" t="str">
        <f>IF(premier_player_23_24[[#This Row],[Minutes]]&gt;1000,"More than 1000 minutes","Less than 1000 minutes")</f>
        <v>More than 1000 minutes</v>
      </c>
      <c r="M185" s="2">
        <v>17.5</v>
      </c>
      <c r="N185" s="3">
        <v>5</v>
      </c>
      <c r="O185" s="3">
        <v>2</v>
      </c>
      <c r="P185" s="3">
        <v>7</v>
      </c>
      <c r="Q185" s="3">
        <v>5</v>
      </c>
      <c r="R185" s="3">
        <v>0</v>
      </c>
      <c r="S185" s="3">
        <v>0</v>
      </c>
      <c r="T185" s="2">
        <v>5</v>
      </c>
      <c r="U185" s="2">
        <v>0</v>
      </c>
      <c r="V185" s="2">
        <v>4.4000000000000004</v>
      </c>
      <c r="W185" s="2">
        <f>premier_player_23_24[[#This Row],[Goals]]-premier_player_23_24[[#This Row],[Expected Goals ]]</f>
        <v>0.59999999999999964</v>
      </c>
      <c r="X185" s="2">
        <v>4.4000000000000004</v>
      </c>
      <c r="Y185" s="2">
        <v>4.0999999999999996</v>
      </c>
      <c r="Z185" s="2">
        <v>8.5</v>
      </c>
      <c r="AA185" s="3">
        <v>92</v>
      </c>
      <c r="AB185" s="3">
        <v>45</v>
      </c>
      <c r="AC185" s="3">
        <v>139</v>
      </c>
      <c r="AD185" s="1">
        <v>0.28999999999999998</v>
      </c>
      <c r="AE185" s="1">
        <v>0.11</v>
      </c>
      <c r="AF185" s="1">
        <v>0.4</v>
      </c>
      <c r="AG185" s="1">
        <v>0.28999999999999998</v>
      </c>
      <c r="AH185" s="1">
        <v>0.4</v>
      </c>
      <c r="AI185" s="1">
        <v>0.25</v>
      </c>
      <c r="AJ185" s="1">
        <v>0.23</v>
      </c>
      <c r="AK185" s="1">
        <v>0.48</v>
      </c>
      <c r="AL185" s="1">
        <v>0.25</v>
      </c>
      <c r="AM185" s="1">
        <v>0.48</v>
      </c>
      <c r="AN185" t="s">
        <v>549</v>
      </c>
    </row>
    <row r="186" spans="1:40" x14ac:dyDescent="0.25">
      <c r="A186" t="s">
        <v>544</v>
      </c>
      <c r="B186" t="s">
        <v>57</v>
      </c>
      <c r="C186" s="4" t="s">
        <v>1744</v>
      </c>
      <c r="D186" t="s">
        <v>1745</v>
      </c>
      <c r="E186" t="s">
        <v>36</v>
      </c>
      <c r="F186" t="str">
        <f>LEFT(premier_player_23_24[[#This Row],[Position]],2)</f>
        <v>MF</v>
      </c>
      <c r="G186" s="3">
        <v>23</v>
      </c>
      <c r="H18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86" s="3">
        <v>37</v>
      </c>
      <c r="J186" s="3">
        <v>37</v>
      </c>
      <c r="K186" s="2">
        <v>3128</v>
      </c>
      <c r="L186" s="2" t="str">
        <f>IF(premier_player_23_24[[#This Row],[Minutes]]&gt;1000,"More than 1000 minutes","Less than 1000 minutes")</f>
        <v>More than 1000 minutes</v>
      </c>
      <c r="M186" s="2">
        <v>34.799999999999997</v>
      </c>
      <c r="N186" s="3">
        <v>5</v>
      </c>
      <c r="O186" s="3">
        <v>7</v>
      </c>
      <c r="P186" s="3">
        <v>12</v>
      </c>
      <c r="Q186" s="3">
        <v>5</v>
      </c>
      <c r="R186" s="3">
        <v>0</v>
      </c>
      <c r="S186" s="3">
        <v>0</v>
      </c>
      <c r="T186" s="2">
        <v>9</v>
      </c>
      <c r="U186" s="2">
        <v>1</v>
      </c>
      <c r="V186" s="2">
        <v>4.2</v>
      </c>
      <c r="W186" s="2">
        <f>premier_player_23_24[[#This Row],[Goals]]-premier_player_23_24[[#This Row],[Expected Goals ]]</f>
        <v>0.79999999999999982</v>
      </c>
      <c r="X186" s="2">
        <v>4.2</v>
      </c>
      <c r="Y186" s="2">
        <v>5</v>
      </c>
      <c r="Z186" s="2">
        <v>9.1999999999999993</v>
      </c>
      <c r="AA186" s="3">
        <v>62</v>
      </c>
      <c r="AB186" s="3">
        <v>172</v>
      </c>
      <c r="AC186" s="3">
        <v>122</v>
      </c>
      <c r="AD186" s="1">
        <v>0.14000000000000001</v>
      </c>
      <c r="AE186" s="1">
        <v>0.2</v>
      </c>
      <c r="AF186" s="1">
        <v>0.35</v>
      </c>
      <c r="AG186" s="1">
        <v>0.14000000000000001</v>
      </c>
      <c r="AH186" s="1">
        <v>0.35</v>
      </c>
      <c r="AI186" s="1">
        <v>0.12</v>
      </c>
      <c r="AJ186" s="1">
        <v>0.15</v>
      </c>
      <c r="AK186" s="1">
        <v>0.27</v>
      </c>
      <c r="AL186" s="1">
        <v>0.12</v>
      </c>
      <c r="AM186" s="1">
        <v>0.27</v>
      </c>
      <c r="AN186" t="s">
        <v>549</v>
      </c>
    </row>
    <row r="187" spans="1:40" x14ac:dyDescent="0.25">
      <c r="A187" t="s">
        <v>597</v>
      </c>
      <c r="B187" t="s">
        <v>376</v>
      </c>
      <c r="C187" s="4" t="s">
        <v>1762</v>
      </c>
      <c r="D187" t="s">
        <v>1763</v>
      </c>
      <c r="E187" t="s">
        <v>108</v>
      </c>
      <c r="F187" t="str">
        <f>LEFT(premier_player_23_24[[#This Row],[Position]],2)</f>
        <v>DF</v>
      </c>
      <c r="G187" s="3">
        <v>20</v>
      </c>
      <c r="H18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87" s="3">
        <v>27</v>
      </c>
      <c r="J187" s="3">
        <v>19</v>
      </c>
      <c r="K187" s="2">
        <v>1751</v>
      </c>
      <c r="L187" s="2" t="str">
        <f>IF(premier_player_23_24[[#This Row],[Minutes]]&gt;1000,"More than 1000 minutes","Less than 1000 minutes")</f>
        <v>More than 1000 minutes</v>
      </c>
      <c r="M187" s="2">
        <v>19.5</v>
      </c>
      <c r="N187" s="3">
        <v>0</v>
      </c>
      <c r="O187" s="3">
        <v>6</v>
      </c>
      <c r="P187" s="3">
        <v>6</v>
      </c>
      <c r="Q187" s="3">
        <v>0</v>
      </c>
      <c r="R187" s="3">
        <v>0</v>
      </c>
      <c r="S187" s="3">
        <v>0</v>
      </c>
      <c r="T187" s="2">
        <v>7</v>
      </c>
      <c r="U187" s="2">
        <v>1</v>
      </c>
      <c r="V187" s="2">
        <v>0.9</v>
      </c>
      <c r="W187" s="2">
        <f>premier_player_23_24[[#This Row],[Goals]]-premier_player_23_24[[#This Row],[Expected Goals ]]</f>
        <v>-0.9</v>
      </c>
      <c r="X187" s="2">
        <v>0.9</v>
      </c>
      <c r="Y187" s="2">
        <v>4.3</v>
      </c>
      <c r="Z187" s="2">
        <v>5.2</v>
      </c>
      <c r="AA187" s="3">
        <v>78</v>
      </c>
      <c r="AB187" s="3">
        <v>86</v>
      </c>
      <c r="AC187" s="3">
        <v>135</v>
      </c>
      <c r="AD187" s="1">
        <v>0</v>
      </c>
      <c r="AE187" s="1">
        <v>0.31</v>
      </c>
      <c r="AF187" s="1">
        <v>0.31</v>
      </c>
      <c r="AG187" s="1">
        <v>0</v>
      </c>
      <c r="AH187" s="1">
        <v>0.31</v>
      </c>
      <c r="AI187" s="1">
        <v>0.05</v>
      </c>
      <c r="AJ187" s="1">
        <v>0.22</v>
      </c>
      <c r="AK187" s="1">
        <v>0.27</v>
      </c>
      <c r="AL187" s="1">
        <v>0.05</v>
      </c>
      <c r="AM187" s="1">
        <v>0.27</v>
      </c>
      <c r="AN187" t="s">
        <v>549</v>
      </c>
    </row>
    <row r="188" spans="1:40" x14ac:dyDescent="0.25">
      <c r="A188" t="s">
        <v>579</v>
      </c>
      <c r="B188" t="s">
        <v>85</v>
      </c>
      <c r="C188" s="4" t="s">
        <v>1778</v>
      </c>
      <c r="D188" t="s">
        <v>1779</v>
      </c>
      <c r="E188" t="s">
        <v>36</v>
      </c>
      <c r="F188" t="str">
        <f>LEFT(premier_player_23_24[[#This Row],[Position]],2)</f>
        <v>MF</v>
      </c>
      <c r="G188" s="3">
        <v>22</v>
      </c>
      <c r="H18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88" s="3">
        <v>28</v>
      </c>
      <c r="J188" s="3">
        <v>26</v>
      </c>
      <c r="K188" s="2">
        <v>2209</v>
      </c>
      <c r="L188" s="2" t="str">
        <f>IF(premier_player_23_24[[#This Row],[Minutes]]&gt;1000,"More than 1000 minutes","Less than 1000 minutes")</f>
        <v>More than 1000 minutes</v>
      </c>
      <c r="M188" s="2">
        <v>24.5</v>
      </c>
      <c r="N188" s="3">
        <v>3</v>
      </c>
      <c r="O188" s="3">
        <v>2</v>
      </c>
      <c r="P188" s="3">
        <v>5</v>
      </c>
      <c r="Q188" s="3">
        <v>2</v>
      </c>
      <c r="R188" s="3">
        <v>1</v>
      </c>
      <c r="S188" s="3">
        <v>2</v>
      </c>
      <c r="T188" s="2">
        <v>7</v>
      </c>
      <c r="U188" s="2">
        <v>0</v>
      </c>
      <c r="V188" s="2">
        <v>6.2</v>
      </c>
      <c r="W188" s="2">
        <f>premier_player_23_24[[#This Row],[Goals]]-premier_player_23_24[[#This Row],[Expected Goals ]]</f>
        <v>-3.2</v>
      </c>
      <c r="X188" s="2">
        <v>4.5999999999999996</v>
      </c>
      <c r="Y188" s="2">
        <v>3.4</v>
      </c>
      <c r="Z188" s="2">
        <v>8</v>
      </c>
      <c r="AA188" s="3">
        <v>52</v>
      </c>
      <c r="AB188" s="3">
        <v>210</v>
      </c>
      <c r="AC188" s="3">
        <v>54</v>
      </c>
      <c r="AD188" s="1">
        <v>0.12</v>
      </c>
      <c r="AE188" s="1">
        <v>0.08</v>
      </c>
      <c r="AF188" s="1">
        <v>0.2</v>
      </c>
      <c r="AG188" s="1">
        <v>0.08</v>
      </c>
      <c r="AH188" s="1">
        <v>0.16</v>
      </c>
      <c r="AI188" s="1">
        <v>0.25</v>
      </c>
      <c r="AJ188" s="1">
        <v>0.14000000000000001</v>
      </c>
      <c r="AK188" s="1">
        <v>0.39</v>
      </c>
      <c r="AL188" s="1">
        <v>0.19</v>
      </c>
      <c r="AM188" s="1">
        <v>0.33</v>
      </c>
      <c r="AN188" t="s">
        <v>549</v>
      </c>
    </row>
    <row r="189" spans="1:40" x14ac:dyDescent="0.25">
      <c r="A189" t="s">
        <v>624</v>
      </c>
      <c r="B189" t="s">
        <v>625</v>
      </c>
      <c r="C189" s="4" t="s">
        <v>1810</v>
      </c>
      <c r="D189" t="s">
        <v>1811</v>
      </c>
      <c r="E189" t="s">
        <v>137</v>
      </c>
      <c r="F189" t="str">
        <f>LEFT(premier_player_23_24[[#This Row],[Position]],2)</f>
        <v>FW</v>
      </c>
      <c r="G189" s="3">
        <v>21</v>
      </c>
      <c r="H18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89" s="3">
        <v>13</v>
      </c>
      <c r="J189" s="3">
        <v>6</v>
      </c>
      <c r="K189" s="2">
        <v>454</v>
      </c>
      <c r="L189" s="2" t="str">
        <f>IF(premier_player_23_24[[#This Row],[Minutes]]&gt;1000,"More than 1000 minutes","Less than 1000 minutes")</f>
        <v>Less than 1000 minutes</v>
      </c>
      <c r="M189" s="2">
        <v>5</v>
      </c>
      <c r="N189" s="3">
        <v>1</v>
      </c>
      <c r="O189" s="3">
        <v>0</v>
      </c>
      <c r="P189" s="3">
        <v>1</v>
      </c>
      <c r="Q189" s="3">
        <v>1</v>
      </c>
      <c r="R189" s="3">
        <v>0</v>
      </c>
      <c r="S189" s="3">
        <v>0</v>
      </c>
      <c r="T189" s="2">
        <v>0</v>
      </c>
      <c r="U189" s="2">
        <v>0</v>
      </c>
      <c r="V189" s="2">
        <v>2.4</v>
      </c>
      <c r="W189" s="2">
        <f>premier_player_23_24[[#This Row],[Goals]]-premier_player_23_24[[#This Row],[Expected Goals ]]</f>
        <v>-1.4</v>
      </c>
      <c r="X189" s="2">
        <v>2.4</v>
      </c>
      <c r="Y189" s="2">
        <v>0.2</v>
      </c>
      <c r="Z189" s="2">
        <v>2.5</v>
      </c>
      <c r="AA189" s="3">
        <v>11</v>
      </c>
      <c r="AB189" s="3">
        <v>6</v>
      </c>
      <c r="AC189" s="3">
        <v>37</v>
      </c>
      <c r="AD189" s="1">
        <v>0.2</v>
      </c>
      <c r="AE189" s="1">
        <v>0</v>
      </c>
      <c r="AF189" s="1">
        <v>0.2</v>
      </c>
      <c r="AG189" s="1">
        <v>0.2</v>
      </c>
      <c r="AH189" s="1">
        <v>0.2</v>
      </c>
      <c r="AI189" s="1">
        <v>0.47</v>
      </c>
      <c r="AJ189" s="1">
        <v>0.03</v>
      </c>
      <c r="AK189" s="1">
        <v>0.5</v>
      </c>
      <c r="AL189" s="1">
        <v>0.47</v>
      </c>
      <c r="AM189" s="1">
        <v>0.5</v>
      </c>
      <c r="AN189" t="s">
        <v>549</v>
      </c>
    </row>
    <row r="190" spans="1:40" x14ac:dyDescent="0.25">
      <c r="A190" t="s">
        <v>575</v>
      </c>
      <c r="B190" t="s">
        <v>76</v>
      </c>
      <c r="C190" s="4" t="s">
        <v>1750</v>
      </c>
      <c r="D190" t="s">
        <v>1751</v>
      </c>
      <c r="E190" t="s">
        <v>108</v>
      </c>
      <c r="F190" t="str">
        <f>LEFT(premier_player_23_24[[#This Row],[Position]],2)</f>
        <v>DF</v>
      </c>
      <c r="G190" s="3">
        <v>38</v>
      </c>
      <c r="H19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Veterans</v>
      </c>
      <c r="I190" s="3">
        <v>31</v>
      </c>
      <c r="J190" s="3">
        <v>28</v>
      </c>
      <c r="K190" s="2">
        <v>2527</v>
      </c>
      <c r="L190" s="2" t="str">
        <f>IF(premier_player_23_24[[#This Row],[Minutes]]&gt;1000,"More than 1000 minutes","Less than 1000 minutes")</f>
        <v>More than 1000 minutes</v>
      </c>
      <c r="M190" s="2">
        <v>28.1</v>
      </c>
      <c r="N190" s="3">
        <v>3</v>
      </c>
      <c r="O190" s="3">
        <v>1</v>
      </c>
      <c r="P190" s="3">
        <v>4</v>
      </c>
      <c r="Q190" s="3">
        <v>3</v>
      </c>
      <c r="R190" s="3">
        <v>0</v>
      </c>
      <c r="S190" s="3">
        <v>0</v>
      </c>
      <c r="T190" s="2">
        <v>4</v>
      </c>
      <c r="U190" s="2">
        <v>0</v>
      </c>
      <c r="V190" s="2">
        <v>0.8</v>
      </c>
      <c r="W190" s="2">
        <f>premier_player_23_24[[#This Row],[Goals]]-premier_player_23_24[[#This Row],[Expected Goals ]]</f>
        <v>2.2000000000000002</v>
      </c>
      <c r="X190" s="2">
        <v>0.8</v>
      </c>
      <c r="Y190" s="2">
        <v>1</v>
      </c>
      <c r="Z190" s="2">
        <v>1.8</v>
      </c>
      <c r="AA190" s="3">
        <v>2</v>
      </c>
      <c r="AB190" s="3">
        <v>102</v>
      </c>
      <c r="AC190" s="3">
        <v>5</v>
      </c>
      <c r="AD190" s="1">
        <v>0.11</v>
      </c>
      <c r="AE190" s="1">
        <v>0.04</v>
      </c>
      <c r="AF190" s="1">
        <v>0.14000000000000001</v>
      </c>
      <c r="AG190" s="1">
        <v>0.11</v>
      </c>
      <c r="AH190" s="1">
        <v>0.14000000000000001</v>
      </c>
      <c r="AI190" s="1">
        <v>0.03</v>
      </c>
      <c r="AJ190" s="1">
        <v>0.04</v>
      </c>
      <c r="AK190" s="1">
        <v>0.06</v>
      </c>
      <c r="AL190" s="1">
        <v>0.03</v>
      </c>
      <c r="AM190" s="1">
        <v>0.06</v>
      </c>
      <c r="AN190" t="s">
        <v>549</v>
      </c>
    </row>
    <row r="191" spans="1:40" x14ac:dyDescent="0.25">
      <c r="A191" t="s">
        <v>550</v>
      </c>
      <c r="B191" t="s">
        <v>551</v>
      </c>
      <c r="C191" s="4" t="s">
        <v>1814</v>
      </c>
      <c r="D191" t="s">
        <v>1815</v>
      </c>
      <c r="E191" t="s">
        <v>36</v>
      </c>
      <c r="F191" t="str">
        <f>LEFT(premier_player_23_24[[#This Row],[Position]],2)</f>
        <v>MF</v>
      </c>
      <c r="G191" s="3">
        <v>21</v>
      </c>
      <c r="H19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91" s="3">
        <v>35</v>
      </c>
      <c r="J191" s="3">
        <v>33</v>
      </c>
      <c r="K191" s="2">
        <v>2866</v>
      </c>
      <c r="L191" s="2" t="str">
        <f>IF(premier_player_23_24[[#This Row],[Minutes]]&gt;1000,"More than 1000 minutes","Less than 1000 minutes")</f>
        <v>More than 1000 minutes</v>
      </c>
      <c r="M191" s="2">
        <v>31.8</v>
      </c>
      <c r="N191" s="3">
        <v>1</v>
      </c>
      <c r="O191" s="3">
        <v>3</v>
      </c>
      <c r="P191" s="3">
        <v>4</v>
      </c>
      <c r="Q191" s="3">
        <v>1</v>
      </c>
      <c r="R191" s="3">
        <v>0</v>
      </c>
      <c r="S191" s="3">
        <v>0</v>
      </c>
      <c r="T191" s="2">
        <v>11</v>
      </c>
      <c r="U191" s="2">
        <v>0</v>
      </c>
      <c r="V191" s="2">
        <v>0.4</v>
      </c>
      <c r="W191" s="2">
        <f>premier_player_23_24[[#This Row],[Goals]]-premier_player_23_24[[#This Row],[Expected Goals ]]</f>
        <v>0.6</v>
      </c>
      <c r="X191" s="2">
        <v>0.4</v>
      </c>
      <c r="Y191" s="2">
        <v>2.6</v>
      </c>
      <c r="Z191" s="2">
        <v>3</v>
      </c>
      <c r="AA191" s="3">
        <v>27</v>
      </c>
      <c r="AB191" s="3">
        <v>173</v>
      </c>
      <c r="AC191" s="3">
        <v>27</v>
      </c>
      <c r="AD191" s="1">
        <v>0.03</v>
      </c>
      <c r="AE191" s="1">
        <v>0.09</v>
      </c>
      <c r="AF191" s="1">
        <v>0.13</v>
      </c>
      <c r="AG191" s="1">
        <v>0.03</v>
      </c>
      <c r="AH191" s="1">
        <v>0.13</v>
      </c>
      <c r="AI191" s="1">
        <v>0.01</v>
      </c>
      <c r="AJ191" s="1">
        <v>0.08</v>
      </c>
      <c r="AK191" s="1">
        <v>0.09</v>
      </c>
      <c r="AL191" s="1">
        <v>0.01</v>
      </c>
      <c r="AM191" s="1">
        <v>0.09</v>
      </c>
      <c r="AN191" t="s">
        <v>549</v>
      </c>
    </row>
    <row r="192" spans="1:40" x14ac:dyDescent="0.25">
      <c r="A192" t="s">
        <v>621</v>
      </c>
      <c r="B192" t="s">
        <v>57</v>
      </c>
      <c r="C192" s="4" t="s">
        <v>1744</v>
      </c>
      <c r="D192" t="s">
        <v>1745</v>
      </c>
      <c r="E192" t="s">
        <v>108</v>
      </c>
      <c r="F192" t="str">
        <f>LEFT(premier_player_23_24[[#This Row],[Position]],2)</f>
        <v>DF</v>
      </c>
      <c r="G192" s="3">
        <v>26</v>
      </c>
      <c r="H19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92" s="3">
        <v>13</v>
      </c>
      <c r="J192" s="3">
        <v>9</v>
      </c>
      <c r="K192" s="2">
        <v>756</v>
      </c>
      <c r="L192" s="2" t="str">
        <f>IF(premier_player_23_24[[#This Row],[Minutes]]&gt;1000,"More than 1000 minutes","Less than 1000 minutes")</f>
        <v>Less than 1000 minutes</v>
      </c>
      <c r="M192" s="2">
        <v>8.4</v>
      </c>
      <c r="N192" s="3">
        <v>0</v>
      </c>
      <c r="O192" s="3">
        <v>1</v>
      </c>
      <c r="P192" s="3">
        <v>1</v>
      </c>
      <c r="Q192" s="3">
        <v>0</v>
      </c>
      <c r="R192" s="3">
        <v>0</v>
      </c>
      <c r="S192" s="3">
        <v>0</v>
      </c>
      <c r="T192" s="2">
        <v>5</v>
      </c>
      <c r="U192" s="2">
        <v>0</v>
      </c>
      <c r="V192" s="2">
        <v>1.2</v>
      </c>
      <c r="W192" s="2">
        <f>premier_player_23_24[[#This Row],[Goals]]-premier_player_23_24[[#This Row],[Expected Goals ]]</f>
        <v>-1.2</v>
      </c>
      <c r="X192" s="2">
        <v>1.2</v>
      </c>
      <c r="Y192" s="2">
        <v>2.2000000000000002</v>
      </c>
      <c r="Z192" s="2">
        <v>3.4</v>
      </c>
      <c r="AA192" s="3">
        <v>22</v>
      </c>
      <c r="AB192" s="3">
        <v>25</v>
      </c>
      <c r="AC192" s="3">
        <v>59</v>
      </c>
      <c r="AD192" s="1">
        <v>0</v>
      </c>
      <c r="AE192" s="1">
        <v>0.12</v>
      </c>
      <c r="AF192" s="1">
        <v>0.12</v>
      </c>
      <c r="AG192" s="1">
        <v>0</v>
      </c>
      <c r="AH192" s="1">
        <v>0.12</v>
      </c>
      <c r="AI192" s="1">
        <v>0.14000000000000001</v>
      </c>
      <c r="AJ192" s="1">
        <v>0.26</v>
      </c>
      <c r="AK192" s="1">
        <v>0.41</v>
      </c>
      <c r="AL192" s="1">
        <v>0.14000000000000001</v>
      </c>
      <c r="AM192" s="1">
        <v>0.41</v>
      </c>
      <c r="AN192" t="s">
        <v>549</v>
      </c>
    </row>
    <row r="193" spans="1:40" x14ac:dyDescent="0.25">
      <c r="A193" t="s">
        <v>593</v>
      </c>
      <c r="B193" t="s">
        <v>57</v>
      </c>
      <c r="C193" s="4" t="s">
        <v>1744</v>
      </c>
      <c r="D193" t="s">
        <v>1745</v>
      </c>
      <c r="E193" t="s">
        <v>108</v>
      </c>
      <c r="F193" t="str">
        <f>LEFT(premier_player_23_24[[#This Row],[Position]],2)</f>
        <v>DF</v>
      </c>
      <c r="G193" s="3">
        <v>20</v>
      </c>
      <c r="H19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93" s="3">
        <v>23</v>
      </c>
      <c r="J193" s="3">
        <v>20</v>
      </c>
      <c r="K193" s="2">
        <v>1797</v>
      </c>
      <c r="L193" s="2" t="str">
        <f>IF(premier_player_23_24[[#This Row],[Minutes]]&gt;1000,"More than 1000 minutes","Less than 1000 minutes")</f>
        <v>More than 1000 minutes</v>
      </c>
      <c r="M193" s="2">
        <v>20</v>
      </c>
      <c r="N193" s="3">
        <v>1</v>
      </c>
      <c r="O193" s="3">
        <v>1</v>
      </c>
      <c r="P193" s="3">
        <v>2</v>
      </c>
      <c r="Q193" s="3">
        <v>1</v>
      </c>
      <c r="R193" s="3">
        <v>0</v>
      </c>
      <c r="S193" s="3">
        <v>0</v>
      </c>
      <c r="T193" s="2">
        <v>2</v>
      </c>
      <c r="U193" s="2">
        <v>0</v>
      </c>
      <c r="V193" s="2">
        <v>1.3</v>
      </c>
      <c r="W193" s="2">
        <f>premier_player_23_24[[#This Row],[Goals]]-premier_player_23_24[[#This Row],[Expected Goals ]]</f>
        <v>-0.30000000000000004</v>
      </c>
      <c r="X193" s="2">
        <v>1.3</v>
      </c>
      <c r="Y193" s="2">
        <v>1.2</v>
      </c>
      <c r="Z193" s="2">
        <v>2.5</v>
      </c>
      <c r="AA193" s="3">
        <v>23</v>
      </c>
      <c r="AB193" s="3">
        <v>73</v>
      </c>
      <c r="AC193" s="3">
        <v>27</v>
      </c>
      <c r="AD193" s="1">
        <v>0.05</v>
      </c>
      <c r="AE193" s="1">
        <v>0.05</v>
      </c>
      <c r="AF193" s="1">
        <v>0.1</v>
      </c>
      <c r="AG193" s="1">
        <v>0.05</v>
      </c>
      <c r="AH193" s="1">
        <v>0.1</v>
      </c>
      <c r="AI193" s="1">
        <v>0.06</v>
      </c>
      <c r="AJ193" s="1">
        <v>0.06</v>
      </c>
      <c r="AK193" s="1">
        <v>0.12</v>
      </c>
      <c r="AL193" s="1">
        <v>0.06</v>
      </c>
      <c r="AM193" s="1">
        <v>0.12</v>
      </c>
      <c r="AN193" t="s">
        <v>549</v>
      </c>
    </row>
    <row r="194" spans="1:40" x14ac:dyDescent="0.25">
      <c r="A194" t="s">
        <v>595</v>
      </c>
      <c r="B194" t="s">
        <v>35</v>
      </c>
      <c r="C194" s="4" t="s">
        <v>1764</v>
      </c>
      <c r="D194" t="s">
        <v>1765</v>
      </c>
      <c r="E194" t="s">
        <v>108</v>
      </c>
      <c r="F194" t="str">
        <f>LEFT(premier_player_23_24[[#This Row],[Position]],2)</f>
        <v>DF</v>
      </c>
      <c r="G194" s="3">
        <v>25</v>
      </c>
      <c r="H19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94" s="3">
        <v>21</v>
      </c>
      <c r="J194" s="3">
        <v>20</v>
      </c>
      <c r="K194" s="2">
        <v>1782</v>
      </c>
      <c r="L194" s="2" t="str">
        <f>IF(premier_player_23_24[[#This Row],[Minutes]]&gt;1000,"More than 1000 minutes","Less than 1000 minutes")</f>
        <v>More than 1000 minutes</v>
      </c>
      <c r="M194" s="2">
        <v>19.8</v>
      </c>
      <c r="N194" s="3">
        <v>0</v>
      </c>
      <c r="O194" s="3">
        <v>2</v>
      </c>
      <c r="P194" s="3">
        <v>2</v>
      </c>
      <c r="Q194" s="3">
        <v>0</v>
      </c>
      <c r="R194" s="3">
        <v>0</v>
      </c>
      <c r="S194" s="3">
        <v>0</v>
      </c>
      <c r="T194" s="2">
        <v>10</v>
      </c>
      <c r="U194" s="2">
        <v>0</v>
      </c>
      <c r="V194" s="2">
        <v>1.1000000000000001</v>
      </c>
      <c r="W194" s="2">
        <f>premier_player_23_24[[#This Row],[Goals]]-premier_player_23_24[[#This Row],[Expected Goals ]]</f>
        <v>-1.1000000000000001</v>
      </c>
      <c r="X194" s="2">
        <v>1.1000000000000001</v>
      </c>
      <c r="Y194" s="2">
        <v>1.1000000000000001</v>
      </c>
      <c r="Z194" s="2">
        <v>2.2000000000000002</v>
      </c>
      <c r="AA194" s="3">
        <v>31</v>
      </c>
      <c r="AB194" s="3">
        <v>50</v>
      </c>
      <c r="AC194" s="3">
        <v>73</v>
      </c>
      <c r="AD194" s="1">
        <v>0</v>
      </c>
      <c r="AE194" s="1">
        <v>0.1</v>
      </c>
      <c r="AF194" s="1">
        <v>0.1</v>
      </c>
      <c r="AG194" s="1">
        <v>0</v>
      </c>
      <c r="AH194" s="1">
        <v>0.1</v>
      </c>
      <c r="AI194" s="1">
        <v>0.06</v>
      </c>
      <c r="AJ194" s="1">
        <v>0.05</v>
      </c>
      <c r="AK194" s="1">
        <v>0.11</v>
      </c>
      <c r="AL194" s="1">
        <v>0.06</v>
      </c>
      <c r="AM194" s="1">
        <v>0.11</v>
      </c>
      <c r="AN194" t="s">
        <v>549</v>
      </c>
    </row>
    <row r="195" spans="1:40" x14ac:dyDescent="0.25">
      <c r="A195" t="s">
        <v>618</v>
      </c>
      <c r="B195" t="s">
        <v>57</v>
      </c>
      <c r="C195" s="4" t="s">
        <v>1744</v>
      </c>
      <c r="D195" t="s">
        <v>1745</v>
      </c>
      <c r="E195" t="s">
        <v>108</v>
      </c>
      <c r="F195" t="str">
        <f>LEFT(premier_player_23_24[[#This Row],[Position]],2)</f>
        <v>DF</v>
      </c>
      <c r="G195" s="3">
        <v>24</v>
      </c>
      <c r="H19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95" s="3">
        <v>13</v>
      </c>
      <c r="J195" s="3">
        <v>10</v>
      </c>
      <c r="K195" s="2">
        <v>952</v>
      </c>
      <c r="L195" s="2" t="str">
        <f>IF(premier_player_23_24[[#This Row],[Minutes]]&gt;1000,"More than 1000 minutes","Less than 1000 minutes")</f>
        <v>Less than 1000 minutes</v>
      </c>
      <c r="M195" s="2">
        <v>10.6</v>
      </c>
      <c r="N195" s="3">
        <v>1</v>
      </c>
      <c r="O195" s="3">
        <v>0</v>
      </c>
      <c r="P195" s="3">
        <v>1</v>
      </c>
      <c r="Q195" s="3">
        <v>1</v>
      </c>
      <c r="R195" s="3">
        <v>0</v>
      </c>
      <c r="S195" s="3">
        <v>0</v>
      </c>
      <c r="T195" s="2">
        <v>1</v>
      </c>
      <c r="U195" s="2">
        <v>0</v>
      </c>
      <c r="V195" s="2">
        <v>0.2</v>
      </c>
      <c r="W195" s="2">
        <f>premier_player_23_24[[#This Row],[Goals]]-premier_player_23_24[[#This Row],[Expected Goals ]]</f>
        <v>0.8</v>
      </c>
      <c r="X195" s="2">
        <v>0.2</v>
      </c>
      <c r="Y195" s="2">
        <v>0.1</v>
      </c>
      <c r="Z195" s="2">
        <v>0.3</v>
      </c>
      <c r="AA195" s="3">
        <v>5</v>
      </c>
      <c r="AB195" s="3">
        <v>31</v>
      </c>
      <c r="AC195" s="3">
        <v>9</v>
      </c>
      <c r="AD195" s="1">
        <v>0.09</v>
      </c>
      <c r="AE195" s="1">
        <v>0</v>
      </c>
      <c r="AF195" s="1">
        <v>0.09</v>
      </c>
      <c r="AG195" s="1">
        <v>0.09</v>
      </c>
      <c r="AH195" s="1">
        <v>0.09</v>
      </c>
      <c r="AI195" s="1">
        <v>0.02</v>
      </c>
      <c r="AJ195" s="1">
        <v>0.01</v>
      </c>
      <c r="AK195" s="1">
        <v>0.02</v>
      </c>
      <c r="AL195" s="1">
        <v>0.02</v>
      </c>
      <c r="AM195" s="1">
        <v>0.02</v>
      </c>
      <c r="AN195" t="s">
        <v>549</v>
      </c>
    </row>
    <row r="196" spans="1:40" x14ac:dyDescent="0.25">
      <c r="A196" t="s">
        <v>571</v>
      </c>
      <c r="B196" t="s">
        <v>376</v>
      </c>
      <c r="C196" s="4" t="s">
        <v>1762</v>
      </c>
      <c r="D196" t="s">
        <v>1763</v>
      </c>
      <c r="E196" t="s">
        <v>108</v>
      </c>
      <c r="F196" t="str">
        <f>LEFT(premier_player_23_24[[#This Row],[Position]],2)</f>
        <v>DF</v>
      </c>
      <c r="G196" s="3">
        <v>25</v>
      </c>
      <c r="H19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96" s="3">
        <v>31</v>
      </c>
      <c r="J196" s="3">
        <v>29</v>
      </c>
      <c r="K196" s="2">
        <v>2579</v>
      </c>
      <c r="L196" s="2" t="str">
        <f>IF(premier_player_23_24[[#This Row],[Minutes]]&gt;1000,"More than 1000 minutes","Less than 1000 minutes")</f>
        <v>More than 1000 minutes</v>
      </c>
      <c r="M196" s="2">
        <v>28.7</v>
      </c>
      <c r="N196" s="3">
        <v>2</v>
      </c>
      <c r="O196" s="3">
        <v>0</v>
      </c>
      <c r="P196" s="3">
        <v>2</v>
      </c>
      <c r="Q196" s="3">
        <v>2</v>
      </c>
      <c r="R196" s="3">
        <v>0</v>
      </c>
      <c r="S196" s="3">
        <v>0</v>
      </c>
      <c r="T196" s="2">
        <v>6</v>
      </c>
      <c r="U196" s="2">
        <v>0</v>
      </c>
      <c r="V196" s="2">
        <v>2.4</v>
      </c>
      <c r="W196" s="2">
        <f>premier_player_23_24[[#This Row],[Goals]]-premier_player_23_24[[#This Row],[Expected Goals ]]</f>
        <v>-0.39999999999999991</v>
      </c>
      <c r="X196" s="2">
        <v>2.4</v>
      </c>
      <c r="Y196" s="2">
        <v>0.3</v>
      </c>
      <c r="Z196" s="2">
        <v>2.7</v>
      </c>
      <c r="AA196" s="3">
        <v>30</v>
      </c>
      <c r="AB196" s="3">
        <v>112</v>
      </c>
      <c r="AC196" s="3">
        <v>21</v>
      </c>
      <c r="AD196" s="1">
        <v>7.0000000000000007E-2</v>
      </c>
      <c r="AE196" s="1">
        <v>0</v>
      </c>
      <c r="AF196" s="1">
        <v>7.0000000000000007E-2</v>
      </c>
      <c r="AG196" s="1">
        <v>7.0000000000000007E-2</v>
      </c>
      <c r="AH196" s="1">
        <v>7.0000000000000007E-2</v>
      </c>
      <c r="AI196" s="1">
        <v>0.08</v>
      </c>
      <c r="AJ196" s="1">
        <v>0.01</v>
      </c>
      <c r="AK196" s="1">
        <v>0.09</v>
      </c>
      <c r="AL196" s="1">
        <v>0.08</v>
      </c>
      <c r="AM196" s="1">
        <v>0.09</v>
      </c>
      <c r="AN196" t="s">
        <v>549</v>
      </c>
    </row>
    <row r="197" spans="1:40" x14ac:dyDescent="0.25">
      <c r="A197" t="s">
        <v>610</v>
      </c>
      <c r="B197" t="s">
        <v>376</v>
      </c>
      <c r="C197" s="4" t="s">
        <v>1762</v>
      </c>
      <c r="D197" t="s">
        <v>1763</v>
      </c>
      <c r="E197" t="s">
        <v>108</v>
      </c>
      <c r="F197" t="str">
        <f>LEFT(premier_player_23_24[[#This Row],[Position]],2)</f>
        <v>DF</v>
      </c>
      <c r="G197" s="3">
        <v>22</v>
      </c>
      <c r="H19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97" s="3">
        <v>18</v>
      </c>
      <c r="J197" s="3">
        <v>15</v>
      </c>
      <c r="K197" s="2">
        <v>1338</v>
      </c>
      <c r="L197" s="2" t="str">
        <f>IF(premier_player_23_24[[#This Row],[Minutes]]&gt;1000,"More than 1000 minutes","Less than 1000 minutes")</f>
        <v>More than 1000 minutes</v>
      </c>
      <c r="M197" s="2">
        <v>14.9</v>
      </c>
      <c r="N197" s="3">
        <v>0</v>
      </c>
      <c r="O197" s="3">
        <v>1</v>
      </c>
      <c r="P197" s="3">
        <v>1</v>
      </c>
      <c r="Q197" s="3">
        <v>0</v>
      </c>
      <c r="R197" s="3">
        <v>0</v>
      </c>
      <c r="S197" s="3">
        <v>0</v>
      </c>
      <c r="T197" s="2">
        <v>3</v>
      </c>
      <c r="U197" s="2">
        <v>0</v>
      </c>
      <c r="V197" s="2">
        <v>0.3</v>
      </c>
      <c r="W197" s="2">
        <f>premier_player_23_24[[#This Row],[Goals]]-premier_player_23_24[[#This Row],[Expected Goals ]]</f>
        <v>-0.3</v>
      </c>
      <c r="X197" s="2">
        <v>0.3</v>
      </c>
      <c r="Y197" s="2">
        <v>1.5</v>
      </c>
      <c r="Z197" s="2">
        <v>1.8</v>
      </c>
      <c r="AA197" s="3">
        <v>3</v>
      </c>
      <c r="AB197" s="3">
        <v>46</v>
      </c>
      <c r="AC197" s="3">
        <v>3</v>
      </c>
      <c r="AD197" s="1">
        <v>0</v>
      </c>
      <c r="AE197" s="1">
        <v>7.0000000000000007E-2</v>
      </c>
      <c r="AF197" s="1">
        <v>7.0000000000000007E-2</v>
      </c>
      <c r="AG197" s="1">
        <v>0</v>
      </c>
      <c r="AH197" s="1">
        <v>7.0000000000000007E-2</v>
      </c>
      <c r="AI197" s="1">
        <v>0.02</v>
      </c>
      <c r="AJ197" s="1">
        <v>0.1</v>
      </c>
      <c r="AK197" s="1">
        <v>0.12</v>
      </c>
      <c r="AL197" s="1">
        <v>0.02</v>
      </c>
      <c r="AM197" s="1">
        <v>0.12</v>
      </c>
      <c r="AN197" t="s">
        <v>549</v>
      </c>
    </row>
    <row r="198" spans="1:40" x14ac:dyDescent="0.25">
      <c r="A198" t="s">
        <v>584</v>
      </c>
      <c r="B198" t="s">
        <v>585</v>
      </c>
      <c r="C198" s="4" t="s">
        <v>1832</v>
      </c>
      <c r="D198" t="s">
        <v>1833</v>
      </c>
      <c r="E198" t="s">
        <v>77</v>
      </c>
      <c r="F198" t="str">
        <f>LEFT(premier_player_23_24[[#This Row],[Position]],2)</f>
        <v>GK</v>
      </c>
      <c r="G198" s="3">
        <v>23</v>
      </c>
      <c r="H19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198" s="3">
        <v>23</v>
      </c>
      <c r="J198" s="3">
        <v>22</v>
      </c>
      <c r="K198" s="2">
        <v>1987</v>
      </c>
      <c r="L198" s="2" t="str">
        <f>IF(premier_player_23_24[[#This Row],[Minutes]]&gt;1000,"More than 1000 minutes","Less than 1000 minutes")</f>
        <v>More than 1000 minutes</v>
      </c>
      <c r="M198" s="2">
        <v>22.1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2">
        <v>2</v>
      </c>
      <c r="U198" s="2">
        <v>0</v>
      </c>
      <c r="V198" s="2">
        <v>0</v>
      </c>
      <c r="W198" s="2">
        <f>premier_player_23_24[[#This Row],[Goals]]-premier_player_23_24[[#This Row],[Expected Goals ]]</f>
        <v>0</v>
      </c>
      <c r="X198" s="2">
        <v>0</v>
      </c>
      <c r="Y198" s="2">
        <v>0</v>
      </c>
      <c r="Z198" s="2">
        <v>0</v>
      </c>
      <c r="AA198" s="3">
        <v>0</v>
      </c>
      <c r="AB198" s="3">
        <v>1</v>
      </c>
      <c r="AC198" s="3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t="s">
        <v>549</v>
      </c>
    </row>
    <row r="199" spans="1:40" x14ac:dyDescent="0.25">
      <c r="A199" t="s">
        <v>608</v>
      </c>
      <c r="B199" t="s">
        <v>35</v>
      </c>
      <c r="C199" s="4" t="s">
        <v>1764</v>
      </c>
      <c r="D199" t="s">
        <v>1765</v>
      </c>
      <c r="E199" t="s">
        <v>77</v>
      </c>
      <c r="F199" t="str">
        <f>LEFT(premier_player_23_24[[#This Row],[Position]],2)</f>
        <v>GK</v>
      </c>
      <c r="G199" s="3">
        <v>25</v>
      </c>
      <c r="H19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199" s="3">
        <v>16</v>
      </c>
      <c r="J199" s="3">
        <v>16</v>
      </c>
      <c r="K199" s="2">
        <v>1433</v>
      </c>
      <c r="L199" s="2" t="str">
        <f>IF(premier_player_23_24[[#This Row],[Minutes]]&gt;1000,"More than 1000 minutes","Less than 1000 minutes")</f>
        <v>More than 1000 minutes</v>
      </c>
      <c r="M199" s="2">
        <v>15.9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2">
        <v>2</v>
      </c>
      <c r="U199" s="2">
        <v>0</v>
      </c>
      <c r="V199" s="2">
        <v>0</v>
      </c>
      <c r="W199" s="2">
        <f>premier_player_23_24[[#This Row],[Goals]]-premier_player_23_24[[#This Row],[Expected Goals ]]</f>
        <v>0</v>
      </c>
      <c r="X199" s="2">
        <v>0</v>
      </c>
      <c r="Y199" s="2">
        <v>0</v>
      </c>
      <c r="Z199" s="2">
        <v>0</v>
      </c>
      <c r="AA199" s="3">
        <v>0</v>
      </c>
      <c r="AB199" s="3">
        <v>1</v>
      </c>
      <c r="AC199" s="3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t="s">
        <v>549</v>
      </c>
    </row>
    <row r="200" spans="1:40" x14ac:dyDescent="0.25">
      <c r="A200" t="s">
        <v>630</v>
      </c>
      <c r="B200" t="s">
        <v>376</v>
      </c>
      <c r="C200" s="4" t="s">
        <v>1762</v>
      </c>
      <c r="D200" t="s">
        <v>1763</v>
      </c>
      <c r="E200" t="s">
        <v>36</v>
      </c>
      <c r="F200" t="str">
        <f>LEFT(premier_player_23_24[[#This Row],[Position]],2)</f>
        <v>MF</v>
      </c>
      <c r="G200" s="3">
        <v>19</v>
      </c>
      <c r="H20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00" s="3">
        <v>12</v>
      </c>
      <c r="J200" s="3">
        <v>3</v>
      </c>
      <c r="K200" s="2">
        <v>301</v>
      </c>
      <c r="L200" s="2" t="str">
        <f>IF(premier_player_23_24[[#This Row],[Minutes]]&gt;1000,"More than 1000 minutes","Less than 1000 minutes")</f>
        <v>Less than 1000 minutes</v>
      </c>
      <c r="M200" s="2">
        <v>3.3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2">
        <v>2</v>
      </c>
      <c r="U200" s="2">
        <v>0</v>
      </c>
      <c r="V200" s="2">
        <v>0</v>
      </c>
      <c r="W200" s="2">
        <f>premier_player_23_24[[#This Row],[Goals]]-premier_player_23_24[[#This Row],[Expected Goals ]]</f>
        <v>0</v>
      </c>
      <c r="X200" s="2">
        <v>0</v>
      </c>
      <c r="Y200" s="2">
        <v>0.1</v>
      </c>
      <c r="Z200" s="2">
        <v>0.1</v>
      </c>
      <c r="AA200" s="3">
        <v>8</v>
      </c>
      <c r="AB200" s="3">
        <v>17</v>
      </c>
      <c r="AC200" s="3">
        <v>3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0.03</v>
      </c>
      <c r="AK200" s="1">
        <v>0.03</v>
      </c>
      <c r="AL200" s="1">
        <v>0</v>
      </c>
      <c r="AM200" s="1">
        <v>0.03</v>
      </c>
      <c r="AN200" t="s">
        <v>549</v>
      </c>
    </row>
    <row r="201" spans="1:40" x14ac:dyDescent="0.25">
      <c r="A201" t="s">
        <v>639</v>
      </c>
      <c r="B201" t="s">
        <v>196</v>
      </c>
      <c r="C201" s="4" t="s">
        <v>1768</v>
      </c>
      <c r="D201" t="s">
        <v>1769</v>
      </c>
      <c r="E201" t="s">
        <v>58</v>
      </c>
      <c r="F201" t="str">
        <f>LEFT(premier_player_23_24[[#This Row],[Position]],2)</f>
        <v>FW</v>
      </c>
      <c r="G201" s="3">
        <v>21</v>
      </c>
      <c r="H20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01" s="3">
        <v>12</v>
      </c>
      <c r="J201" s="3">
        <v>1</v>
      </c>
      <c r="K201" s="2">
        <v>209</v>
      </c>
      <c r="L201" s="2" t="str">
        <f>IF(premier_player_23_24[[#This Row],[Minutes]]&gt;1000,"More than 1000 minutes","Less than 1000 minutes")</f>
        <v>Less than 1000 minutes</v>
      </c>
      <c r="M201" s="2">
        <v>2.2999999999999998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2">
        <v>1</v>
      </c>
      <c r="U201" s="2">
        <v>0</v>
      </c>
      <c r="V201" s="2">
        <v>0.8</v>
      </c>
      <c r="W201" s="2">
        <f>premier_player_23_24[[#This Row],[Goals]]-premier_player_23_24[[#This Row],[Expected Goals ]]</f>
        <v>-0.8</v>
      </c>
      <c r="X201" s="2">
        <v>0.8</v>
      </c>
      <c r="Y201" s="2">
        <v>0.1</v>
      </c>
      <c r="Z201" s="2">
        <v>0.9</v>
      </c>
      <c r="AA201" s="3">
        <v>9</v>
      </c>
      <c r="AB201" s="3">
        <v>8</v>
      </c>
      <c r="AC201" s="3">
        <v>15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0.35</v>
      </c>
      <c r="AJ201" s="1">
        <v>0.04</v>
      </c>
      <c r="AK201" s="1">
        <v>0.39</v>
      </c>
      <c r="AL201" s="1">
        <v>0.35</v>
      </c>
      <c r="AM201" s="1">
        <v>0.39</v>
      </c>
      <c r="AN201" t="s">
        <v>549</v>
      </c>
    </row>
    <row r="202" spans="1:40" x14ac:dyDescent="0.25">
      <c r="A202" t="s">
        <v>640</v>
      </c>
      <c r="B202" t="s">
        <v>519</v>
      </c>
      <c r="C202" s="4" t="s">
        <v>1758</v>
      </c>
      <c r="D202" t="s">
        <v>1759</v>
      </c>
      <c r="E202" t="s">
        <v>58</v>
      </c>
      <c r="F202" t="str">
        <f>LEFT(premier_player_23_24[[#This Row],[Position]],2)</f>
        <v>FW</v>
      </c>
      <c r="G202" s="3">
        <v>20</v>
      </c>
      <c r="H20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02" s="3">
        <v>11</v>
      </c>
      <c r="J202" s="3">
        <v>0</v>
      </c>
      <c r="K202" s="2">
        <v>79</v>
      </c>
      <c r="L202" s="2" t="str">
        <f>IF(premier_player_23_24[[#This Row],[Minutes]]&gt;1000,"More than 1000 minutes","Less than 1000 minutes")</f>
        <v>Less than 1000 minutes</v>
      </c>
      <c r="M202" s="2">
        <v>0.9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2">
        <v>0</v>
      </c>
      <c r="U202" s="2">
        <v>0</v>
      </c>
      <c r="V202" s="2">
        <v>0</v>
      </c>
      <c r="W202" s="2">
        <f>premier_player_23_24[[#This Row],[Goals]]-premier_player_23_24[[#This Row],[Expected Goals ]]</f>
        <v>0</v>
      </c>
      <c r="X202" s="2">
        <v>0</v>
      </c>
      <c r="Y202" s="2">
        <v>0.1</v>
      </c>
      <c r="Z202" s="2">
        <v>0.1</v>
      </c>
      <c r="AA202" s="3">
        <v>1</v>
      </c>
      <c r="AB202" s="3">
        <v>3</v>
      </c>
      <c r="AC202" s="3">
        <v>3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0.12</v>
      </c>
      <c r="AK202" s="1">
        <v>0.12</v>
      </c>
      <c r="AL202" s="1">
        <v>0</v>
      </c>
      <c r="AM202" s="1">
        <v>0.12</v>
      </c>
      <c r="AN202" t="s">
        <v>549</v>
      </c>
    </row>
    <row r="203" spans="1:40" x14ac:dyDescent="0.25">
      <c r="A203" t="s">
        <v>642</v>
      </c>
      <c r="B203" t="s">
        <v>207</v>
      </c>
      <c r="C203" s="4" t="s">
        <v>1746</v>
      </c>
      <c r="D203" t="s">
        <v>1747</v>
      </c>
      <c r="E203" t="s">
        <v>36</v>
      </c>
      <c r="F203" t="str">
        <f>LEFT(premier_player_23_24[[#This Row],[Position]],2)</f>
        <v>MF</v>
      </c>
      <c r="G203" s="3">
        <v>19</v>
      </c>
      <c r="H20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03" s="3">
        <v>1</v>
      </c>
      <c r="J203" s="3">
        <v>0</v>
      </c>
      <c r="K203" s="2">
        <v>33</v>
      </c>
      <c r="L203" s="2" t="str">
        <f>IF(premier_player_23_24[[#This Row],[Minutes]]&gt;1000,"More than 1000 minutes","Less than 1000 minutes")</f>
        <v>Less than 1000 minutes</v>
      </c>
      <c r="M203" s="2">
        <v>0.4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2">
        <v>0</v>
      </c>
      <c r="U203" s="2">
        <v>0</v>
      </c>
      <c r="V203" s="2">
        <v>0</v>
      </c>
      <c r="W203" s="2">
        <f>premier_player_23_24[[#This Row],[Goals]]-premier_player_23_24[[#This Row],[Expected Goals ]]</f>
        <v>0</v>
      </c>
      <c r="X203" s="2">
        <v>0</v>
      </c>
      <c r="Y203" s="2">
        <v>0</v>
      </c>
      <c r="Z203" s="2">
        <v>0</v>
      </c>
      <c r="AA203" s="3">
        <v>0</v>
      </c>
      <c r="AB203" s="3">
        <v>1</v>
      </c>
      <c r="AC203" s="3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t="s">
        <v>549</v>
      </c>
    </row>
    <row r="204" spans="1:40" x14ac:dyDescent="0.25">
      <c r="A204" t="s">
        <v>643</v>
      </c>
      <c r="B204" t="s">
        <v>76</v>
      </c>
      <c r="C204" s="4" t="s">
        <v>1750</v>
      </c>
      <c r="D204" t="s">
        <v>1751</v>
      </c>
      <c r="E204" t="s">
        <v>644</v>
      </c>
      <c r="F204" t="str">
        <f>LEFT(premier_player_23_24[[#This Row],[Position]],2)</f>
        <v>DF</v>
      </c>
      <c r="G204" s="3">
        <v>18</v>
      </c>
      <c r="H20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04" s="3">
        <v>2</v>
      </c>
      <c r="J204" s="3">
        <v>0</v>
      </c>
      <c r="K204" s="2">
        <v>13</v>
      </c>
      <c r="L204" s="2" t="str">
        <f>IF(premier_player_23_24[[#This Row],[Minutes]]&gt;1000,"More than 1000 minutes","Less than 1000 minutes")</f>
        <v>Less than 1000 minutes</v>
      </c>
      <c r="M204" s="2">
        <v>0.1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2">
        <v>0</v>
      </c>
      <c r="U204" s="2">
        <v>0</v>
      </c>
      <c r="V204" s="2">
        <v>0.5</v>
      </c>
      <c r="W204" s="2">
        <f>premier_player_23_24[[#This Row],[Goals]]-premier_player_23_24[[#This Row],[Expected Goals ]]</f>
        <v>-0.5</v>
      </c>
      <c r="X204" s="2">
        <v>0.5</v>
      </c>
      <c r="Y204" s="2">
        <v>0</v>
      </c>
      <c r="Z204" s="2">
        <v>0.5</v>
      </c>
      <c r="AA204" s="3">
        <v>0</v>
      </c>
      <c r="AB204" s="3">
        <v>0</v>
      </c>
      <c r="AC204" s="3">
        <v>1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3.23</v>
      </c>
      <c r="AJ204" s="1">
        <v>0</v>
      </c>
      <c r="AK204" s="1">
        <v>3.23</v>
      </c>
      <c r="AL204" s="1">
        <v>3.23</v>
      </c>
      <c r="AM204" s="1">
        <v>3.23</v>
      </c>
      <c r="AN204" t="s">
        <v>549</v>
      </c>
    </row>
    <row r="205" spans="1:40" x14ac:dyDescent="0.25">
      <c r="A205" t="s">
        <v>646</v>
      </c>
      <c r="B205" t="s">
        <v>57</v>
      </c>
      <c r="C205" s="4" t="s">
        <v>1744</v>
      </c>
      <c r="D205" t="s">
        <v>1745</v>
      </c>
      <c r="E205" t="s">
        <v>137</v>
      </c>
      <c r="F205" t="str">
        <f>LEFT(premier_player_23_24[[#This Row],[Position]],2)</f>
        <v>FW</v>
      </c>
      <c r="G205" s="3">
        <v>19</v>
      </c>
      <c r="H20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05" s="3">
        <v>2</v>
      </c>
      <c r="J205" s="3">
        <v>0</v>
      </c>
      <c r="K205" s="2">
        <v>9</v>
      </c>
      <c r="L205" s="2" t="str">
        <f>IF(premier_player_23_24[[#This Row],[Minutes]]&gt;1000,"More than 1000 minutes","Less than 1000 minutes")</f>
        <v>Less than 1000 minutes</v>
      </c>
      <c r="M205" s="2">
        <v>0.1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2">
        <v>0</v>
      </c>
      <c r="U205" s="2">
        <v>0</v>
      </c>
      <c r="V205" s="2">
        <v>0</v>
      </c>
      <c r="W205" s="2">
        <f>premier_player_23_24[[#This Row],[Goals]]-premier_player_23_24[[#This Row],[Expected Goals ]]</f>
        <v>0</v>
      </c>
      <c r="X205" s="2">
        <v>0</v>
      </c>
      <c r="Y205" s="2">
        <v>0</v>
      </c>
      <c r="Z205" s="2">
        <v>0</v>
      </c>
      <c r="AA205" s="3">
        <v>0</v>
      </c>
      <c r="AB205" s="3">
        <v>0</v>
      </c>
      <c r="AC205" s="3">
        <v>1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t="s">
        <v>549</v>
      </c>
    </row>
    <row r="206" spans="1:40" x14ac:dyDescent="0.25">
      <c r="A206" t="s">
        <v>647</v>
      </c>
      <c r="B206" t="s">
        <v>57</v>
      </c>
      <c r="C206" s="4" t="s">
        <v>1744</v>
      </c>
      <c r="D206" t="s">
        <v>1745</v>
      </c>
      <c r="E206" t="s">
        <v>108</v>
      </c>
      <c r="F206" t="str">
        <f>LEFT(premier_player_23_24[[#This Row],[Position]],2)</f>
        <v>DF</v>
      </c>
      <c r="G206" s="3">
        <v>17</v>
      </c>
      <c r="H20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06" s="3">
        <v>1</v>
      </c>
      <c r="J206" s="3">
        <v>0</v>
      </c>
      <c r="K206" s="2">
        <v>6</v>
      </c>
      <c r="L206" s="2" t="str">
        <f>IF(premier_player_23_24[[#This Row],[Minutes]]&gt;1000,"More than 1000 minutes","Less than 1000 minutes")</f>
        <v>Less than 1000 minutes</v>
      </c>
      <c r="M206" s="2">
        <v>0.1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2">
        <v>0</v>
      </c>
      <c r="U206" s="2">
        <v>0</v>
      </c>
      <c r="V206" s="2">
        <v>0</v>
      </c>
      <c r="W206" s="2">
        <f>premier_player_23_24[[#This Row],[Goals]]-premier_player_23_24[[#This Row],[Expected Goals ]]</f>
        <v>0</v>
      </c>
      <c r="X206" s="2">
        <v>0</v>
      </c>
      <c r="Y206" s="2">
        <v>0</v>
      </c>
      <c r="Z206" s="2">
        <v>0</v>
      </c>
      <c r="AA206" s="3">
        <v>0</v>
      </c>
      <c r="AB206" s="3">
        <v>0</v>
      </c>
      <c r="AC206" s="3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t="s">
        <v>549</v>
      </c>
    </row>
    <row r="207" spans="1:40" x14ac:dyDescent="0.25">
      <c r="A207" t="s">
        <v>648</v>
      </c>
      <c r="B207" t="s">
        <v>57</v>
      </c>
      <c r="C207" s="4" t="s">
        <v>1744</v>
      </c>
      <c r="D207" t="s">
        <v>1745</v>
      </c>
      <c r="E207" t="s">
        <v>36</v>
      </c>
      <c r="F207" t="str">
        <f>LEFT(premier_player_23_24[[#This Row],[Position]],2)</f>
        <v>MF</v>
      </c>
      <c r="G207" s="3">
        <v>18</v>
      </c>
      <c r="H20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07" s="3">
        <v>1</v>
      </c>
      <c r="J207" s="3">
        <v>0</v>
      </c>
      <c r="K207" s="2">
        <v>1</v>
      </c>
      <c r="L207" s="2" t="str">
        <f>IF(premier_player_23_24[[#This Row],[Minutes]]&gt;1000,"More than 1000 minutes","Less than 1000 minutes")</f>
        <v>Less than 1000 minutes</v>
      </c>
      <c r="M207" s="2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2">
        <v>0</v>
      </c>
      <c r="U207" s="2">
        <v>0</v>
      </c>
      <c r="V207" s="2">
        <v>0</v>
      </c>
      <c r="W207" s="2">
        <f>premier_player_23_24[[#This Row],[Goals]]-premier_player_23_24[[#This Row],[Expected Goals ]]</f>
        <v>0</v>
      </c>
      <c r="X207" s="2">
        <v>0</v>
      </c>
      <c r="Y207" s="2">
        <v>0</v>
      </c>
      <c r="Z207" s="2">
        <v>0</v>
      </c>
      <c r="AA207" s="3">
        <v>0</v>
      </c>
      <c r="AB207" s="3">
        <v>0</v>
      </c>
      <c r="AC207" s="3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t="s">
        <v>549</v>
      </c>
    </row>
    <row r="208" spans="1:40" x14ac:dyDescent="0.25">
      <c r="A208" t="s">
        <v>649</v>
      </c>
      <c r="B208" t="s">
        <v>57</v>
      </c>
      <c r="C208" s="4" t="s">
        <v>1744</v>
      </c>
      <c r="D208" t="s">
        <v>1745</v>
      </c>
      <c r="E208" t="s">
        <v>137</v>
      </c>
      <c r="F208" t="str">
        <f>LEFT(premier_player_23_24[[#This Row],[Position]],2)</f>
        <v>FW</v>
      </c>
      <c r="G208" s="3">
        <v>19</v>
      </c>
      <c r="H20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08" s="3">
        <v>1</v>
      </c>
      <c r="J208" s="3">
        <v>0</v>
      </c>
      <c r="K208" s="2">
        <v>1</v>
      </c>
      <c r="L208" s="2" t="str">
        <f>IF(premier_player_23_24[[#This Row],[Minutes]]&gt;1000,"More than 1000 minutes","Less than 1000 minutes")</f>
        <v>Less than 1000 minutes</v>
      </c>
      <c r="M208" s="2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2">
        <v>0</v>
      </c>
      <c r="U208" s="2">
        <v>0</v>
      </c>
      <c r="V208" s="2">
        <v>0</v>
      </c>
      <c r="W208" s="2">
        <f>premier_player_23_24[[#This Row],[Goals]]-premier_player_23_24[[#This Row],[Expected Goals ]]</f>
        <v>0</v>
      </c>
      <c r="X208" s="2">
        <v>0</v>
      </c>
      <c r="Y208" s="2">
        <v>0</v>
      </c>
      <c r="Z208" s="2">
        <v>0</v>
      </c>
      <c r="AA208" s="3">
        <v>0</v>
      </c>
      <c r="AB208" s="3">
        <v>0</v>
      </c>
      <c r="AC208" s="3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t="s">
        <v>549</v>
      </c>
    </row>
    <row r="209" spans="1:40" x14ac:dyDescent="0.25">
      <c r="A209" t="s">
        <v>1097</v>
      </c>
      <c r="B209" t="s">
        <v>376</v>
      </c>
      <c r="C209" s="4" t="s">
        <v>1762</v>
      </c>
      <c r="D209" t="s">
        <v>1763</v>
      </c>
      <c r="E209" t="s">
        <v>58</v>
      </c>
      <c r="F209" t="str">
        <f>LEFT(premier_player_23_24[[#This Row],[Position]],2)</f>
        <v>FW</v>
      </c>
      <c r="G209" s="3">
        <v>21</v>
      </c>
      <c r="H20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09" s="3">
        <v>19</v>
      </c>
      <c r="J209" s="3">
        <v>14</v>
      </c>
      <c r="K209" s="2">
        <v>1275</v>
      </c>
      <c r="L209" s="2" t="str">
        <f>IF(premier_player_23_24[[#This Row],[Minutes]]&gt;1000,"More than 1000 minutes","Less than 1000 minutes")</f>
        <v>More than 1000 minutes</v>
      </c>
      <c r="M209" s="2">
        <v>14.2</v>
      </c>
      <c r="N209" s="3">
        <v>10</v>
      </c>
      <c r="O209" s="3">
        <v>6</v>
      </c>
      <c r="P209" s="3">
        <v>16</v>
      </c>
      <c r="Q209" s="3">
        <v>9</v>
      </c>
      <c r="R209" s="3">
        <v>1</v>
      </c>
      <c r="S209" s="3">
        <v>1</v>
      </c>
      <c r="T209" s="2">
        <v>0</v>
      </c>
      <c r="U209" s="2">
        <v>0</v>
      </c>
      <c r="V209" s="2">
        <v>5.5</v>
      </c>
      <c r="W209" s="2">
        <f>premier_player_23_24[[#This Row],[Goals]]-premier_player_23_24[[#This Row],[Expected Goals ]]</f>
        <v>4.5</v>
      </c>
      <c r="X209" s="2">
        <v>4.7</v>
      </c>
      <c r="Y209" s="2">
        <v>5.8</v>
      </c>
      <c r="Z209" s="2">
        <v>10.5</v>
      </c>
      <c r="AA209" s="3">
        <v>68</v>
      </c>
      <c r="AB209" s="3">
        <v>78</v>
      </c>
      <c r="AC209" s="3">
        <v>134</v>
      </c>
      <c r="AD209" s="1">
        <v>0.71</v>
      </c>
      <c r="AE209" s="1">
        <v>0.42</v>
      </c>
      <c r="AF209" s="1">
        <v>1.1299999999999999</v>
      </c>
      <c r="AG209" s="1">
        <v>0.64</v>
      </c>
      <c r="AH209" s="1">
        <v>1.06</v>
      </c>
      <c r="AI209" s="1">
        <v>0.39</v>
      </c>
      <c r="AJ209" s="1">
        <v>0.41</v>
      </c>
      <c r="AK209" s="1">
        <v>0.8</v>
      </c>
      <c r="AL209" s="1">
        <v>0.33</v>
      </c>
      <c r="AM209" s="1">
        <v>0.74</v>
      </c>
      <c r="AN209" t="s">
        <v>1052</v>
      </c>
    </row>
    <row r="210" spans="1:40" x14ac:dyDescent="0.25">
      <c r="A210" t="s">
        <v>1063</v>
      </c>
      <c r="B210" t="s">
        <v>376</v>
      </c>
      <c r="C210" s="4" t="s">
        <v>1762</v>
      </c>
      <c r="D210" t="s">
        <v>1763</v>
      </c>
      <c r="E210" t="s">
        <v>137</v>
      </c>
      <c r="F210" t="str">
        <f>LEFT(premier_player_23_24[[#This Row],[Position]],2)</f>
        <v>FW</v>
      </c>
      <c r="G210" s="3">
        <v>26</v>
      </c>
      <c r="H21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10" s="3">
        <v>35</v>
      </c>
      <c r="J210" s="3">
        <v>25</v>
      </c>
      <c r="K210" s="2">
        <v>2282</v>
      </c>
      <c r="L210" s="2" t="str">
        <f>IF(premier_player_23_24[[#This Row],[Minutes]]&gt;1000,"More than 1000 minutes","Less than 1000 minutes")</f>
        <v>More than 1000 minutes</v>
      </c>
      <c r="M210" s="2">
        <v>25.4</v>
      </c>
      <c r="N210" s="3">
        <v>16</v>
      </c>
      <c r="O210" s="3">
        <v>5</v>
      </c>
      <c r="P210" s="3">
        <v>21</v>
      </c>
      <c r="Q210" s="3">
        <v>14</v>
      </c>
      <c r="R210" s="3">
        <v>2</v>
      </c>
      <c r="S210" s="3">
        <v>2</v>
      </c>
      <c r="T210" s="2">
        <v>3</v>
      </c>
      <c r="U210" s="2">
        <v>0</v>
      </c>
      <c r="V210" s="2">
        <v>10.9</v>
      </c>
      <c r="W210" s="2">
        <f>premier_player_23_24[[#This Row],[Goals]]-premier_player_23_24[[#This Row],[Expected Goals ]]</f>
        <v>5.0999999999999996</v>
      </c>
      <c r="X210" s="2">
        <v>9.4</v>
      </c>
      <c r="Y210" s="2">
        <v>3.1</v>
      </c>
      <c r="Z210" s="2">
        <v>12.5</v>
      </c>
      <c r="AA210" s="3">
        <v>29</v>
      </c>
      <c r="AB210" s="3">
        <v>25</v>
      </c>
      <c r="AC210" s="3">
        <v>135</v>
      </c>
      <c r="AD210" s="1">
        <v>0.63</v>
      </c>
      <c r="AE210" s="1">
        <v>0.2</v>
      </c>
      <c r="AF210" s="1">
        <v>0.83</v>
      </c>
      <c r="AG210" s="1">
        <v>0.55000000000000004</v>
      </c>
      <c r="AH210" s="1">
        <v>0.75</v>
      </c>
      <c r="AI210" s="1">
        <v>0.43</v>
      </c>
      <c r="AJ210" s="1">
        <v>0.12</v>
      </c>
      <c r="AK210" s="1">
        <v>0.56000000000000005</v>
      </c>
      <c r="AL210" s="1">
        <v>0.37</v>
      </c>
      <c r="AM210" s="1">
        <v>0.49</v>
      </c>
      <c r="AN210" t="s">
        <v>1052</v>
      </c>
    </row>
    <row r="211" spans="1:40" x14ac:dyDescent="0.25">
      <c r="A211" t="s">
        <v>1067</v>
      </c>
      <c r="B211" t="s">
        <v>57</v>
      </c>
      <c r="C211" s="4" t="s">
        <v>1744</v>
      </c>
      <c r="D211" t="s">
        <v>1745</v>
      </c>
      <c r="E211" t="s">
        <v>86</v>
      </c>
      <c r="F211" t="str">
        <f>LEFT(premier_player_23_24[[#This Row],[Position]],2)</f>
        <v>MF</v>
      </c>
      <c r="G211" s="3">
        <v>25</v>
      </c>
      <c r="H21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11" s="3">
        <v>27</v>
      </c>
      <c r="J211" s="3">
        <v>24</v>
      </c>
      <c r="K211" s="2">
        <v>2055</v>
      </c>
      <c r="L211" s="2" t="str">
        <f>IF(premier_player_23_24[[#This Row],[Minutes]]&gt;1000,"More than 1000 minutes","Less than 1000 minutes")</f>
        <v>More than 1000 minutes</v>
      </c>
      <c r="M211" s="2">
        <v>22.8</v>
      </c>
      <c r="N211" s="3">
        <v>11</v>
      </c>
      <c r="O211" s="3">
        <v>4</v>
      </c>
      <c r="P211" s="3">
        <v>15</v>
      </c>
      <c r="Q211" s="3">
        <v>10</v>
      </c>
      <c r="R211" s="3">
        <v>1</v>
      </c>
      <c r="S211" s="3">
        <v>1</v>
      </c>
      <c r="T211" s="2">
        <v>3</v>
      </c>
      <c r="U211" s="2">
        <v>0</v>
      </c>
      <c r="V211" s="2">
        <v>9.1</v>
      </c>
      <c r="W211" s="2">
        <f>premier_player_23_24[[#This Row],[Goals]]-premier_player_23_24[[#This Row],[Expected Goals ]]</f>
        <v>1.9000000000000004</v>
      </c>
      <c r="X211" s="2">
        <v>8.3000000000000007</v>
      </c>
      <c r="Y211" s="2">
        <v>5.2</v>
      </c>
      <c r="Z211" s="2">
        <v>13.5</v>
      </c>
      <c r="AA211" s="3">
        <v>68</v>
      </c>
      <c r="AB211" s="3">
        <v>93</v>
      </c>
      <c r="AC211" s="3">
        <v>139</v>
      </c>
      <c r="AD211" s="1">
        <v>0.48</v>
      </c>
      <c r="AE211" s="1">
        <v>0.18</v>
      </c>
      <c r="AF211" s="1">
        <v>0.66</v>
      </c>
      <c r="AG211" s="1">
        <v>0.44</v>
      </c>
      <c r="AH211" s="1">
        <v>0.61</v>
      </c>
      <c r="AI211" s="1">
        <v>0.4</v>
      </c>
      <c r="AJ211" s="1">
        <v>0.23</v>
      </c>
      <c r="AK211" s="1">
        <v>0.62</v>
      </c>
      <c r="AL211" s="1">
        <v>0.36</v>
      </c>
      <c r="AM211" s="1">
        <v>0.59</v>
      </c>
      <c r="AN211" t="s">
        <v>1052</v>
      </c>
    </row>
    <row r="212" spans="1:40" x14ac:dyDescent="0.25">
      <c r="A212" t="s">
        <v>1087</v>
      </c>
      <c r="B212" t="s">
        <v>376</v>
      </c>
      <c r="C212" s="4" t="s">
        <v>1762</v>
      </c>
      <c r="D212" t="s">
        <v>1763</v>
      </c>
      <c r="E212" t="s">
        <v>58</v>
      </c>
      <c r="F212" t="str">
        <f>LEFT(premier_player_23_24[[#This Row],[Position]],2)</f>
        <v>FW</v>
      </c>
      <c r="G212" s="3">
        <v>25</v>
      </c>
      <c r="H21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12" s="3">
        <v>30</v>
      </c>
      <c r="J212" s="3">
        <v>17</v>
      </c>
      <c r="K212" s="2">
        <v>1555</v>
      </c>
      <c r="L212" s="2" t="str">
        <f>IF(premier_player_23_24[[#This Row],[Minutes]]&gt;1000,"More than 1000 minutes","Less than 1000 minutes")</f>
        <v>More than 1000 minutes</v>
      </c>
      <c r="M212" s="2">
        <v>17.3</v>
      </c>
      <c r="N212" s="3">
        <v>7</v>
      </c>
      <c r="O212" s="3">
        <v>0</v>
      </c>
      <c r="P212" s="3">
        <v>7</v>
      </c>
      <c r="Q212" s="3">
        <v>7</v>
      </c>
      <c r="R212" s="3">
        <v>0</v>
      </c>
      <c r="S212" s="3">
        <v>0</v>
      </c>
      <c r="T212" s="2">
        <v>4</v>
      </c>
      <c r="U212" s="2">
        <v>0</v>
      </c>
      <c r="V212" s="2">
        <v>6.2</v>
      </c>
      <c r="W212" s="2">
        <f>premier_player_23_24[[#This Row],[Goals]]-premier_player_23_24[[#This Row],[Expected Goals ]]</f>
        <v>0.79999999999999982</v>
      </c>
      <c r="X212" s="2">
        <v>6.2</v>
      </c>
      <c r="Y212" s="2">
        <v>1.2</v>
      </c>
      <c r="Z212" s="2">
        <v>7.4</v>
      </c>
      <c r="AA212" s="3">
        <v>33</v>
      </c>
      <c r="AB212" s="3">
        <v>36</v>
      </c>
      <c r="AC212" s="3">
        <v>100</v>
      </c>
      <c r="AD212" s="1">
        <v>0.41</v>
      </c>
      <c r="AE212" s="1">
        <v>0</v>
      </c>
      <c r="AF212" s="1">
        <v>0.41</v>
      </c>
      <c r="AG212" s="1">
        <v>0.41</v>
      </c>
      <c r="AH212" s="1">
        <v>0.41</v>
      </c>
      <c r="AI212" s="1">
        <v>0.36</v>
      </c>
      <c r="AJ212" s="1">
        <v>7.0000000000000007E-2</v>
      </c>
      <c r="AK212" s="1">
        <v>0.43</v>
      </c>
      <c r="AL212" s="1">
        <v>0.36</v>
      </c>
      <c r="AM212" s="1">
        <v>0.43</v>
      </c>
      <c r="AN212" t="s">
        <v>1052</v>
      </c>
    </row>
    <row r="213" spans="1:40" x14ac:dyDescent="0.25">
      <c r="A213" t="s">
        <v>1057</v>
      </c>
      <c r="B213" t="s">
        <v>523</v>
      </c>
      <c r="C213" s="4" t="s">
        <v>1766</v>
      </c>
      <c r="D213" t="s">
        <v>1767</v>
      </c>
      <c r="E213" t="s">
        <v>58</v>
      </c>
      <c r="F213" t="str">
        <f>LEFT(premier_player_23_24[[#This Row],[Position]],2)</f>
        <v>FW</v>
      </c>
      <c r="G213" s="3">
        <v>31</v>
      </c>
      <c r="H21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13" s="3">
        <v>35</v>
      </c>
      <c r="J213" s="3">
        <v>30</v>
      </c>
      <c r="K213" s="2">
        <v>2543</v>
      </c>
      <c r="L213" s="2" t="str">
        <f>IF(premier_player_23_24[[#This Row],[Minutes]]&gt;1000,"More than 1000 minutes","Less than 1000 minutes")</f>
        <v>More than 1000 minutes</v>
      </c>
      <c r="M213" s="2">
        <v>28.3</v>
      </c>
      <c r="N213" s="3">
        <v>4</v>
      </c>
      <c r="O213" s="3">
        <v>7</v>
      </c>
      <c r="P213" s="3">
        <v>11</v>
      </c>
      <c r="Q213" s="3">
        <v>4</v>
      </c>
      <c r="R213" s="3">
        <v>0</v>
      </c>
      <c r="S213" s="3">
        <v>0</v>
      </c>
      <c r="T213" s="2">
        <v>9</v>
      </c>
      <c r="U213" s="2">
        <v>1</v>
      </c>
      <c r="V213" s="2">
        <v>3.9</v>
      </c>
      <c r="W213" s="2">
        <f>premier_player_23_24[[#This Row],[Goals]]-premier_player_23_24[[#This Row],[Expected Goals ]]</f>
        <v>0.10000000000000009</v>
      </c>
      <c r="X213" s="2">
        <v>3.9</v>
      </c>
      <c r="Y213" s="2">
        <v>4.2</v>
      </c>
      <c r="Z213" s="2">
        <v>8.1</v>
      </c>
      <c r="AA213" s="3">
        <v>74</v>
      </c>
      <c r="AB213" s="3">
        <v>63</v>
      </c>
      <c r="AC213" s="3">
        <v>173</v>
      </c>
      <c r="AD213" s="1">
        <v>0.14000000000000001</v>
      </c>
      <c r="AE213" s="1">
        <v>0.25</v>
      </c>
      <c r="AF213" s="1">
        <v>0.39</v>
      </c>
      <c r="AG213" s="1">
        <v>0.14000000000000001</v>
      </c>
      <c r="AH213" s="1">
        <v>0.39</v>
      </c>
      <c r="AI213" s="1">
        <v>0.14000000000000001</v>
      </c>
      <c r="AJ213" s="1">
        <v>0.15</v>
      </c>
      <c r="AK213" s="1">
        <v>0.28999999999999998</v>
      </c>
      <c r="AL213" s="1">
        <v>0.14000000000000001</v>
      </c>
      <c r="AM213" s="1">
        <v>0.28999999999999998</v>
      </c>
      <c r="AN213" t="s">
        <v>1052</v>
      </c>
    </row>
    <row r="214" spans="1:40" x14ac:dyDescent="0.25">
      <c r="A214" t="s">
        <v>1104</v>
      </c>
      <c r="B214" t="s">
        <v>76</v>
      </c>
      <c r="C214" s="4" t="s">
        <v>1750</v>
      </c>
      <c r="D214" t="s">
        <v>1751</v>
      </c>
      <c r="E214" t="s">
        <v>86</v>
      </c>
      <c r="F214" t="str">
        <f>LEFT(premier_player_23_24[[#This Row],[Position]],2)</f>
        <v>MF</v>
      </c>
      <c r="G214" s="3">
        <v>19</v>
      </c>
      <c r="H21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14" s="3">
        <v>10</v>
      </c>
      <c r="J214" s="3">
        <v>1</v>
      </c>
      <c r="K214" s="2">
        <v>232</v>
      </c>
      <c r="L214" s="2" t="str">
        <f>IF(premier_player_23_24[[#This Row],[Minutes]]&gt;1000,"More than 1000 minutes","Less than 1000 minutes")</f>
        <v>Less than 1000 minutes</v>
      </c>
      <c r="M214" s="2">
        <v>2.6</v>
      </c>
      <c r="N214" s="3">
        <v>0</v>
      </c>
      <c r="O214" s="3">
        <v>1</v>
      </c>
      <c r="P214" s="3">
        <v>1</v>
      </c>
      <c r="Q214" s="3">
        <v>0</v>
      </c>
      <c r="R214" s="3">
        <v>0</v>
      </c>
      <c r="S214" s="3">
        <v>0</v>
      </c>
      <c r="T214" s="2">
        <v>1</v>
      </c>
      <c r="U214" s="2">
        <v>0</v>
      </c>
      <c r="V214" s="2">
        <v>0.4</v>
      </c>
      <c r="W214" s="2">
        <f>premier_player_23_24[[#This Row],[Goals]]-premier_player_23_24[[#This Row],[Expected Goals ]]</f>
        <v>-0.4</v>
      </c>
      <c r="X214" s="2">
        <v>0.4</v>
      </c>
      <c r="Y214" s="2">
        <v>0.9</v>
      </c>
      <c r="Z214" s="2">
        <v>1.2</v>
      </c>
      <c r="AA214" s="3">
        <v>12</v>
      </c>
      <c r="AB214" s="3">
        <v>8</v>
      </c>
      <c r="AC214" s="3">
        <v>12</v>
      </c>
      <c r="AD214" s="1">
        <v>0</v>
      </c>
      <c r="AE214" s="1">
        <v>0.39</v>
      </c>
      <c r="AF214" s="1">
        <v>0.39</v>
      </c>
      <c r="AG214" s="1">
        <v>0</v>
      </c>
      <c r="AH214" s="1">
        <v>0.39</v>
      </c>
      <c r="AI214" s="1">
        <v>0.14000000000000001</v>
      </c>
      <c r="AJ214" s="1">
        <v>0.34</v>
      </c>
      <c r="AK214" s="1">
        <v>0.48</v>
      </c>
      <c r="AL214" s="1">
        <v>0.14000000000000001</v>
      </c>
      <c r="AM214" s="1">
        <v>0.48</v>
      </c>
      <c r="AN214" t="s">
        <v>1052</v>
      </c>
    </row>
    <row r="215" spans="1:40" x14ac:dyDescent="0.25">
      <c r="A215" t="s">
        <v>1090</v>
      </c>
      <c r="B215" t="s">
        <v>523</v>
      </c>
      <c r="C215" s="4" t="s">
        <v>1766</v>
      </c>
      <c r="D215" t="s">
        <v>1767</v>
      </c>
      <c r="E215" t="s">
        <v>58</v>
      </c>
      <c r="F215" t="str">
        <f>LEFT(premier_player_23_24[[#This Row],[Position]],2)</f>
        <v>FW</v>
      </c>
      <c r="G215" s="3">
        <v>30</v>
      </c>
      <c r="H21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15" s="3">
        <v>29</v>
      </c>
      <c r="J215" s="3">
        <v>17</v>
      </c>
      <c r="K215" s="2">
        <v>1352</v>
      </c>
      <c r="L215" s="2" t="str">
        <f>IF(premier_player_23_24[[#This Row],[Minutes]]&gt;1000,"More than 1000 minutes","Less than 1000 minutes")</f>
        <v>More than 1000 minutes</v>
      </c>
      <c r="M215" s="2">
        <v>15</v>
      </c>
      <c r="N215" s="3">
        <v>2</v>
      </c>
      <c r="O215" s="3">
        <v>2</v>
      </c>
      <c r="P215" s="3">
        <v>4</v>
      </c>
      <c r="Q215" s="3">
        <v>2</v>
      </c>
      <c r="R215" s="3">
        <v>0</v>
      </c>
      <c r="S215" s="3">
        <v>0</v>
      </c>
      <c r="T215" s="2">
        <v>1</v>
      </c>
      <c r="U215" s="2">
        <v>0</v>
      </c>
      <c r="V215" s="2">
        <v>1.8</v>
      </c>
      <c r="W215" s="2">
        <f>premier_player_23_24[[#This Row],[Goals]]-premier_player_23_24[[#This Row],[Expected Goals ]]</f>
        <v>0.19999999999999996</v>
      </c>
      <c r="X215" s="2">
        <v>1.8</v>
      </c>
      <c r="Y215" s="2">
        <v>2.2999999999999998</v>
      </c>
      <c r="Z215" s="2">
        <v>4.0999999999999996</v>
      </c>
      <c r="AA215" s="3">
        <v>20</v>
      </c>
      <c r="AB215" s="3">
        <v>33</v>
      </c>
      <c r="AC215" s="3">
        <v>52</v>
      </c>
      <c r="AD215" s="1">
        <v>0.13</v>
      </c>
      <c r="AE215" s="1">
        <v>0.13</v>
      </c>
      <c r="AF215" s="1">
        <v>0.27</v>
      </c>
      <c r="AG215" s="1">
        <v>0.13</v>
      </c>
      <c r="AH215" s="1">
        <v>0.27</v>
      </c>
      <c r="AI215" s="1">
        <v>0.12</v>
      </c>
      <c r="AJ215" s="1">
        <v>0.15</v>
      </c>
      <c r="AK215" s="1">
        <v>0.27</v>
      </c>
      <c r="AL215" s="1">
        <v>0.12</v>
      </c>
      <c r="AM215" s="1">
        <v>0.27</v>
      </c>
      <c r="AN215" t="s">
        <v>1052</v>
      </c>
    </row>
    <row r="216" spans="1:40" x14ac:dyDescent="0.25">
      <c r="A216" t="s">
        <v>1091</v>
      </c>
      <c r="B216" t="s">
        <v>287</v>
      </c>
      <c r="C216" s="4" t="s">
        <v>1772</v>
      </c>
      <c r="D216" t="s">
        <v>1773</v>
      </c>
      <c r="E216" t="s">
        <v>172</v>
      </c>
      <c r="F216" t="str">
        <f>LEFT(premier_player_23_24[[#This Row],[Position]],2)</f>
        <v>DF</v>
      </c>
      <c r="G216" s="3">
        <v>27</v>
      </c>
      <c r="H21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16" s="3">
        <v>16</v>
      </c>
      <c r="J216" s="3">
        <v>16</v>
      </c>
      <c r="K216" s="2">
        <v>1439</v>
      </c>
      <c r="L216" s="2" t="str">
        <f>IF(premier_player_23_24[[#This Row],[Minutes]]&gt;1000,"More than 1000 minutes","Less than 1000 minutes")</f>
        <v>More than 1000 minutes</v>
      </c>
      <c r="M216" s="2">
        <v>16</v>
      </c>
      <c r="N216" s="3">
        <v>0</v>
      </c>
      <c r="O216" s="3">
        <v>4</v>
      </c>
      <c r="P216" s="3">
        <v>4</v>
      </c>
      <c r="Q216" s="3">
        <v>0</v>
      </c>
      <c r="R216" s="3">
        <v>0</v>
      </c>
      <c r="S216" s="3">
        <v>0</v>
      </c>
      <c r="T216" s="2">
        <v>4</v>
      </c>
      <c r="U216" s="2">
        <v>0</v>
      </c>
      <c r="V216" s="2">
        <v>1.2</v>
      </c>
      <c r="W216" s="2">
        <f>premier_player_23_24[[#This Row],[Goals]]-premier_player_23_24[[#This Row],[Expected Goals ]]</f>
        <v>-1.2</v>
      </c>
      <c r="X216" s="2">
        <v>1.2</v>
      </c>
      <c r="Y216" s="2">
        <v>2.4</v>
      </c>
      <c r="Z216" s="2">
        <v>3.7</v>
      </c>
      <c r="AA216" s="3">
        <v>25</v>
      </c>
      <c r="AB216" s="3">
        <v>38</v>
      </c>
      <c r="AC216" s="3">
        <v>80</v>
      </c>
      <c r="AD216" s="1">
        <v>0</v>
      </c>
      <c r="AE216" s="1">
        <v>0.25</v>
      </c>
      <c r="AF216" s="1">
        <v>0.25</v>
      </c>
      <c r="AG216" s="1">
        <v>0</v>
      </c>
      <c r="AH216" s="1">
        <v>0.25</v>
      </c>
      <c r="AI216" s="1">
        <v>0.08</v>
      </c>
      <c r="AJ216" s="1">
        <v>0.15</v>
      </c>
      <c r="AK216" s="1">
        <v>0.23</v>
      </c>
      <c r="AL216" s="1">
        <v>0.08</v>
      </c>
      <c r="AM216" s="1">
        <v>0.23</v>
      </c>
      <c r="AN216" t="s">
        <v>1052</v>
      </c>
    </row>
    <row r="217" spans="1:40" x14ac:dyDescent="0.25">
      <c r="A217" t="s">
        <v>1093</v>
      </c>
      <c r="B217" t="s">
        <v>57</v>
      </c>
      <c r="C217" s="4" t="s">
        <v>1744</v>
      </c>
      <c r="D217" t="s">
        <v>1745</v>
      </c>
      <c r="E217" t="s">
        <v>36</v>
      </c>
      <c r="F217" t="str">
        <f>LEFT(premier_player_23_24[[#This Row],[Position]],2)</f>
        <v>MF</v>
      </c>
      <c r="G217" s="3">
        <v>19</v>
      </c>
      <c r="H21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17" s="3">
        <v>16</v>
      </c>
      <c r="J217" s="3">
        <v>15</v>
      </c>
      <c r="K217" s="2">
        <v>1297</v>
      </c>
      <c r="L217" s="2" t="str">
        <f>IF(premier_player_23_24[[#This Row],[Minutes]]&gt;1000,"More than 1000 minutes","Less than 1000 minutes")</f>
        <v>More than 1000 minutes</v>
      </c>
      <c r="M217" s="2">
        <v>14.4</v>
      </c>
      <c r="N217" s="3">
        <v>0</v>
      </c>
      <c r="O217" s="3">
        <v>3</v>
      </c>
      <c r="P217" s="3">
        <v>3</v>
      </c>
      <c r="Q217" s="3">
        <v>0</v>
      </c>
      <c r="R217" s="3">
        <v>0</v>
      </c>
      <c r="S217" s="3">
        <v>0</v>
      </c>
      <c r="T217" s="2">
        <v>2</v>
      </c>
      <c r="U217" s="2">
        <v>0</v>
      </c>
      <c r="V217" s="2">
        <v>0.3</v>
      </c>
      <c r="W217" s="2">
        <f>premier_player_23_24[[#This Row],[Goals]]-premier_player_23_24[[#This Row],[Expected Goals ]]</f>
        <v>-0.3</v>
      </c>
      <c r="X217" s="2">
        <v>0.3</v>
      </c>
      <c r="Y217" s="2">
        <v>2.4</v>
      </c>
      <c r="Z217" s="2">
        <v>2.8</v>
      </c>
      <c r="AA217" s="3">
        <v>14</v>
      </c>
      <c r="AB217" s="3">
        <v>79</v>
      </c>
      <c r="AC217" s="3">
        <v>10</v>
      </c>
      <c r="AD217" s="1">
        <v>0</v>
      </c>
      <c r="AE217" s="1">
        <v>0.21</v>
      </c>
      <c r="AF217" s="1">
        <v>0.21</v>
      </c>
      <c r="AG217" s="1">
        <v>0</v>
      </c>
      <c r="AH217" s="1">
        <v>0.21</v>
      </c>
      <c r="AI217" s="1">
        <v>0.02</v>
      </c>
      <c r="AJ217" s="1">
        <v>0.17</v>
      </c>
      <c r="AK217" s="1">
        <v>0.19</v>
      </c>
      <c r="AL217" s="1">
        <v>0.02</v>
      </c>
      <c r="AM217" s="1">
        <v>0.19</v>
      </c>
      <c r="AN217" t="s">
        <v>1052</v>
      </c>
    </row>
    <row r="218" spans="1:40" x14ac:dyDescent="0.25">
      <c r="A218" t="s">
        <v>1053</v>
      </c>
      <c r="B218" t="s">
        <v>57</v>
      </c>
      <c r="C218" s="4" t="s">
        <v>1744</v>
      </c>
      <c r="D218" t="s">
        <v>1745</v>
      </c>
      <c r="E218" t="s">
        <v>172</v>
      </c>
      <c r="F218" t="str">
        <f>LEFT(premier_player_23_24[[#This Row],[Position]],2)</f>
        <v>DF</v>
      </c>
      <c r="G218" s="3">
        <v>23</v>
      </c>
      <c r="H21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18" s="3">
        <v>37</v>
      </c>
      <c r="J218" s="3">
        <v>37</v>
      </c>
      <c r="K218" s="2">
        <v>3204</v>
      </c>
      <c r="L218" s="2" t="str">
        <f>IF(premier_player_23_24[[#This Row],[Minutes]]&gt;1000,"More than 1000 minutes","Less than 1000 minutes")</f>
        <v>More than 1000 minutes</v>
      </c>
      <c r="M218" s="2">
        <v>35.6</v>
      </c>
      <c r="N218" s="3">
        <v>2</v>
      </c>
      <c r="O218" s="3">
        <v>3</v>
      </c>
      <c r="P218" s="3">
        <v>5</v>
      </c>
      <c r="Q218" s="3">
        <v>2</v>
      </c>
      <c r="R218" s="3">
        <v>0</v>
      </c>
      <c r="S218" s="3">
        <v>0</v>
      </c>
      <c r="T218" s="2">
        <v>6</v>
      </c>
      <c r="U218" s="2">
        <v>0</v>
      </c>
      <c r="V218" s="2">
        <v>1.6</v>
      </c>
      <c r="W218" s="2">
        <f>premier_player_23_24[[#This Row],[Goals]]-premier_player_23_24[[#This Row],[Expected Goals ]]</f>
        <v>0.39999999999999991</v>
      </c>
      <c r="X218" s="2">
        <v>1.6</v>
      </c>
      <c r="Y218" s="2">
        <v>2.8</v>
      </c>
      <c r="Z218" s="2">
        <v>4.4000000000000004</v>
      </c>
      <c r="AA218" s="3">
        <v>32</v>
      </c>
      <c r="AB218" s="3">
        <v>94</v>
      </c>
      <c r="AC218" s="3">
        <v>159</v>
      </c>
      <c r="AD218" s="1">
        <v>0.06</v>
      </c>
      <c r="AE218" s="1">
        <v>0.08</v>
      </c>
      <c r="AF218" s="1">
        <v>0.14000000000000001</v>
      </c>
      <c r="AG218" s="1">
        <v>0.06</v>
      </c>
      <c r="AH218" s="1">
        <v>0.14000000000000001</v>
      </c>
      <c r="AI218" s="1">
        <v>0.04</v>
      </c>
      <c r="AJ218" s="1">
        <v>0.08</v>
      </c>
      <c r="AK218" s="1">
        <v>0.12</v>
      </c>
      <c r="AL218" s="1">
        <v>0.04</v>
      </c>
      <c r="AM218" s="1">
        <v>0.12</v>
      </c>
      <c r="AN218" t="s">
        <v>1052</v>
      </c>
    </row>
    <row r="219" spans="1:40" x14ac:dyDescent="0.25">
      <c r="A219" t="s">
        <v>1049</v>
      </c>
      <c r="B219" t="s">
        <v>804</v>
      </c>
      <c r="C219" s="4" t="s">
        <v>1788</v>
      </c>
      <c r="D219" t="s">
        <v>1789</v>
      </c>
      <c r="E219" t="s">
        <v>108</v>
      </c>
      <c r="F219" t="str">
        <f>LEFT(premier_player_23_24[[#This Row],[Position]],2)</f>
        <v>DF</v>
      </c>
      <c r="G219" s="3">
        <v>27</v>
      </c>
      <c r="H21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19" s="3">
        <v>38</v>
      </c>
      <c r="J219" s="3">
        <v>38</v>
      </c>
      <c r="K219" s="2">
        <v>3415</v>
      </c>
      <c r="L219" s="2" t="str">
        <f>IF(premier_player_23_24[[#This Row],[Minutes]]&gt;1000,"More than 1000 minutes","Less than 1000 minutes")</f>
        <v>More than 1000 minutes</v>
      </c>
      <c r="M219" s="2">
        <v>37.9</v>
      </c>
      <c r="N219" s="3">
        <v>2</v>
      </c>
      <c r="O219" s="3">
        <v>3</v>
      </c>
      <c r="P219" s="3">
        <v>5</v>
      </c>
      <c r="Q219" s="3">
        <v>2</v>
      </c>
      <c r="R219" s="3">
        <v>0</v>
      </c>
      <c r="S219" s="3">
        <v>0</v>
      </c>
      <c r="T219" s="2">
        <v>7</v>
      </c>
      <c r="U219" s="2">
        <v>0</v>
      </c>
      <c r="V219" s="2">
        <v>1.7</v>
      </c>
      <c r="W219" s="2">
        <f>premier_player_23_24[[#This Row],[Goals]]-premier_player_23_24[[#This Row],[Expected Goals ]]</f>
        <v>0.30000000000000004</v>
      </c>
      <c r="X219" s="2">
        <v>1.7</v>
      </c>
      <c r="Y219" s="2">
        <v>2.8</v>
      </c>
      <c r="Z219" s="2">
        <v>4.5</v>
      </c>
      <c r="AA219" s="3">
        <v>21</v>
      </c>
      <c r="AB219" s="3">
        <v>147</v>
      </c>
      <c r="AC219" s="3">
        <v>10</v>
      </c>
      <c r="AD219" s="1">
        <v>0.05</v>
      </c>
      <c r="AE219" s="1">
        <v>0.08</v>
      </c>
      <c r="AF219" s="1">
        <v>0.13</v>
      </c>
      <c r="AG219" s="1">
        <v>0.05</v>
      </c>
      <c r="AH219" s="1">
        <v>0.13</v>
      </c>
      <c r="AI219" s="1">
        <v>0.04</v>
      </c>
      <c r="AJ219" s="1">
        <v>7.0000000000000007E-2</v>
      </c>
      <c r="AK219" s="1">
        <v>0.12</v>
      </c>
      <c r="AL219" s="1">
        <v>0.04</v>
      </c>
      <c r="AM219" s="1">
        <v>0.12</v>
      </c>
      <c r="AN219" t="s">
        <v>1052</v>
      </c>
    </row>
    <row r="220" spans="1:40" x14ac:dyDescent="0.25">
      <c r="A220" t="s">
        <v>1072</v>
      </c>
      <c r="B220" t="s">
        <v>1073</v>
      </c>
      <c r="C220" s="4" t="s">
        <v>1796</v>
      </c>
      <c r="D220" t="s">
        <v>1797</v>
      </c>
      <c r="E220" t="s">
        <v>172</v>
      </c>
      <c r="F220" t="str">
        <f>LEFT(premier_player_23_24[[#This Row],[Position]],2)</f>
        <v>DF</v>
      </c>
      <c r="G220" s="3">
        <v>23</v>
      </c>
      <c r="H22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20" s="3">
        <v>26</v>
      </c>
      <c r="J220" s="3">
        <v>23</v>
      </c>
      <c r="K220" s="2">
        <v>2094</v>
      </c>
      <c r="L220" s="2" t="str">
        <f>IF(premier_player_23_24[[#This Row],[Minutes]]&gt;1000,"More than 1000 minutes","Less than 1000 minutes")</f>
        <v>More than 1000 minutes</v>
      </c>
      <c r="M220" s="2">
        <v>23.3</v>
      </c>
      <c r="N220" s="3">
        <v>1</v>
      </c>
      <c r="O220" s="3">
        <v>1</v>
      </c>
      <c r="P220" s="3">
        <v>2</v>
      </c>
      <c r="Q220" s="3">
        <v>1</v>
      </c>
      <c r="R220" s="3">
        <v>0</v>
      </c>
      <c r="S220" s="3">
        <v>0</v>
      </c>
      <c r="T220" s="2">
        <v>3</v>
      </c>
      <c r="U220" s="2">
        <v>0</v>
      </c>
      <c r="V220" s="2">
        <v>0.6</v>
      </c>
      <c r="W220" s="2">
        <f>premier_player_23_24[[#This Row],[Goals]]-premier_player_23_24[[#This Row],[Expected Goals ]]</f>
        <v>0.4</v>
      </c>
      <c r="X220" s="2">
        <v>0.6</v>
      </c>
      <c r="Y220" s="2">
        <v>0.4</v>
      </c>
      <c r="Z220" s="2">
        <v>1</v>
      </c>
      <c r="AA220" s="3">
        <v>1</v>
      </c>
      <c r="AB220" s="3">
        <v>43</v>
      </c>
      <c r="AC220" s="3">
        <v>1</v>
      </c>
      <c r="AD220" s="1">
        <v>0.04</v>
      </c>
      <c r="AE220" s="1">
        <v>0.04</v>
      </c>
      <c r="AF220" s="1">
        <v>0.09</v>
      </c>
      <c r="AG220" s="1">
        <v>0.04</v>
      </c>
      <c r="AH220" s="1">
        <v>0.09</v>
      </c>
      <c r="AI220" s="1">
        <v>0.03</v>
      </c>
      <c r="AJ220" s="1">
        <v>0.02</v>
      </c>
      <c r="AK220" s="1">
        <v>0.04</v>
      </c>
      <c r="AL220" s="1">
        <v>0.03</v>
      </c>
      <c r="AM220" s="1">
        <v>0.04</v>
      </c>
      <c r="AN220" t="s">
        <v>1052</v>
      </c>
    </row>
    <row r="221" spans="1:40" x14ac:dyDescent="0.25">
      <c r="A221" t="s">
        <v>1060</v>
      </c>
      <c r="B221" t="s">
        <v>287</v>
      </c>
      <c r="C221" s="4" t="s">
        <v>1772</v>
      </c>
      <c r="D221" t="s">
        <v>1773</v>
      </c>
      <c r="E221" t="s">
        <v>524</v>
      </c>
      <c r="F221" t="str">
        <f>LEFT(premier_player_23_24[[#This Row],[Position]],2)</f>
        <v>MF</v>
      </c>
      <c r="G221" s="3">
        <v>28</v>
      </c>
      <c r="H22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21" s="3">
        <v>28</v>
      </c>
      <c r="J221" s="3">
        <v>27</v>
      </c>
      <c r="K221" s="2">
        <v>2400</v>
      </c>
      <c r="L221" s="2" t="str">
        <f>IF(premier_player_23_24[[#This Row],[Minutes]]&gt;1000,"More than 1000 minutes","Less than 1000 minutes")</f>
        <v>More than 1000 minutes</v>
      </c>
      <c r="M221" s="2">
        <v>26.7</v>
      </c>
      <c r="N221" s="3">
        <v>1</v>
      </c>
      <c r="O221" s="3">
        <v>1</v>
      </c>
      <c r="P221" s="3">
        <v>2</v>
      </c>
      <c r="Q221" s="3">
        <v>1</v>
      </c>
      <c r="R221" s="3">
        <v>0</v>
      </c>
      <c r="S221" s="3">
        <v>0</v>
      </c>
      <c r="T221" s="2">
        <v>8</v>
      </c>
      <c r="U221" s="2">
        <v>0</v>
      </c>
      <c r="V221" s="2">
        <v>2.7</v>
      </c>
      <c r="W221" s="2">
        <f>premier_player_23_24[[#This Row],[Goals]]-premier_player_23_24[[#This Row],[Expected Goals ]]</f>
        <v>-1.7000000000000002</v>
      </c>
      <c r="X221" s="2">
        <v>2.7</v>
      </c>
      <c r="Y221" s="2">
        <v>2.2000000000000002</v>
      </c>
      <c r="Z221" s="2">
        <v>4.8</v>
      </c>
      <c r="AA221" s="3">
        <v>14</v>
      </c>
      <c r="AB221" s="3">
        <v>106</v>
      </c>
      <c r="AC221" s="3">
        <v>51</v>
      </c>
      <c r="AD221" s="1">
        <v>0.04</v>
      </c>
      <c r="AE221" s="1">
        <v>0.04</v>
      </c>
      <c r="AF221" s="1">
        <v>7.0000000000000007E-2</v>
      </c>
      <c r="AG221" s="1">
        <v>0.04</v>
      </c>
      <c r="AH221" s="1">
        <v>7.0000000000000007E-2</v>
      </c>
      <c r="AI221" s="1">
        <v>0.1</v>
      </c>
      <c r="AJ221" s="1">
        <v>0.08</v>
      </c>
      <c r="AK221" s="1">
        <v>0.18</v>
      </c>
      <c r="AL221" s="1">
        <v>0.1</v>
      </c>
      <c r="AM221" s="1">
        <v>0.18</v>
      </c>
      <c r="AN221" t="s">
        <v>1052</v>
      </c>
    </row>
    <row r="222" spans="1:40" x14ac:dyDescent="0.25">
      <c r="A222" t="s">
        <v>1079</v>
      </c>
      <c r="B222" t="s">
        <v>57</v>
      </c>
      <c r="C222" s="4" t="s">
        <v>1744</v>
      </c>
      <c r="D222" t="s">
        <v>1745</v>
      </c>
      <c r="E222" t="s">
        <v>108</v>
      </c>
      <c r="F222" t="str">
        <f>LEFT(premier_player_23_24[[#This Row],[Position]],2)</f>
        <v>DF</v>
      </c>
      <c r="G222" s="3">
        <v>33</v>
      </c>
      <c r="H22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22" s="3">
        <v>26</v>
      </c>
      <c r="J222" s="3">
        <v>23</v>
      </c>
      <c r="K222" s="2">
        <v>1980</v>
      </c>
      <c r="L222" s="2" t="str">
        <f>IF(premier_player_23_24[[#This Row],[Minutes]]&gt;1000,"More than 1000 minutes","Less than 1000 minutes")</f>
        <v>More than 1000 minutes</v>
      </c>
      <c r="M222" s="2">
        <v>22</v>
      </c>
      <c r="N222" s="3">
        <v>0</v>
      </c>
      <c r="O222" s="3">
        <v>1</v>
      </c>
      <c r="P222" s="3">
        <v>1</v>
      </c>
      <c r="Q222" s="3">
        <v>0</v>
      </c>
      <c r="R222" s="3">
        <v>0</v>
      </c>
      <c r="S222" s="3">
        <v>0</v>
      </c>
      <c r="T222" s="2">
        <v>4</v>
      </c>
      <c r="U222" s="2">
        <v>0</v>
      </c>
      <c r="V222" s="2">
        <v>0.9</v>
      </c>
      <c r="W222" s="2">
        <f>premier_player_23_24[[#This Row],[Goals]]-premier_player_23_24[[#This Row],[Expected Goals ]]</f>
        <v>-0.9</v>
      </c>
      <c r="X222" s="2">
        <v>0.9</v>
      </c>
      <c r="Y222" s="2">
        <v>0.2</v>
      </c>
      <c r="Z222" s="2">
        <v>1.1000000000000001</v>
      </c>
      <c r="AA222" s="3">
        <v>16</v>
      </c>
      <c r="AB222" s="3">
        <v>66</v>
      </c>
      <c r="AC222" s="3">
        <v>14</v>
      </c>
      <c r="AD222" s="1">
        <v>0</v>
      </c>
      <c r="AE222" s="1">
        <v>0.05</v>
      </c>
      <c r="AF222" s="1">
        <v>0.05</v>
      </c>
      <c r="AG222" s="1">
        <v>0</v>
      </c>
      <c r="AH222" s="1">
        <v>0.05</v>
      </c>
      <c r="AI222" s="1">
        <v>0.04</v>
      </c>
      <c r="AJ222" s="1">
        <v>0.01</v>
      </c>
      <c r="AK222" s="1">
        <v>0.05</v>
      </c>
      <c r="AL222" s="1">
        <v>0.04</v>
      </c>
      <c r="AM222" s="1">
        <v>0.05</v>
      </c>
      <c r="AN222" t="s">
        <v>1052</v>
      </c>
    </row>
    <row r="223" spans="1:40" x14ac:dyDescent="0.25">
      <c r="A223" t="s">
        <v>1081</v>
      </c>
      <c r="B223" t="s">
        <v>57</v>
      </c>
      <c r="C223" s="4" t="s">
        <v>1744</v>
      </c>
      <c r="D223" t="s">
        <v>1745</v>
      </c>
      <c r="E223" t="s">
        <v>36</v>
      </c>
      <c r="F223" t="str">
        <f>LEFT(premier_player_23_24[[#This Row],[Position]],2)</f>
        <v>MF</v>
      </c>
      <c r="G223" s="3">
        <v>28</v>
      </c>
      <c r="H22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23" s="3">
        <v>30</v>
      </c>
      <c r="J223" s="3">
        <v>23</v>
      </c>
      <c r="K223" s="2">
        <v>1891</v>
      </c>
      <c r="L223" s="2" t="str">
        <f>IF(premier_player_23_24[[#This Row],[Minutes]]&gt;1000,"More than 1000 minutes","Less than 1000 minutes")</f>
        <v>More than 1000 minutes</v>
      </c>
      <c r="M223" s="2">
        <v>21</v>
      </c>
      <c r="N223" s="3">
        <v>0</v>
      </c>
      <c r="O223" s="3">
        <v>1</v>
      </c>
      <c r="P223" s="3">
        <v>1</v>
      </c>
      <c r="Q223" s="3">
        <v>0</v>
      </c>
      <c r="R223" s="3">
        <v>0</v>
      </c>
      <c r="S223" s="3">
        <v>0</v>
      </c>
      <c r="T223" s="2">
        <v>6</v>
      </c>
      <c r="U223" s="2">
        <v>0</v>
      </c>
      <c r="V223" s="2">
        <v>0.3</v>
      </c>
      <c r="W223" s="2">
        <f>premier_player_23_24[[#This Row],[Goals]]-premier_player_23_24[[#This Row],[Expected Goals ]]</f>
        <v>-0.3</v>
      </c>
      <c r="X223" s="2">
        <v>0.3</v>
      </c>
      <c r="Y223" s="2">
        <v>1.1000000000000001</v>
      </c>
      <c r="Z223" s="2">
        <v>1.5</v>
      </c>
      <c r="AA223" s="3">
        <v>14</v>
      </c>
      <c r="AB223" s="3">
        <v>76</v>
      </c>
      <c r="AC223" s="3">
        <v>17</v>
      </c>
      <c r="AD223" s="1">
        <v>0</v>
      </c>
      <c r="AE223" s="1">
        <v>0.05</v>
      </c>
      <c r="AF223" s="1">
        <v>0.05</v>
      </c>
      <c r="AG223" s="1">
        <v>0</v>
      </c>
      <c r="AH223" s="1">
        <v>0.05</v>
      </c>
      <c r="AI223" s="1">
        <v>0.02</v>
      </c>
      <c r="AJ223" s="1">
        <v>0.05</v>
      </c>
      <c r="AK223" s="1">
        <v>7.0000000000000007E-2</v>
      </c>
      <c r="AL223" s="1">
        <v>0.02</v>
      </c>
      <c r="AM223" s="1">
        <v>7.0000000000000007E-2</v>
      </c>
      <c r="AN223" t="s">
        <v>1052</v>
      </c>
    </row>
    <row r="224" spans="1:40" x14ac:dyDescent="0.25">
      <c r="A224" t="s">
        <v>1076</v>
      </c>
      <c r="B224" t="s">
        <v>57</v>
      </c>
      <c r="C224" s="4" t="s">
        <v>1744</v>
      </c>
      <c r="D224" t="s">
        <v>1745</v>
      </c>
      <c r="E224" t="s">
        <v>108</v>
      </c>
      <c r="F224" t="str">
        <f>LEFT(premier_player_23_24[[#This Row],[Position]],2)</f>
        <v>DF</v>
      </c>
      <c r="G224" s="3">
        <v>23</v>
      </c>
      <c r="H22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24" s="3">
        <v>25</v>
      </c>
      <c r="J224" s="3">
        <v>23</v>
      </c>
      <c r="K224" s="2">
        <v>2021</v>
      </c>
      <c r="L224" s="2" t="str">
        <f>IF(premier_player_23_24[[#This Row],[Minutes]]&gt;1000,"More than 1000 minutes","Less than 1000 minutes")</f>
        <v>More than 1000 minutes</v>
      </c>
      <c r="M224" s="2">
        <v>22.5</v>
      </c>
      <c r="N224" s="3">
        <v>0</v>
      </c>
      <c r="O224" s="3">
        <v>1</v>
      </c>
      <c r="P224" s="3">
        <v>1</v>
      </c>
      <c r="Q224" s="3">
        <v>0</v>
      </c>
      <c r="R224" s="3">
        <v>0</v>
      </c>
      <c r="S224" s="3">
        <v>0</v>
      </c>
      <c r="T224" s="2">
        <v>2</v>
      </c>
      <c r="U224" s="2">
        <v>0</v>
      </c>
      <c r="V224" s="2">
        <v>0.6</v>
      </c>
      <c r="W224" s="2">
        <f>premier_player_23_24[[#This Row],[Goals]]-premier_player_23_24[[#This Row],[Expected Goals ]]</f>
        <v>-0.6</v>
      </c>
      <c r="X224" s="2">
        <v>0.6</v>
      </c>
      <c r="Y224" s="2">
        <v>0.6</v>
      </c>
      <c r="Z224" s="2">
        <v>1.2</v>
      </c>
      <c r="AA224" s="3">
        <v>15</v>
      </c>
      <c r="AB224" s="3">
        <v>67</v>
      </c>
      <c r="AC224" s="3">
        <v>7</v>
      </c>
      <c r="AD224" s="1">
        <v>0</v>
      </c>
      <c r="AE224" s="1">
        <v>0.04</v>
      </c>
      <c r="AF224" s="1">
        <v>0.04</v>
      </c>
      <c r="AG224" s="1">
        <v>0</v>
      </c>
      <c r="AH224" s="1">
        <v>0.04</v>
      </c>
      <c r="AI224" s="1">
        <v>0.03</v>
      </c>
      <c r="AJ224" s="1">
        <v>0.03</v>
      </c>
      <c r="AK224" s="1">
        <v>0.05</v>
      </c>
      <c r="AL224" s="1">
        <v>0.03</v>
      </c>
      <c r="AM224" s="1">
        <v>0.05</v>
      </c>
      <c r="AN224" t="s">
        <v>1052</v>
      </c>
    </row>
    <row r="225" spans="1:40" x14ac:dyDescent="0.25">
      <c r="A225" t="s">
        <v>1083</v>
      </c>
      <c r="B225" t="s">
        <v>57</v>
      </c>
      <c r="C225" s="4" t="s">
        <v>1744</v>
      </c>
      <c r="D225" t="s">
        <v>1745</v>
      </c>
      <c r="E225" t="s">
        <v>77</v>
      </c>
      <c r="F225" t="str">
        <f>LEFT(premier_player_23_24[[#This Row],[Position]],2)</f>
        <v>GK</v>
      </c>
      <c r="G225" s="3">
        <v>30</v>
      </c>
      <c r="H22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25" s="3">
        <v>20</v>
      </c>
      <c r="J225" s="3">
        <v>20</v>
      </c>
      <c r="K225" s="2">
        <v>1796</v>
      </c>
      <c r="L225" s="2" t="str">
        <f>IF(premier_player_23_24[[#This Row],[Minutes]]&gt;1000,"More than 1000 minutes","Less than 1000 minutes")</f>
        <v>More than 1000 minutes</v>
      </c>
      <c r="M225" s="2">
        <v>20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2">
        <v>1</v>
      </c>
      <c r="U225" s="2">
        <v>0</v>
      </c>
      <c r="V225" s="2">
        <v>0</v>
      </c>
      <c r="W225" s="2">
        <f>premier_player_23_24[[#This Row],[Goals]]-premier_player_23_24[[#This Row],[Expected Goals ]]</f>
        <v>0</v>
      </c>
      <c r="X225" s="2">
        <v>0</v>
      </c>
      <c r="Y225" s="2">
        <v>0</v>
      </c>
      <c r="Z225" s="2">
        <v>0</v>
      </c>
      <c r="AA225" s="3">
        <v>0</v>
      </c>
      <c r="AB225" s="3">
        <v>0</v>
      </c>
      <c r="AC225" s="3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t="s">
        <v>1052</v>
      </c>
    </row>
    <row r="226" spans="1:40" x14ac:dyDescent="0.25">
      <c r="A226" t="s">
        <v>1085</v>
      </c>
      <c r="B226" t="s">
        <v>57</v>
      </c>
      <c r="C226" s="4" t="s">
        <v>1744</v>
      </c>
      <c r="D226" t="s">
        <v>1745</v>
      </c>
      <c r="E226" t="s">
        <v>77</v>
      </c>
      <c r="F226" t="str">
        <f>LEFT(premier_player_23_24[[#This Row],[Position]],2)</f>
        <v>GK</v>
      </c>
      <c r="G226" s="3">
        <v>26</v>
      </c>
      <c r="H22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26" s="3">
        <v>18</v>
      </c>
      <c r="J226" s="3">
        <v>18</v>
      </c>
      <c r="K226" s="2">
        <v>1620</v>
      </c>
      <c r="L226" s="2" t="str">
        <f>IF(premier_player_23_24[[#This Row],[Minutes]]&gt;1000,"More than 1000 minutes","Less than 1000 minutes")</f>
        <v>More than 1000 minutes</v>
      </c>
      <c r="M226" s="2">
        <v>18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2">
        <v>2</v>
      </c>
      <c r="U226" s="2">
        <v>0</v>
      </c>
      <c r="V226" s="2">
        <v>0</v>
      </c>
      <c r="W226" s="2">
        <f>premier_player_23_24[[#This Row],[Goals]]-premier_player_23_24[[#This Row],[Expected Goals ]]</f>
        <v>0</v>
      </c>
      <c r="X226" s="2">
        <v>0</v>
      </c>
      <c r="Y226" s="2">
        <v>0</v>
      </c>
      <c r="Z226" s="2">
        <v>0</v>
      </c>
      <c r="AA226" s="3">
        <v>0</v>
      </c>
      <c r="AB226" s="3">
        <v>0</v>
      </c>
      <c r="AC226" s="3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t="s">
        <v>1052</v>
      </c>
    </row>
    <row r="227" spans="1:40" x14ac:dyDescent="0.25">
      <c r="A227" t="s">
        <v>1096</v>
      </c>
      <c r="B227" t="s">
        <v>57</v>
      </c>
      <c r="C227" s="4" t="s">
        <v>1744</v>
      </c>
      <c r="D227" t="s">
        <v>1745</v>
      </c>
      <c r="E227" t="s">
        <v>108</v>
      </c>
      <c r="F227" t="str">
        <f>LEFT(premier_player_23_24[[#This Row],[Position]],2)</f>
        <v>DF</v>
      </c>
      <c r="G227" s="3">
        <v>32</v>
      </c>
      <c r="H22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27" s="3">
        <v>19</v>
      </c>
      <c r="J227" s="3">
        <v>14</v>
      </c>
      <c r="K227" s="2">
        <v>1338</v>
      </c>
      <c r="L227" s="2" t="str">
        <f>IF(premier_player_23_24[[#This Row],[Minutes]]&gt;1000,"More than 1000 minutes","Less than 1000 minutes")</f>
        <v>More than 1000 minutes</v>
      </c>
      <c r="M227" s="2">
        <v>14.9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2">
        <v>0</v>
      </c>
      <c r="U227" s="2">
        <v>0</v>
      </c>
      <c r="V227" s="2">
        <v>0.2</v>
      </c>
      <c r="W227" s="2">
        <f>premier_player_23_24[[#This Row],[Goals]]-premier_player_23_24[[#This Row],[Expected Goals ]]</f>
        <v>-0.2</v>
      </c>
      <c r="X227" s="2">
        <v>0.2</v>
      </c>
      <c r="Y227" s="2">
        <v>0.2</v>
      </c>
      <c r="Z227" s="2">
        <v>0.4</v>
      </c>
      <c r="AA227" s="3">
        <v>10</v>
      </c>
      <c r="AB227" s="3">
        <v>33</v>
      </c>
      <c r="AC227" s="3">
        <v>18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0.01</v>
      </c>
      <c r="AJ227" s="1">
        <v>0.01</v>
      </c>
      <c r="AK227" s="1">
        <v>0.03</v>
      </c>
      <c r="AL227" s="1">
        <v>0.01</v>
      </c>
      <c r="AM227" s="1">
        <v>0.03</v>
      </c>
      <c r="AN227" t="s">
        <v>1052</v>
      </c>
    </row>
    <row r="228" spans="1:40" x14ac:dyDescent="0.25">
      <c r="A228" t="s">
        <v>1100</v>
      </c>
      <c r="B228" t="s">
        <v>781</v>
      </c>
      <c r="C228" s="4" t="s">
        <v>1834</v>
      </c>
      <c r="D228" t="s">
        <v>1835</v>
      </c>
      <c r="E228" t="s">
        <v>36</v>
      </c>
      <c r="F228" t="str">
        <f>LEFT(premier_player_23_24[[#This Row],[Position]],2)</f>
        <v>MF</v>
      </c>
      <c r="G228" s="3">
        <v>23</v>
      </c>
      <c r="H22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28" s="3">
        <v>11</v>
      </c>
      <c r="J228" s="3">
        <v>11</v>
      </c>
      <c r="K228" s="2">
        <v>919</v>
      </c>
      <c r="L228" s="2" t="str">
        <f>IF(premier_player_23_24[[#This Row],[Minutes]]&gt;1000,"More than 1000 minutes","Less than 1000 minutes")</f>
        <v>Less than 1000 minutes</v>
      </c>
      <c r="M228" s="2">
        <v>10.199999999999999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2">
        <v>2</v>
      </c>
      <c r="U228" s="2">
        <v>0</v>
      </c>
      <c r="V228" s="2">
        <v>0.3</v>
      </c>
      <c r="W228" s="2">
        <f>premier_player_23_24[[#This Row],[Goals]]-premier_player_23_24[[#This Row],[Expected Goals ]]</f>
        <v>-0.3</v>
      </c>
      <c r="X228" s="2">
        <v>0.3</v>
      </c>
      <c r="Y228" s="2">
        <v>0.7</v>
      </c>
      <c r="Z228" s="2">
        <v>1</v>
      </c>
      <c r="AA228" s="3">
        <v>9</v>
      </c>
      <c r="AB228" s="3">
        <v>49</v>
      </c>
      <c r="AC228" s="3">
        <v>5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0.03</v>
      </c>
      <c r="AJ228" s="1">
        <v>7.0000000000000007E-2</v>
      </c>
      <c r="AK228" s="1">
        <v>0.1</v>
      </c>
      <c r="AL228" s="1">
        <v>0.03</v>
      </c>
      <c r="AM228" s="1">
        <v>0.1</v>
      </c>
      <c r="AN228" t="s">
        <v>1052</v>
      </c>
    </row>
    <row r="229" spans="1:40" x14ac:dyDescent="0.25">
      <c r="A229" t="s">
        <v>1102</v>
      </c>
      <c r="B229" t="s">
        <v>196</v>
      </c>
      <c r="C229" s="4" t="s">
        <v>1768</v>
      </c>
      <c r="D229" t="s">
        <v>1769</v>
      </c>
      <c r="E229" t="s">
        <v>86</v>
      </c>
      <c r="F229" t="str">
        <f>LEFT(premier_player_23_24[[#This Row],[Position]],2)</f>
        <v>MF</v>
      </c>
      <c r="G229" s="3">
        <v>26</v>
      </c>
      <c r="H22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29" s="3">
        <v>9</v>
      </c>
      <c r="J229" s="3">
        <v>2</v>
      </c>
      <c r="K229" s="2">
        <v>235</v>
      </c>
      <c r="L229" s="2" t="str">
        <f>IF(premier_player_23_24[[#This Row],[Minutes]]&gt;1000,"More than 1000 minutes","Less than 1000 minutes")</f>
        <v>Less than 1000 minutes</v>
      </c>
      <c r="M229" s="2">
        <v>2.6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2">
        <v>0</v>
      </c>
      <c r="U229" s="2">
        <v>0</v>
      </c>
      <c r="V229" s="2">
        <v>0</v>
      </c>
      <c r="W229" s="2">
        <f>premier_player_23_24[[#This Row],[Goals]]-premier_player_23_24[[#This Row],[Expected Goals ]]</f>
        <v>0</v>
      </c>
      <c r="X229" s="2">
        <v>0</v>
      </c>
      <c r="Y229" s="2">
        <v>0</v>
      </c>
      <c r="Z229" s="2">
        <v>0</v>
      </c>
      <c r="AA229" s="3">
        <v>3</v>
      </c>
      <c r="AB229" s="3">
        <v>10</v>
      </c>
      <c r="AC229" s="3">
        <v>3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>
        <v>0.01</v>
      </c>
      <c r="AJ229" s="1">
        <v>0</v>
      </c>
      <c r="AK229" s="1">
        <v>0.01</v>
      </c>
      <c r="AL229" s="1">
        <v>0.01</v>
      </c>
      <c r="AM229" s="1">
        <v>0.01</v>
      </c>
      <c r="AN229" t="s">
        <v>1052</v>
      </c>
    </row>
    <row r="230" spans="1:40" x14ac:dyDescent="0.25">
      <c r="A230" t="s">
        <v>1105</v>
      </c>
      <c r="B230" t="s">
        <v>376</v>
      </c>
      <c r="C230" s="4" t="s">
        <v>1762</v>
      </c>
      <c r="D230" t="s">
        <v>1763</v>
      </c>
      <c r="E230" t="s">
        <v>86</v>
      </c>
      <c r="F230" t="str">
        <f>LEFT(premier_player_23_24[[#This Row],[Position]],2)</f>
        <v>MF</v>
      </c>
      <c r="G230" s="3">
        <v>21</v>
      </c>
      <c r="H23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30" s="3">
        <v>20</v>
      </c>
      <c r="J230" s="3">
        <v>0</v>
      </c>
      <c r="K230" s="2">
        <v>349</v>
      </c>
      <c r="L230" s="2" t="str">
        <f>IF(premier_player_23_24[[#This Row],[Minutes]]&gt;1000,"More than 1000 minutes","Less than 1000 minutes")</f>
        <v>Less than 1000 minutes</v>
      </c>
      <c r="M230" s="2">
        <v>3.9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2">
        <v>4</v>
      </c>
      <c r="U230" s="2">
        <v>1</v>
      </c>
      <c r="V230" s="2">
        <v>0.5</v>
      </c>
      <c r="W230" s="2">
        <f>premier_player_23_24[[#This Row],[Goals]]-premier_player_23_24[[#This Row],[Expected Goals ]]</f>
        <v>-0.5</v>
      </c>
      <c r="X230" s="2">
        <v>0.5</v>
      </c>
      <c r="Y230" s="2">
        <v>0</v>
      </c>
      <c r="Z230" s="2">
        <v>0.5</v>
      </c>
      <c r="AA230" s="3">
        <v>19</v>
      </c>
      <c r="AB230" s="3">
        <v>25</v>
      </c>
      <c r="AC230" s="3">
        <v>20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0.13</v>
      </c>
      <c r="AJ230" s="1">
        <v>0.01</v>
      </c>
      <c r="AK230" s="1">
        <v>0.13</v>
      </c>
      <c r="AL230" s="1">
        <v>0.13</v>
      </c>
      <c r="AM230" s="1">
        <v>0.13</v>
      </c>
      <c r="AN230" t="s">
        <v>1052</v>
      </c>
    </row>
    <row r="231" spans="1:40" x14ac:dyDescent="0.25">
      <c r="A231" t="s">
        <v>1107</v>
      </c>
      <c r="B231" t="s">
        <v>57</v>
      </c>
      <c r="C231" s="4" t="s">
        <v>1744</v>
      </c>
      <c r="D231" t="s">
        <v>1745</v>
      </c>
      <c r="E231" t="s">
        <v>524</v>
      </c>
      <c r="F231" t="str">
        <f>LEFT(premier_player_23_24[[#This Row],[Position]],2)</f>
        <v>MF</v>
      </c>
      <c r="G231" s="3">
        <v>18</v>
      </c>
      <c r="H23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31" s="3">
        <v>9</v>
      </c>
      <c r="J231" s="3">
        <v>0</v>
      </c>
      <c r="K231" s="2">
        <v>156</v>
      </c>
      <c r="L231" s="2" t="str">
        <f>IF(premier_player_23_24[[#This Row],[Minutes]]&gt;1000,"More than 1000 minutes","Less than 1000 minutes")</f>
        <v>Less than 1000 minutes</v>
      </c>
      <c r="M231" s="2">
        <v>1.7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2">
        <v>1</v>
      </c>
      <c r="U231" s="2">
        <v>0</v>
      </c>
      <c r="V231" s="2">
        <v>0</v>
      </c>
      <c r="W231" s="2">
        <f>premier_player_23_24[[#This Row],[Goals]]-premier_player_23_24[[#This Row],[Expected Goals ]]</f>
        <v>0</v>
      </c>
      <c r="X231" s="2">
        <v>0</v>
      </c>
      <c r="Y231" s="2">
        <v>0</v>
      </c>
      <c r="Z231" s="2">
        <v>0</v>
      </c>
      <c r="AA231" s="3">
        <v>2</v>
      </c>
      <c r="AB231" s="3">
        <v>4</v>
      </c>
      <c r="AC231" s="3">
        <v>3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t="s">
        <v>1052</v>
      </c>
    </row>
    <row r="232" spans="1:40" x14ac:dyDescent="0.25">
      <c r="A232" t="s">
        <v>1108</v>
      </c>
      <c r="B232" t="s">
        <v>57</v>
      </c>
      <c r="C232" s="4" t="s">
        <v>1744</v>
      </c>
      <c r="D232" t="s">
        <v>1745</v>
      </c>
      <c r="E232" t="s">
        <v>86</v>
      </c>
      <c r="F232" t="str">
        <f>LEFT(premier_player_23_24[[#This Row],[Position]],2)</f>
        <v>MF</v>
      </c>
      <c r="G232" s="3">
        <v>20</v>
      </c>
      <c r="H23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32" s="3">
        <v>6</v>
      </c>
      <c r="J232" s="3">
        <v>0</v>
      </c>
      <c r="K232" s="2">
        <v>136</v>
      </c>
      <c r="L232" s="2" t="str">
        <f>IF(premier_player_23_24[[#This Row],[Minutes]]&gt;1000,"More than 1000 minutes","Less than 1000 minutes")</f>
        <v>Less than 1000 minutes</v>
      </c>
      <c r="M232" s="2">
        <v>1.5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2">
        <v>0</v>
      </c>
      <c r="U232" s="2">
        <v>0</v>
      </c>
      <c r="V232" s="2">
        <v>0.4</v>
      </c>
      <c r="W232" s="2">
        <f>premier_player_23_24[[#This Row],[Goals]]-premier_player_23_24[[#This Row],[Expected Goals ]]</f>
        <v>-0.4</v>
      </c>
      <c r="X232" s="2">
        <v>0.4</v>
      </c>
      <c r="Y232" s="2">
        <v>0.2</v>
      </c>
      <c r="Z232" s="2">
        <v>0.6</v>
      </c>
      <c r="AA232" s="3">
        <v>7</v>
      </c>
      <c r="AB232" s="3">
        <v>2</v>
      </c>
      <c r="AC232" s="3">
        <v>18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0.28000000000000003</v>
      </c>
      <c r="AJ232" s="1">
        <v>0.1</v>
      </c>
      <c r="AK232" s="1">
        <v>0.38</v>
      </c>
      <c r="AL232" s="1">
        <v>0.28000000000000003</v>
      </c>
      <c r="AM232" s="1">
        <v>0.38</v>
      </c>
      <c r="AN232" t="s">
        <v>1052</v>
      </c>
    </row>
    <row r="233" spans="1:40" x14ac:dyDescent="0.25">
      <c r="A233" t="s">
        <v>1109</v>
      </c>
      <c r="B233" t="s">
        <v>57</v>
      </c>
      <c r="C233" s="4" t="s">
        <v>1744</v>
      </c>
      <c r="D233" t="s">
        <v>1745</v>
      </c>
      <c r="E233" t="s">
        <v>108</v>
      </c>
      <c r="F233" t="str">
        <f>LEFT(premier_player_23_24[[#This Row],[Position]],2)</f>
        <v>DF</v>
      </c>
      <c r="G233" s="3">
        <v>34</v>
      </c>
      <c r="H23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33" s="3">
        <v>4</v>
      </c>
      <c r="J233" s="3">
        <v>0</v>
      </c>
      <c r="K233" s="2">
        <v>10</v>
      </c>
      <c r="L233" s="2" t="str">
        <f>IF(premier_player_23_24[[#This Row],[Minutes]]&gt;1000,"More than 1000 minutes","Less than 1000 minutes")</f>
        <v>Less than 1000 minutes</v>
      </c>
      <c r="M233" s="2">
        <v>0.1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2">
        <v>0</v>
      </c>
      <c r="U233" s="2">
        <v>0</v>
      </c>
      <c r="V233" s="2">
        <v>0</v>
      </c>
      <c r="W233" s="2">
        <f>premier_player_23_24[[#This Row],[Goals]]-premier_player_23_24[[#This Row],[Expected Goals ]]</f>
        <v>0</v>
      </c>
      <c r="X233" s="2">
        <v>0</v>
      </c>
      <c r="Y233" s="2">
        <v>0</v>
      </c>
      <c r="Z233" s="2">
        <v>0</v>
      </c>
      <c r="AA233" s="3">
        <v>0</v>
      </c>
      <c r="AB233" s="3">
        <v>1</v>
      </c>
      <c r="AC233" s="3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t="s">
        <v>1052</v>
      </c>
    </row>
    <row r="234" spans="1:40" x14ac:dyDescent="0.25">
      <c r="A234" t="s">
        <v>1110</v>
      </c>
      <c r="B234" t="s">
        <v>57</v>
      </c>
      <c r="C234" s="4" t="s">
        <v>1744</v>
      </c>
      <c r="D234" t="s">
        <v>1745</v>
      </c>
      <c r="E234" t="s">
        <v>77</v>
      </c>
      <c r="F234" t="str">
        <f>LEFT(premier_player_23_24[[#This Row],[Position]],2)</f>
        <v>GK</v>
      </c>
      <c r="G234" s="3">
        <v>29</v>
      </c>
      <c r="H23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34" s="3">
        <v>1</v>
      </c>
      <c r="J234" s="3">
        <v>0</v>
      </c>
      <c r="K234" s="2">
        <v>4</v>
      </c>
      <c r="L234" s="2" t="str">
        <f>IF(premier_player_23_24[[#This Row],[Minutes]]&gt;1000,"More than 1000 minutes","Less than 1000 minutes")</f>
        <v>Less than 1000 minutes</v>
      </c>
      <c r="M234" s="2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2">
        <v>0</v>
      </c>
      <c r="U234" s="2">
        <v>0</v>
      </c>
      <c r="V234" s="2">
        <v>0</v>
      </c>
      <c r="W234" s="2">
        <f>premier_player_23_24[[#This Row],[Goals]]-premier_player_23_24[[#This Row],[Expected Goals ]]</f>
        <v>0</v>
      </c>
      <c r="X234" s="2">
        <v>0</v>
      </c>
      <c r="Y234" s="2">
        <v>0</v>
      </c>
      <c r="Z234" s="2">
        <v>0</v>
      </c>
      <c r="AA234" s="3">
        <v>0</v>
      </c>
      <c r="AB234" s="3">
        <v>0</v>
      </c>
      <c r="AC234" s="3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t="s">
        <v>1052</v>
      </c>
    </row>
    <row r="235" spans="1:40" x14ac:dyDescent="0.25">
      <c r="A235" t="s">
        <v>1209</v>
      </c>
      <c r="B235" t="s">
        <v>57</v>
      </c>
      <c r="C235" s="4" t="s">
        <v>1744</v>
      </c>
      <c r="D235" t="s">
        <v>1745</v>
      </c>
      <c r="E235" t="s">
        <v>36</v>
      </c>
      <c r="F235" t="str">
        <f>LEFT(premier_player_23_24[[#This Row],[Position]],2)</f>
        <v>MF</v>
      </c>
      <c r="G235" s="3">
        <v>20</v>
      </c>
      <c r="H23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35" s="3">
        <v>12</v>
      </c>
      <c r="J235" s="3">
        <v>1</v>
      </c>
      <c r="K235" s="2">
        <v>232</v>
      </c>
      <c r="L235" s="2" t="str">
        <f>IF(premier_player_23_24[[#This Row],[Minutes]]&gt;1000,"More than 1000 minutes","Less than 1000 minutes")</f>
        <v>Less than 1000 minutes</v>
      </c>
      <c r="M235" s="2">
        <v>2.6</v>
      </c>
      <c r="N235" s="3">
        <v>1</v>
      </c>
      <c r="O235" s="3">
        <v>0</v>
      </c>
      <c r="P235" s="3">
        <v>1</v>
      </c>
      <c r="Q235" s="3">
        <v>1</v>
      </c>
      <c r="R235" s="3">
        <v>0</v>
      </c>
      <c r="S235" s="3">
        <v>0</v>
      </c>
      <c r="T235" s="2">
        <v>1</v>
      </c>
      <c r="U235" s="2">
        <v>0</v>
      </c>
      <c r="V235" s="2">
        <v>0.3</v>
      </c>
      <c r="W235" s="2">
        <f>premier_player_23_24[[#This Row],[Goals]]-premier_player_23_24[[#This Row],[Expected Goals ]]</f>
        <v>0.7</v>
      </c>
      <c r="X235" s="2">
        <v>0.3</v>
      </c>
      <c r="Y235" s="2">
        <v>0.5</v>
      </c>
      <c r="Z235" s="2">
        <v>0.8</v>
      </c>
      <c r="AA235" s="3">
        <v>6</v>
      </c>
      <c r="AB235" s="3">
        <v>3</v>
      </c>
      <c r="AC235" s="3">
        <v>20</v>
      </c>
      <c r="AD235" s="1">
        <v>0.39</v>
      </c>
      <c r="AE235" s="1">
        <v>0</v>
      </c>
      <c r="AF235" s="1">
        <v>0.39</v>
      </c>
      <c r="AG235" s="1">
        <v>0.39</v>
      </c>
      <c r="AH235" s="1">
        <v>0.39</v>
      </c>
      <c r="AI235" s="1">
        <v>0.11</v>
      </c>
      <c r="AJ235" s="1">
        <v>0.19</v>
      </c>
      <c r="AK235" s="1">
        <v>0.3</v>
      </c>
      <c r="AL235" s="1">
        <v>0.11</v>
      </c>
      <c r="AM235" s="1">
        <v>0.3</v>
      </c>
      <c r="AN235" t="s">
        <v>1165</v>
      </c>
    </row>
    <row r="236" spans="1:40" x14ac:dyDescent="0.25">
      <c r="A236" t="s">
        <v>1183</v>
      </c>
      <c r="B236" t="s">
        <v>57</v>
      </c>
      <c r="C236" s="4" t="s">
        <v>1744</v>
      </c>
      <c r="D236" t="s">
        <v>1745</v>
      </c>
      <c r="E236" t="s">
        <v>137</v>
      </c>
      <c r="F236" t="str">
        <f>LEFT(premier_player_23_24[[#This Row],[Position]],2)</f>
        <v>FW</v>
      </c>
      <c r="G236" s="3">
        <v>26</v>
      </c>
      <c r="H23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36" s="3">
        <v>32</v>
      </c>
      <c r="J236" s="3">
        <v>26</v>
      </c>
      <c r="K236" s="2">
        <v>2171</v>
      </c>
      <c r="L236" s="2" t="str">
        <f>IF(premier_player_23_24[[#This Row],[Minutes]]&gt;1000,"More than 1000 minutes","Less than 1000 minutes")</f>
        <v>More than 1000 minutes</v>
      </c>
      <c r="M236" s="2">
        <v>24.1</v>
      </c>
      <c r="N236" s="3">
        <v>7</v>
      </c>
      <c r="O236" s="3">
        <v>2</v>
      </c>
      <c r="P236" s="3">
        <v>9</v>
      </c>
      <c r="Q236" s="3">
        <v>5</v>
      </c>
      <c r="R236" s="3">
        <v>2</v>
      </c>
      <c r="S236" s="3">
        <v>2</v>
      </c>
      <c r="T236" s="2">
        <v>2</v>
      </c>
      <c r="U236" s="2">
        <v>0</v>
      </c>
      <c r="V236" s="2">
        <v>12.9</v>
      </c>
      <c r="W236" s="2">
        <f>premier_player_23_24[[#This Row],[Goals]]-premier_player_23_24[[#This Row],[Expected Goals ]]</f>
        <v>-5.9</v>
      </c>
      <c r="X236" s="2">
        <v>11.4</v>
      </c>
      <c r="Y236" s="2">
        <v>3.1</v>
      </c>
      <c r="Z236" s="2">
        <v>14.5</v>
      </c>
      <c r="AA236" s="3">
        <v>36</v>
      </c>
      <c r="AB236" s="3">
        <v>31</v>
      </c>
      <c r="AC236" s="3">
        <v>122</v>
      </c>
      <c r="AD236" s="1">
        <v>0.28999999999999998</v>
      </c>
      <c r="AE236" s="1">
        <v>0.08</v>
      </c>
      <c r="AF236" s="1">
        <v>0.37</v>
      </c>
      <c r="AG236" s="1">
        <v>0.21</v>
      </c>
      <c r="AH236" s="1">
        <v>0.28999999999999998</v>
      </c>
      <c r="AI236" s="1">
        <v>0.54</v>
      </c>
      <c r="AJ236" s="1">
        <v>0.13</v>
      </c>
      <c r="AK236" s="1">
        <v>0.66</v>
      </c>
      <c r="AL236" s="1">
        <v>0.47</v>
      </c>
      <c r="AM236" s="1">
        <v>0.6</v>
      </c>
      <c r="AN236" t="s">
        <v>1165</v>
      </c>
    </row>
    <row r="237" spans="1:40" x14ac:dyDescent="0.25">
      <c r="A237" t="s">
        <v>1173</v>
      </c>
      <c r="B237" t="s">
        <v>57</v>
      </c>
      <c r="C237" s="4" t="s">
        <v>1744</v>
      </c>
      <c r="D237" t="s">
        <v>1745</v>
      </c>
      <c r="E237" t="s">
        <v>86</v>
      </c>
      <c r="F237" t="str">
        <f>LEFT(premier_player_23_24[[#This Row],[Position]],2)</f>
        <v>MF</v>
      </c>
      <c r="G237" s="3">
        <v>23</v>
      </c>
      <c r="H23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37" s="3">
        <v>35</v>
      </c>
      <c r="J237" s="3">
        <v>33</v>
      </c>
      <c r="K237" s="2">
        <v>2892</v>
      </c>
      <c r="L237" s="2" t="str">
        <f>IF(premier_player_23_24[[#This Row],[Minutes]]&gt;1000,"More than 1000 minutes","Less than 1000 minutes")</f>
        <v>More than 1000 minutes</v>
      </c>
      <c r="M237" s="2">
        <v>32.1</v>
      </c>
      <c r="N237" s="3">
        <v>3</v>
      </c>
      <c r="O237" s="3">
        <v>6</v>
      </c>
      <c r="P237" s="3">
        <v>9</v>
      </c>
      <c r="Q237" s="3">
        <v>3</v>
      </c>
      <c r="R237" s="3">
        <v>0</v>
      </c>
      <c r="S237" s="3">
        <v>0</v>
      </c>
      <c r="T237" s="2">
        <v>2</v>
      </c>
      <c r="U237" s="2">
        <v>0</v>
      </c>
      <c r="V237" s="2">
        <v>3.4</v>
      </c>
      <c r="W237" s="2">
        <f>premier_player_23_24[[#This Row],[Goals]]-premier_player_23_24[[#This Row],[Expected Goals ]]</f>
        <v>-0.39999999999999991</v>
      </c>
      <c r="X237" s="2">
        <v>3.4</v>
      </c>
      <c r="Y237" s="2">
        <v>8.8000000000000007</v>
      </c>
      <c r="Z237" s="2">
        <v>12.2</v>
      </c>
      <c r="AA237" s="3">
        <v>80</v>
      </c>
      <c r="AB237" s="3">
        <v>114</v>
      </c>
      <c r="AC237" s="3">
        <v>147</v>
      </c>
      <c r="AD237" s="1">
        <v>0.09</v>
      </c>
      <c r="AE237" s="1">
        <v>0.19</v>
      </c>
      <c r="AF237" s="1">
        <v>0.28000000000000003</v>
      </c>
      <c r="AG237" s="1">
        <v>0.09</v>
      </c>
      <c r="AH237" s="1">
        <v>0.28000000000000003</v>
      </c>
      <c r="AI237" s="1">
        <v>0.11</v>
      </c>
      <c r="AJ237" s="1">
        <v>0.27</v>
      </c>
      <c r="AK237" s="1">
        <v>0.38</v>
      </c>
      <c r="AL237" s="1">
        <v>0.11</v>
      </c>
      <c r="AM237" s="1">
        <v>0.38</v>
      </c>
      <c r="AN237" t="s">
        <v>1165</v>
      </c>
    </row>
    <row r="238" spans="1:40" x14ac:dyDescent="0.25">
      <c r="A238" t="s">
        <v>1199</v>
      </c>
      <c r="B238" t="s">
        <v>1200</v>
      </c>
      <c r="C238" s="4" t="s">
        <v>1836</v>
      </c>
      <c r="D238" t="s">
        <v>1837</v>
      </c>
      <c r="E238" t="s">
        <v>137</v>
      </c>
      <c r="F238" t="str">
        <f>LEFT(premier_player_23_24[[#This Row],[Position]],2)</f>
        <v>FW</v>
      </c>
      <c r="G238" s="3">
        <v>25</v>
      </c>
      <c r="H23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38" s="3">
        <v>30</v>
      </c>
      <c r="J238" s="3">
        <v>9</v>
      </c>
      <c r="K238" s="2">
        <v>951</v>
      </c>
      <c r="L238" s="2" t="str">
        <f>IF(premier_player_23_24[[#This Row],[Minutes]]&gt;1000,"More than 1000 minutes","Less than 1000 minutes")</f>
        <v>Less than 1000 minutes</v>
      </c>
      <c r="M238" s="2">
        <v>10.6</v>
      </c>
      <c r="N238" s="3">
        <v>3</v>
      </c>
      <c r="O238" s="3">
        <v>0</v>
      </c>
      <c r="P238" s="3">
        <v>3</v>
      </c>
      <c r="Q238" s="3">
        <v>3</v>
      </c>
      <c r="R238" s="3">
        <v>0</v>
      </c>
      <c r="S238" s="3">
        <v>1</v>
      </c>
      <c r="T238" s="2">
        <v>2</v>
      </c>
      <c r="U238" s="2">
        <v>0</v>
      </c>
      <c r="V238" s="2">
        <v>6.8</v>
      </c>
      <c r="W238" s="2">
        <f>premier_player_23_24[[#This Row],[Goals]]-premier_player_23_24[[#This Row],[Expected Goals ]]</f>
        <v>-3.8</v>
      </c>
      <c r="X238" s="2">
        <v>6</v>
      </c>
      <c r="Y238" s="2">
        <v>0.9</v>
      </c>
      <c r="Z238" s="2">
        <v>6.9</v>
      </c>
      <c r="AA238" s="3">
        <v>14</v>
      </c>
      <c r="AB238" s="3">
        <v>14</v>
      </c>
      <c r="AC238" s="3">
        <v>58</v>
      </c>
      <c r="AD238" s="1">
        <v>0.28000000000000003</v>
      </c>
      <c r="AE238" s="1">
        <v>0</v>
      </c>
      <c r="AF238" s="1">
        <v>0.28000000000000003</v>
      </c>
      <c r="AG238" s="1">
        <v>0.28000000000000003</v>
      </c>
      <c r="AH238" s="1">
        <v>0.28000000000000003</v>
      </c>
      <c r="AI238" s="1">
        <v>0.64</v>
      </c>
      <c r="AJ238" s="1">
        <v>0.09</v>
      </c>
      <c r="AK238" s="1">
        <v>0.73</v>
      </c>
      <c r="AL238" s="1">
        <v>0.56999999999999995</v>
      </c>
      <c r="AM238" s="1">
        <v>0.66</v>
      </c>
      <c r="AN238" t="s">
        <v>1165</v>
      </c>
    </row>
    <row r="239" spans="1:40" x14ac:dyDescent="0.25">
      <c r="A239" t="s">
        <v>1177</v>
      </c>
      <c r="B239" t="s">
        <v>781</v>
      </c>
      <c r="C239" s="4" t="s">
        <v>1834</v>
      </c>
      <c r="D239" t="s">
        <v>1835</v>
      </c>
      <c r="E239" t="s">
        <v>58</v>
      </c>
      <c r="F239" t="str">
        <f>LEFT(premier_player_23_24[[#This Row],[Position]],2)</f>
        <v>FW</v>
      </c>
      <c r="G239" s="3">
        <v>30</v>
      </c>
      <c r="H23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39" s="3">
        <v>32</v>
      </c>
      <c r="J239" s="3">
        <v>32</v>
      </c>
      <c r="K239" s="2">
        <v>2629</v>
      </c>
      <c r="L239" s="2" t="str">
        <f>IF(premier_player_23_24[[#This Row],[Minutes]]&gt;1000,"More than 1000 minutes","Less than 1000 minutes")</f>
        <v>More than 1000 minutes</v>
      </c>
      <c r="M239" s="2">
        <v>29.2</v>
      </c>
      <c r="N239" s="3">
        <v>7</v>
      </c>
      <c r="O239" s="3">
        <v>1</v>
      </c>
      <c r="P239" s="3">
        <v>8</v>
      </c>
      <c r="Q239" s="3">
        <v>7</v>
      </c>
      <c r="R239" s="3">
        <v>0</v>
      </c>
      <c r="S239" s="3">
        <v>0</v>
      </c>
      <c r="T239" s="2">
        <v>7</v>
      </c>
      <c r="U239" s="2">
        <v>0</v>
      </c>
      <c r="V239" s="2">
        <v>8.8000000000000007</v>
      </c>
      <c r="W239" s="2">
        <f>premier_player_23_24[[#This Row],[Goals]]-premier_player_23_24[[#This Row],[Expected Goals ]]</f>
        <v>-1.8000000000000007</v>
      </c>
      <c r="X239" s="2">
        <v>8.8000000000000007</v>
      </c>
      <c r="Y239" s="2">
        <v>2.9</v>
      </c>
      <c r="Z239" s="2">
        <v>11.6</v>
      </c>
      <c r="AA239" s="3">
        <v>55</v>
      </c>
      <c r="AB239" s="3">
        <v>97</v>
      </c>
      <c r="AC239" s="3">
        <v>140</v>
      </c>
      <c r="AD239" s="1">
        <v>0.24</v>
      </c>
      <c r="AE239" s="1">
        <v>0.03</v>
      </c>
      <c r="AF239" s="1">
        <v>0.27</v>
      </c>
      <c r="AG239" s="1">
        <v>0.24</v>
      </c>
      <c r="AH239" s="1">
        <v>0.27</v>
      </c>
      <c r="AI239" s="1">
        <v>0.3</v>
      </c>
      <c r="AJ239" s="1">
        <v>0.1</v>
      </c>
      <c r="AK239" s="1">
        <v>0.4</v>
      </c>
      <c r="AL239" s="1">
        <v>0.3</v>
      </c>
      <c r="AM239" s="1">
        <v>0.4</v>
      </c>
      <c r="AN239" t="s">
        <v>1165</v>
      </c>
    </row>
    <row r="240" spans="1:40" x14ac:dyDescent="0.25">
      <c r="A240" t="s">
        <v>1187</v>
      </c>
      <c r="B240" t="s">
        <v>57</v>
      </c>
      <c r="C240" s="4" t="s">
        <v>1744</v>
      </c>
      <c r="D240" t="s">
        <v>1745</v>
      </c>
      <c r="E240" t="s">
        <v>86</v>
      </c>
      <c r="F240" t="str">
        <f>LEFT(premier_player_23_24[[#This Row],[Position]],2)</f>
        <v>MF</v>
      </c>
      <c r="G240" s="3">
        <v>26</v>
      </c>
      <c r="H24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40" s="3">
        <v>29</v>
      </c>
      <c r="J240" s="3">
        <v>25</v>
      </c>
      <c r="K240" s="2">
        <v>2214</v>
      </c>
      <c r="L240" s="2" t="str">
        <f>IF(premier_player_23_24[[#This Row],[Minutes]]&gt;1000,"More than 1000 minutes","Less than 1000 minutes")</f>
        <v>More than 1000 minutes</v>
      </c>
      <c r="M240" s="2">
        <v>24.6</v>
      </c>
      <c r="N240" s="3">
        <v>3</v>
      </c>
      <c r="O240" s="3">
        <v>3</v>
      </c>
      <c r="P240" s="3">
        <v>6</v>
      </c>
      <c r="Q240" s="3">
        <v>3</v>
      </c>
      <c r="R240" s="3">
        <v>0</v>
      </c>
      <c r="S240" s="3">
        <v>0</v>
      </c>
      <c r="T240" s="2">
        <v>1</v>
      </c>
      <c r="U240" s="2">
        <v>0</v>
      </c>
      <c r="V240" s="2">
        <v>3.6</v>
      </c>
      <c r="W240" s="2">
        <f>premier_player_23_24[[#This Row],[Goals]]-premier_player_23_24[[#This Row],[Expected Goals ]]</f>
        <v>-0.60000000000000009</v>
      </c>
      <c r="X240" s="2">
        <v>3.6</v>
      </c>
      <c r="Y240" s="2">
        <v>3.4</v>
      </c>
      <c r="Z240" s="2">
        <v>7</v>
      </c>
      <c r="AA240" s="3">
        <v>65</v>
      </c>
      <c r="AB240" s="3">
        <v>62</v>
      </c>
      <c r="AC240" s="3">
        <v>135</v>
      </c>
      <c r="AD240" s="1">
        <v>0.12</v>
      </c>
      <c r="AE240" s="1">
        <v>0.12</v>
      </c>
      <c r="AF240" s="1">
        <v>0.24</v>
      </c>
      <c r="AG240" s="1">
        <v>0.12</v>
      </c>
      <c r="AH240" s="1">
        <v>0.24</v>
      </c>
      <c r="AI240" s="1">
        <v>0.14000000000000001</v>
      </c>
      <c r="AJ240" s="1">
        <v>0.14000000000000001</v>
      </c>
      <c r="AK240" s="1">
        <v>0.28000000000000003</v>
      </c>
      <c r="AL240" s="1">
        <v>0.14000000000000001</v>
      </c>
      <c r="AM240" s="1">
        <v>0.28000000000000003</v>
      </c>
      <c r="AN240" t="s">
        <v>1165</v>
      </c>
    </row>
    <row r="241" spans="1:40" x14ac:dyDescent="0.25">
      <c r="A241" t="s">
        <v>1206</v>
      </c>
      <c r="B241" t="s">
        <v>57</v>
      </c>
      <c r="C241" s="4" t="s">
        <v>1744</v>
      </c>
      <c r="D241" t="s">
        <v>1745</v>
      </c>
      <c r="E241" t="s">
        <v>108</v>
      </c>
      <c r="F241" t="str">
        <f>LEFT(premier_player_23_24[[#This Row],[Position]],2)</f>
        <v>DF</v>
      </c>
      <c r="G241" s="3">
        <v>30</v>
      </c>
      <c r="H24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41" s="3">
        <v>9</v>
      </c>
      <c r="J241" s="3">
        <v>4</v>
      </c>
      <c r="K241" s="2">
        <v>439</v>
      </c>
      <c r="L241" s="2" t="str">
        <f>IF(premier_player_23_24[[#This Row],[Minutes]]&gt;1000,"More than 1000 minutes","Less than 1000 minutes")</f>
        <v>Less than 1000 minutes</v>
      </c>
      <c r="M241" s="2">
        <v>4.9000000000000004</v>
      </c>
      <c r="N241" s="3">
        <v>1</v>
      </c>
      <c r="O241" s="3">
        <v>0</v>
      </c>
      <c r="P241" s="3">
        <v>1</v>
      </c>
      <c r="Q241" s="3">
        <v>1</v>
      </c>
      <c r="R241" s="3">
        <v>0</v>
      </c>
      <c r="S241" s="3">
        <v>0</v>
      </c>
      <c r="T241" s="2">
        <v>2</v>
      </c>
      <c r="U241" s="2">
        <v>0</v>
      </c>
      <c r="V241" s="2">
        <v>0.7</v>
      </c>
      <c r="W241" s="2">
        <f>premier_player_23_24[[#This Row],[Goals]]-premier_player_23_24[[#This Row],[Expected Goals ]]</f>
        <v>0.30000000000000004</v>
      </c>
      <c r="X241" s="2">
        <v>0.7</v>
      </c>
      <c r="Y241" s="2">
        <v>0</v>
      </c>
      <c r="Z241" s="2">
        <v>0.7</v>
      </c>
      <c r="AA241" s="3">
        <v>4</v>
      </c>
      <c r="AB241" s="3">
        <v>14</v>
      </c>
      <c r="AC241" s="3">
        <v>3</v>
      </c>
      <c r="AD241" s="1">
        <v>0.21</v>
      </c>
      <c r="AE241" s="1">
        <v>0</v>
      </c>
      <c r="AF241" s="1">
        <v>0.21</v>
      </c>
      <c r="AG241" s="1">
        <v>0.21</v>
      </c>
      <c r="AH241" s="1">
        <v>0.21</v>
      </c>
      <c r="AI241" s="1">
        <v>0.14000000000000001</v>
      </c>
      <c r="AJ241" s="1">
        <v>0</v>
      </c>
      <c r="AK241" s="1">
        <v>0.14000000000000001</v>
      </c>
      <c r="AL241" s="1">
        <v>0.14000000000000001</v>
      </c>
      <c r="AM241" s="1">
        <v>0.14000000000000001</v>
      </c>
      <c r="AN241" t="s">
        <v>1165</v>
      </c>
    </row>
    <row r="242" spans="1:40" x14ac:dyDescent="0.25">
      <c r="A242" t="s">
        <v>1190</v>
      </c>
      <c r="B242" t="s">
        <v>555</v>
      </c>
      <c r="C242" s="4" t="s">
        <v>1830</v>
      </c>
      <c r="D242" t="s">
        <v>1831</v>
      </c>
      <c r="E242" t="s">
        <v>36</v>
      </c>
      <c r="F242" t="str">
        <f>LEFT(premier_player_23_24[[#This Row],[Position]],2)</f>
        <v>MF</v>
      </c>
      <c r="G242" s="3">
        <v>33</v>
      </c>
      <c r="H24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42" s="3">
        <v>25</v>
      </c>
      <c r="J242" s="3">
        <v>24</v>
      </c>
      <c r="K242" s="2">
        <v>1884</v>
      </c>
      <c r="L242" s="2" t="str">
        <f>IF(premier_player_23_24[[#This Row],[Minutes]]&gt;1000,"More than 1000 minutes","Less than 1000 minutes")</f>
        <v>More than 1000 minutes</v>
      </c>
      <c r="M242" s="2">
        <v>20.9</v>
      </c>
      <c r="N242" s="3">
        <v>4</v>
      </c>
      <c r="O242" s="3">
        <v>0</v>
      </c>
      <c r="P242" s="3">
        <v>4</v>
      </c>
      <c r="Q242" s="3">
        <v>4</v>
      </c>
      <c r="R242" s="3">
        <v>0</v>
      </c>
      <c r="S242" s="3">
        <v>0</v>
      </c>
      <c r="T242" s="2">
        <v>8</v>
      </c>
      <c r="U242" s="2">
        <v>0</v>
      </c>
      <c r="V242" s="2">
        <v>1.3</v>
      </c>
      <c r="W242" s="2">
        <f>premier_player_23_24[[#This Row],[Goals]]-premier_player_23_24[[#This Row],[Expected Goals ]]</f>
        <v>2.7</v>
      </c>
      <c r="X242" s="2">
        <v>1.3</v>
      </c>
      <c r="Y242" s="2">
        <v>1.1000000000000001</v>
      </c>
      <c r="Z242" s="2">
        <v>2.4</v>
      </c>
      <c r="AA242" s="3">
        <v>29</v>
      </c>
      <c r="AB242" s="3">
        <v>83</v>
      </c>
      <c r="AC242" s="3">
        <v>41</v>
      </c>
      <c r="AD242" s="1">
        <v>0.19</v>
      </c>
      <c r="AE242" s="1">
        <v>0</v>
      </c>
      <c r="AF242" s="1">
        <v>0.19</v>
      </c>
      <c r="AG242" s="1">
        <v>0.19</v>
      </c>
      <c r="AH242" s="1">
        <v>0.19</v>
      </c>
      <c r="AI242" s="1">
        <v>0.06</v>
      </c>
      <c r="AJ242" s="1">
        <v>0.05</v>
      </c>
      <c r="AK242" s="1">
        <v>0.12</v>
      </c>
      <c r="AL242" s="1">
        <v>0.06</v>
      </c>
      <c r="AM242" s="1">
        <v>0.12</v>
      </c>
      <c r="AN242" t="s">
        <v>1165</v>
      </c>
    </row>
    <row r="243" spans="1:40" x14ac:dyDescent="0.25">
      <c r="A243" t="s">
        <v>1198</v>
      </c>
      <c r="B243" t="s">
        <v>360</v>
      </c>
      <c r="C243" s="4" t="s">
        <v>1776</v>
      </c>
      <c r="D243" t="s">
        <v>1777</v>
      </c>
      <c r="E243" t="s">
        <v>108</v>
      </c>
      <c r="F243" t="str">
        <f>LEFT(premier_player_23_24[[#This Row],[Position]],2)</f>
        <v>DF</v>
      </c>
      <c r="G243" s="3">
        <v>21</v>
      </c>
      <c r="H24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43" s="3">
        <v>20</v>
      </c>
      <c r="J243" s="3">
        <v>9</v>
      </c>
      <c r="K243" s="2">
        <v>1005</v>
      </c>
      <c r="L243" s="2" t="str">
        <f>IF(premier_player_23_24[[#This Row],[Minutes]]&gt;1000,"More than 1000 minutes","Less than 1000 minutes")</f>
        <v>More than 1000 minutes</v>
      </c>
      <c r="M243" s="2">
        <v>11.2</v>
      </c>
      <c r="N243" s="3">
        <v>0</v>
      </c>
      <c r="O243" s="3">
        <v>2</v>
      </c>
      <c r="P243" s="3">
        <v>2</v>
      </c>
      <c r="Q243" s="3">
        <v>0</v>
      </c>
      <c r="R243" s="3">
        <v>0</v>
      </c>
      <c r="S243" s="3">
        <v>0</v>
      </c>
      <c r="T243" s="2">
        <v>4</v>
      </c>
      <c r="U243" s="2">
        <v>0</v>
      </c>
      <c r="V243" s="2">
        <v>0.3</v>
      </c>
      <c r="W243" s="2">
        <f>premier_player_23_24[[#This Row],[Goals]]-premier_player_23_24[[#This Row],[Expected Goals ]]</f>
        <v>-0.3</v>
      </c>
      <c r="X243" s="2">
        <v>0.3</v>
      </c>
      <c r="Y243" s="2">
        <v>1.7</v>
      </c>
      <c r="Z243" s="2">
        <v>2</v>
      </c>
      <c r="AA243" s="3">
        <v>17</v>
      </c>
      <c r="AB243" s="3">
        <v>38</v>
      </c>
      <c r="AC243" s="3">
        <v>39</v>
      </c>
      <c r="AD243" s="1">
        <v>0</v>
      </c>
      <c r="AE243" s="1">
        <v>0.18</v>
      </c>
      <c r="AF243" s="1">
        <v>0.18</v>
      </c>
      <c r="AG243" s="1">
        <v>0</v>
      </c>
      <c r="AH243" s="1">
        <v>0.18</v>
      </c>
      <c r="AI243" s="1">
        <v>0.03</v>
      </c>
      <c r="AJ243" s="1">
        <v>0.15</v>
      </c>
      <c r="AK243" s="1">
        <v>0.18</v>
      </c>
      <c r="AL243" s="1">
        <v>0.03</v>
      </c>
      <c r="AM243" s="1">
        <v>0.18</v>
      </c>
      <c r="AN243" t="s">
        <v>1165</v>
      </c>
    </row>
    <row r="244" spans="1:40" x14ac:dyDescent="0.25">
      <c r="A244" t="s">
        <v>1208</v>
      </c>
      <c r="B244" t="s">
        <v>122</v>
      </c>
      <c r="C244" s="4" t="s">
        <v>1742</v>
      </c>
      <c r="D244" t="s">
        <v>1743</v>
      </c>
      <c r="E244" t="s">
        <v>86</v>
      </c>
      <c r="F244" t="str">
        <f>LEFT(premier_player_23_24[[#This Row],[Position]],2)</f>
        <v>MF</v>
      </c>
      <c r="G244" s="3">
        <v>30</v>
      </c>
      <c r="H24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44" s="3">
        <v>12</v>
      </c>
      <c r="J244" s="3">
        <v>3</v>
      </c>
      <c r="K244" s="2">
        <v>508</v>
      </c>
      <c r="L244" s="2" t="str">
        <f>IF(premier_player_23_24[[#This Row],[Minutes]]&gt;1000,"More than 1000 minutes","Less than 1000 minutes")</f>
        <v>Less than 1000 minutes</v>
      </c>
      <c r="M244" s="2">
        <v>5.6</v>
      </c>
      <c r="N244" s="3">
        <v>1</v>
      </c>
      <c r="O244" s="3">
        <v>0</v>
      </c>
      <c r="P244" s="3">
        <v>1</v>
      </c>
      <c r="Q244" s="3">
        <v>1</v>
      </c>
      <c r="R244" s="3">
        <v>0</v>
      </c>
      <c r="S244" s="3">
        <v>0</v>
      </c>
      <c r="T244" s="2">
        <v>4</v>
      </c>
      <c r="U244" s="2">
        <v>0</v>
      </c>
      <c r="V244" s="2">
        <v>0.3</v>
      </c>
      <c r="W244" s="2">
        <f>premier_player_23_24[[#This Row],[Goals]]-premier_player_23_24[[#This Row],[Expected Goals ]]</f>
        <v>0.7</v>
      </c>
      <c r="X244" s="2">
        <v>0.3</v>
      </c>
      <c r="Y244" s="2">
        <v>0.4</v>
      </c>
      <c r="Z244" s="2">
        <v>0.7</v>
      </c>
      <c r="AA244" s="3">
        <v>8</v>
      </c>
      <c r="AB244" s="3">
        <v>36</v>
      </c>
      <c r="AC244" s="3">
        <v>29</v>
      </c>
      <c r="AD244" s="1">
        <v>0.18</v>
      </c>
      <c r="AE244" s="1">
        <v>0</v>
      </c>
      <c r="AF244" s="1">
        <v>0.18</v>
      </c>
      <c r="AG244" s="1">
        <v>0.18</v>
      </c>
      <c r="AH244" s="1">
        <v>0.18</v>
      </c>
      <c r="AI244" s="1">
        <v>0.05</v>
      </c>
      <c r="AJ244" s="1">
        <v>7.0000000000000007E-2</v>
      </c>
      <c r="AK244" s="1">
        <v>0.13</v>
      </c>
      <c r="AL244" s="1">
        <v>0.05</v>
      </c>
      <c r="AM244" s="1">
        <v>0.13</v>
      </c>
      <c r="AN244" t="s">
        <v>1165</v>
      </c>
    </row>
    <row r="245" spans="1:40" x14ac:dyDescent="0.25">
      <c r="A245" t="s">
        <v>1204</v>
      </c>
      <c r="B245" t="s">
        <v>196</v>
      </c>
      <c r="C245" s="4" t="s">
        <v>1768</v>
      </c>
      <c r="D245" t="s">
        <v>1769</v>
      </c>
      <c r="E245" t="s">
        <v>86</v>
      </c>
      <c r="F245" t="str">
        <f>LEFT(premier_player_23_24[[#This Row],[Position]],2)</f>
        <v>MF</v>
      </c>
      <c r="G245" s="3">
        <v>26</v>
      </c>
      <c r="H24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45" s="3">
        <v>14</v>
      </c>
      <c r="J245" s="3">
        <v>5</v>
      </c>
      <c r="K245" s="2">
        <v>595</v>
      </c>
      <c r="L245" s="2" t="str">
        <f>IF(premier_player_23_24[[#This Row],[Minutes]]&gt;1000,"More than 1000 minutes","Less than 1000 minutes")</f>
        <v>Less than 1000 minutes</v>
      </c>
      <c r="M245" s="2">
        <v>6.6</v>
      </c>
      <c r="N245" s="3">
        <v>1</v>
      </c>
      <c r="O245" s="3">
        <v>0</v>
      </c>
      <c r="P245" s="3">
        <v>1</v>
      </c>
      <c r="Q245" s="3">
        <v>1</v>
      </c>
      <c r="R245" s="3">
        <v>0</v>
      </c>
      <c r="S245" s="3">
        <v>0</v>
      </c>
      <c r="T245" s="2">
        <v>0</v>
      </c>
      <c r="U245" s="2">
        <v>0</v>
      </c>
      <c r="V245" s="2">
        <v>2.6</v>
      </c>
      <c r="W245" s="2">
        <f>premier_player_23_24[[#This Row],[Goals]]-premier_player_23_24[[#This Row],[Expected Goals ]]</f>
        <v>-1.6</v>
      </c>
      <c r="X245" s="2">
        <v>2.6</v>
      </c>
      <c r="Y245" s="2">
        <v>1.1000000000000001</v>
      </c>
      <c r="Z245" s="2">
        <v>3.7</v>
      </c>
      <c r="AA245" s="3">
        <v>24</v>
      </c>
      <c r="AB245" s="3">
        <v>9</v>
      </c>
      <c r="AC245" s="3">
        <v>44</v>
      </c>
      <c r="AD245" s="1">
        <v>0.15</v>
      </c>
      <c r="AE245" s="1">
        <v>0</v>
      </c>
      <c r="AF245" s="1">
        <v>0.15</v>
      </c>
      <c r="AG245" s="1">
        <v>0.15</v>
      </c>
      <c r="AH245" s="1">
        <v>0.15</v>
      </c>
      <c r="AI245" s="1">
        <v>0.4</v>
      </c>
      <c r="AJ245" s="1">
        <v>0.17</v>
      </c>
      <c r="AK245" s="1">
        <v>0.56999999999999995</v>
      </c>
      <c r="AL245" s="1">
        <v>0.4</v>
      </c>
      <c r="AM245" s="1">
        <v>0.56999999999999995</v>
      </c>
      <c r="AN245" t="s">
        <v>1165</v>
      </c>
    </row>
    <row r="246" spans="1:40" x14ac:dyDescent="0.25">
      <c r="A246" t="s">
        <v>1168</v>
      </c>
      <c r="B246" t="s">
        <v>57</v>
      </c>
      <c r="C246" s="4" t="s">
        <v>1744</v>
      </c>
      <c r="D246" t="s">
        <v>1745</v>
      </c>
      <c r="E246" t="s">
        <v>108</v>
      </c>
      <c r="F246" t="str">
        <f>LEFT(premier_player_23_24[[#This Row],[Position]],2)</f>
        <v>DF</v>
      </c>
      <c r="G246" s="3">
        <v>21</v>
      </c>
      <c r="H24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46" s="3">
        <v>35</v>
      </c>
      <c r="J246" s="3">
        <v>35</v>
      </c>
      <c r="K246" s="2">
        <v>3116</v>
      </c>
      <c r="L246" s="2" t="str">
        <f>IF(premier_player_23_24[[#This Row],[Minutes]]&gt;1000,"More than 1000 minutes","Less than 1000 minutes")</f>
        <v>More than 1000 minutes</v>
      </c>
      <c r="M246" s="2">
        <v>34.6</v>
      </c>
      <c r="N246" s="3">
        <v>3</v>
      </c>
      <c r="O246" s="3">
        <v>0</v>
      </c>
      <c r="P246" s="3">
        <v>3</v>
      </c>
      <c r="Q246" s="3">
        <v>3</v>
      </c>
      <c r="R246" s="3">
        <v>0</v>
      </c>
      <c r="S246" s="3">
        <v>0</v>
      </c>
      <c r="T246" s="2">
        <v>8</v>
      </c>
      <c r="U246" s="2">
        <v>0</v>
      </c>
      <c r="V246" s="2">
        <v>1.7</v>
      </c>
      <c r="W246" s="2">
        <f>premier_player_23_24[[#This Row],[Goals]]-premier_player_23_24[[#This Row],[Expected Goals ]]</f>
        <v>1.3</v>
      </c>
      <c r="X246" s="2">
        <v>1.7</v>
      </c>
      <c r="Y246" s="2">
        <v>1</v>
      </c>
      <c r="Z246" s="2">
        <v>2.8</v>
      </c>
      <c r="AA246" s="3">
        <v>2</v>
      </c>
      <c r="AB246" s="3">
        <v>74</v>
      </c>
      <c r="AC246" s="3">
        <v>6</v>
      </c>
      <c r="AD246" s="1">
        <v>0.09</v>
      </c>
      <c r="AE246" s="1">
        <v>0</v>
      </c>
      <c r="AF246" s="1">
        <v>0.09</v>
      </c>
      <c r="AG246" s="1">
        <v>0.09</v>
      </c>
      <c r="AH246" s="1">
        <v>0.09</v>
      </c>
      <c r="AI246" s="1">
        <v>0.05</v>
      </c>
      <c r="AJ246" s="1">
        <v>0.03</v>
      </c>
      <c r="AK246" s="1">
        <v>0.08</v>
      </c>
      <c r="AL246" s="1">
        <v>0.05</v>
      </c>
      <c r="AM246" s="1">
        <v>0.08</v>
      </c>
      <c r="AN246" t="s">
        <v>1165</v>
      </c>
    </row>
    <row r="247" spans="1:40" x14ac:dyDescent="0.25">
      <c r="A247" t="s">
        <v>1170</v>
      </c>
      <c r="B247" t="s">
        <v>57</v>
      </c>
      <c r="C247" s="4" t="s">
        <v>1744</v>
      </c>
      <c r="D247" t="s">
        <v>1745</v>
      </c>
      <c r="E247" t="s">
        <v>36</v>
      </c>
      <c r="F247" t="str">
        <f>LEFT(premier_player_23_24[[#This Row],[Position]],2)</f>
        <v>MF</v>
      </c>
      <c r="G247" s="3">
        <v>22</v>
      </c>
      <c r="H24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47" s="3">
        <v>37</v>
      </c>
      <c r="J247" s="3">
        <v>34</v>
      </c>
      <c r="K247" s="2">
        <v>3004</v>
      </c>
      <c r="L247" s="2" t="str">
        <f>IF(premier_player_23_24[[#This Row],[Minutes]]&gt;1000,"More than 1000 minutes","Less than 1000 minutes")</f>
        <v>More than 1000 minutes</v>
      </c>
      <c r="M247" s="2">
        <v>33.4</v>
      </c>
      <c r="N247" s="3">
        <v>1</v>
      </c>
      <c r="O247" s="3">
        <v>2</v>
      </c>
      <c r="P247" s="3">
        <v>3</v>
      </c>
      <c r="Q247" s="3">
        <v>1</v>
      </c>
      <c r="R247" s="3">
        <v>0</v>
      </c>
      <c r="S247" s="3">
        <v>0</v>
      </c>
      <c r="T247" s="2">
        <v>7</v>
      </c>
      <c r="U247" s="2">
        <v>0</v>
      </c>
      <c r="V247" s="2">
        <v>2.7</v>
      </c>
      <c r="W247" s="2">
        <f>premier_player_23_24[[#This Row],[Goals]]-premier_player_23_24[[#This Row],[Expected Goals ]]</f>
        <v>-1.7000000000000002</v>
      </c>
      <c r="X247" s="2">
        <v>2.7</v>
      </c>
      <c r="Y247" s="2">
        <v>4.5999999999999996</v>
      </c>
      <c r="Z247" s="2">
        <v>7.3</v>
      </c>
      <c r="AA247" s="3">
        <v>36</v>
      </c>
      <c r="AB247" s="3">
        <v>100</v>
      </c>
      <c r="AC247" s="3">
        <v>76</v>
      </c>
      <c r="AD247" s="1">
        <v>0.03</v>
      </c>
      <c r="AE247" s="1">
        <v>0.06</v>
      </c>
      <c r="AF247" s="1">
        <v>0.09</v>
      </c>
      <c r="AG247" s="1">
        <v>0.03</v>
      </c>
      <c r="AH247" s="1">
        <v>0.09</v>
      </c>
      <c r="AI247" s="1">
        <v>0.08</v>
      </c>
      <c r="AJ247" s="1">
        <v>0.14000000000000001</v>
      </c>
      <c r="AK247" s="1">
        <v>0.22</v>
      </c>
      <c r="AL247" s="1">
        <v>0.08</v>
      </c>
      <c r="AM247" s="1">
        <v>0.22</v>
      </c>
      <c r="AN247" t="s">
        <v>1165</v>
      </c>
    </row>
    <row r="248" spans="1:40" x14ac:dyDescent="0.25">
      <c r="A248" t="s">
        <v>1193</v>
      </c>
      <c r="B248" t="s">
        <v>207</v>
      </c>
      <c r="C248" s="4" t="s">
        <v>1746</v>
      </c>
      <c r="D248" t="s">
        <v>1747</v>
      </c>
      <c r="E248" t="s">
        <v>36</v>
      </c>
      <c r="F248" t="str">
        <f>LEFT(premier_player_23_24[[#This Row],[Position]],2)</f>
        <v>MF</v>
      </c>
      <c r="G248" s="3">
        <v>21</v>
      </c>
      <c r="H24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48" s="3">
        <v>30</v>
      </c>
      <c r="J248" s="3">
        <v>23</v>
      </c>
      <c r="K248" s="2">
        <v>2091</v>
      </c>
      <c r="L248" s="2" t="str">
        <f>IF(premier_player_23_24[[#This Row],[Minutes]]&gt;1000,"More than 1000 minutes","Less than 1000 minutes")</f>
        <v>More than 1000 minutes</v>
      </c>
      <c r="M248" s="2">
        <v>23.2</v>
      </c>
      <c r="N248" s="3">
        <v>2</v>
      </c>
      <c r="O248" s="3">
        <v>0</v>
      </c>
      <c r="P248" s="3">
        <v>2</v>
      </c>
      <c r="Q248" s="3">
        <v>2</v>
      </c>
      <c r="R248" s="3">
        <v>0</v>
      </c>
      <c r="S248" s="3">
        <v>0</v>
      </c>
      <c r="T248" s="2">
        <v>5</v>
      </c>
      <c r="U248" s="2">
        <v>0</v>
      </c>
      <c r="V248" s="2">
        <v>2</v>
      </c>
      <c r="W248" s="2">
        <f>premier_player_23_24[[#This Row],[Goals]]-premier_player_23_24[[#This Row],[Expected Goals ]]</f>
        <v>0</v>
      </c>
      <c r="X248" s="2">
        <v>2</v>
      </c>
      <c r="Y248" s="2">
        <v>2.7</v>
      </c>
      <c r="Z248" s="2">
        <v>4.7</v>
      </c>
      <c r="AA248" s="3">
        <v>21</v>
      </c>
      <c r="AB248" s="3">
        <v>107</v>
      </c>
      <c r="AC248" s="3">
        <v>39</v>
      </c>
      <c r="AD248" s="1">
        <v>0.09</v>
      </c>
      <c r="AE248" s="1">
        <v>0</v>
      </c>
      <c r="AF248" s="1">
        <v>0.09</v>
      </c>
      <c r="AG248" s="1">
        <v>0.09</v>
      </c>
      <c r="AH248" s="1">
        <v>0.09</v>
      </c>
      <c r="AI248" s="1">
        <v>0.09</v>
      </c>
      <c r="AJ248" s="1">
        <v>0.11</v>
      </c>
      <c r="AK248" s="1">
        <v>0.2</v>
      </c>
      <c r="AL248" s="1">
        <v>0.09</v>
      </c>
      <c r="AM248" s="1">
        <v>0.2</v>
      </c>
      <c r="AN248" t="s">
        <v>1165</v>
      </c>
    </row>
    <row r="249" spans="1:40" x14ac:dyDescent="0.25">
      <c r="A249" t="s">
        <v>1178</v>
      </c>
      <c r="B249" t="s">
        <v>493</v>
      </c>
      <c r="C249" s="4" t="s">
        <v>1760</v>
      </c>
      <c r="D249" t="s">
        <v>1761</v>
      </c>
      <c r="E249" t="s">
        <v>108</v>
      </c>
      <c r="F249" t="str">
        <f>LEFT(premier_player_23_24[[#This Row],[Position]],2)</f>
        <v>DF</v>
      </c>
      <c r="G249" s="3">
        <v>24</v>
      </c>
      <c r="H24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49" s="3">
        <v>28</v>
      </c>
      <c r="J249" s="3">
        <v>28</v>
      </c>
      <c r="K249" s="2">
        <v>2469</v>
      </c>
      <c r="L249" s="2" t="str">
        <f>IF(premier_player_23_24[[#This Row],[Minutes]]&gt;1000,"More than 1000 minutes","Less than 1000 minutes")</f>
        <v>More than 1000 minutes</v>
      </c>
      <c r="M249" s="2">
        <v>27.4</v>
      </c>
      <c r="N249" s="3">
        <v>2</v>
      </c>
      <c r="O249" s="3">
        <v>0</v>
      </c>
      <c r="P249" s="3">
        <v>2</v>
      </c>
      <c r="Q249" s="3">
        <v>2</v>
      </c>
      <c r="R249" s="3">
        <v>0</v>
      </c>
      <c r="S249" s="3">
        <v>0</v>
      </c>
      <c r="T249" s="2">
        <v>1</v>
      </c>
      <c r="U249" s="2">
        <v>0</v>
      </c>
      <c r="V249" s="2">
        <v>1.5</v>
      </c>
      <c r="W249" s="2">
        <f>premier_player_23_24[[#This Row],[Goals]]-premier_player_23_24[[#This Row],[Expected Goals ]]</f>
        <v>0.5</v>
      </c>
      <c r="X249" s="2">
        <v>1.5</v>
      </c>
      <c r="Y249" s="2">
        <v>0.9</v>
      </c>
      <c r="Z249" s="2">
        <v>2.4</v>
      </c>
      <c r="AA249" s="3">
        <v>14</v>
      </c>
      <c r="AB249" s="3">
        <v>55</v>
      </c>
      <c r="AC249" s="3">
        <v>68</v>
      </c>
      <c r="AD249" s="1">
        <v>7.0000000000000007E-2</v>
      </c>
      <c r="AE249" s="1">
        <v>0</v>
      </c>
      <c r="AF249" s="1">
        <v>7.0000000000000007E-2</v>
      </c>
      <c r="AG249" s="1">
        <v>7.0000000000000007E-2</v>
      </c>
      <c r="AH249" s="1">
        <v>7.0000000000000007E-2</v>
      </c>
      <c r="AI249" s="1">
        <v>0.06</v>
      </c>
      <c r="AJ249" s="1">
        <v>0.03</v>
      </c>
      <c r="AK249" s="1">
        <v>0.09</v>
      </c>
      <c r="AL249" s="1">
        <v>0.06</v>
      </c>
      <c r="AM249" s="1">
        <v>0.09</v>
      </c>
      <c r="AN249" t="s">
        <v>1165</v>
      </c>
    </row>
    <row r="250" spans="1:40" x14ac:dyDescent="0.25">
      <c r="A250" t="s">
        <v>1166</v>
      </c>
      <c r="B250" t="s">
        <v>57</v>
      </c>
      <c r="C250" s="4" t="s">
        <v>1744</v>
      </c>
      <c r="D250" t="s">
        <v>1745</v>
      </c>
      <c r="E250" t="s">
        <v>108</v>
      </c>
      <c r="F250" t="str">
        <f>LEFT(premier_player_23_24[[#This Row],[Position]],2)</f>
        <v>DF</v>
      </c>
      <c r="G250" s="3">
        <v>30</v>
      </c>
      <c r="H25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50" s="3">
        <v>38</v>
      </c>
      <c r="J250" s="3">
        <v>38</v>
      </c>
      <c r="K250" s="2">
        <v>3419</v>
      </c>
      <c r="L250" s="2" t="str">
        <f>IF(premier_player_23_24[[#This Row],[Minutes]]&gt;1000,"More than 1000 minutes","Less than 1000 minutes")</f>
        <v>More than 1000 minutes</v>
      </c>
      <c r="M250" s="2">
        <v>38</v>
      </c>
      <c r="N250" s="3">
        <v>1</v>
      </c>
      <c r="O250" s="3">
        <v>1</v>
      </c>
      <c r="P250" s="3">
        <v>2</v>
      </c>
      <c r="Q250" s="3">
        <v>1</v>
      </c>
      <c r="R250" s="3">
        <v>0</v>
      </c>
      <c r="S250" s="3">
        <v>0</v>
      </c>
      <c r="T250" s="2">
        <v>11</v>
      </c>
      <c r="U250" s="2">
        <v>0</v>
      </c>
      <c r="V250" s="2">
        <v>2.6</v>
      </c>
      <c r="W250" s="2">
        <f>premier_player_23_24[[#This Row],[Goals]]-premier_player_23_24[[#This Row],[Expected Goals ]]</f>
        <v>-1.6</v>
      </c>
      <c r="X250" s="2">
        <v>2.6</v>
      </c>
      <c r="Y250" s="2">
        <v>2.5</v>
      </c>
      <c r="Z250" s="2">
        <v>5.0999999999999996</v>
      </c>
      <c r="AA250" s="3">
        <v>15</v>
      </c>
      <c r="AB250" s="3">
        <v>130</v>
      </c>
      <c r="AC250" s="3">
        <v>20</v>
      </c>
      <c r="AD250" s="1">
        <v>0.03</v>
      </c>
      <c r="AE250" s="1">
        <v>0.03</v>
      </c>
      <c r="AF250" s="1">
        <v>0.05</v>
      </c>
      <c r="AG250" s="1">
        <v>0.03</v>
      </c>
      <c r="AH250" s="1">
        <v>0.05</v>
      </c>
      <c r="AI250" s="1">
        <v>7.0000000000000007E-2</v>
      </c>
      <c r="AJ250" s="1">
        <v>0.06</v>
      </c>
      <c r="AK250" s="1">
        <v>0.13</v>
      </c>
      <c r="AL250" s="1">
        <v>7.0000000000000007E-2</v>
      </c>
      <c r="AM250" s="1">
        <v>0.13</v>
      </c>
      <c r="AN250" t="s">
        <v>1165</v>
      </c>
    </row>
    <row r="251" spans="1:40" x14ac:dyDescent="0.25">
      <c r="A251" t="s">
        <v>1164</v>
      </c>
      <c r="B251" t="s">
        <v>57</v>
      </c>
      <c r="C251" s="4" t="s">
        <v>1744</v>
      </c>
      <c r="D251" t="s">
        <v>1745</v>
      </c>
      <c r="E251" t="s">
        <v>77</v>
      </c>
      <c r="F251" t="str">
        <f>LEFT(premier_player_23_24[[#This Row],[Position]],2)</f>
        <v>GK</v>
      </c>
      <c r="G251" s="3">
        <v>29</v>
      </c>
      <c r="H25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51" s="3">
        <v>38</v>
      </c>
      <c r="J251" s="3">
        <v>38</v>
      </c>
      <c r="K251" s="2">
        <v>3420</v>
      </c>
      <c r="L251" s="2" t="str">
        <f>IF(premier_player_23_24[[#This Row],[Minutes]]&gt;1000,"More than 1000 minutes","Less than 1000 minutes")</f>
        <v>More than 1000 minutes</v>
      </c>
      <c r="M251" s="2">
        <v>38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2">
        <v>5</v>
      </c>
      <c r="U251" s="2">
        <v>0</v>
      </c>
      <c r="V251" s="2">
        <v>0</v>
      </c>
      <c r="W251" s="2">
        <f>premier_player_23_24[[#This Row],[Goals]]-premier_player_23_24[[#This Row],[Expected Goals ]]</f>
        <v>0</v>
      </c>
      <c r="X251" s="2">
        <v>0</v>
      </c>
      <c r="Y251" s="2">
        <v>0.1</v>
      </c>
      <c r="Z251" s="2">
        <v>0.1</v>
      </c>
      <c r="AA251" s="3">
        <v>1</v>
      </c>
      <c r="AB251" s="3">
        <v>6</v>
      </c>
      <c r="AC251" s="3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  <c r="AN251" t="s">
        <v>1165</v>
      </c>
    </row>
    <row r="252" spans="1:40" x14ac:dyDescent="0.25">
      <c r="A252" t="s">
        <v>1180</v>
      </c>
      <c r="B252" t="s">
        <v>57</v>
      </c>
      <c r="C252" s="4" t="s">
        <v>1744</v>
      </c>
      <c r="D252" t="s">
        <v>1745</v>
      </c>
      <c r="E252" t="s">
        <v>172</v>
      </c>
      <c r="F252" t="str">
        <f>LEFT(premier_player_23_24[[#This Row],[Position]],2)</f>
        <v>DF</v>
      </c>
      <c r="G252" s="3">
        <v>38</v>
      </c>
      <c r="H25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Veterans</v>
      </c>
      <c r="I252" s="3">
        <v>31</v>
      </c>
      <c r="J252" s="3">
        <v>27</v>
      </c>
      <c r="K252" s="2">
        <v>2280</v>
      </c>
      <c r="L252" s="2" t="str">
        <f>IF(premier_player_23_24[[#This Row],[Minutes]]&gt;1000,"More than 1000 minutes","Less than 1000 minutes")</f>
        <v>More than 1000 minutes</v>
      </c>
      <c r="M252" s="2">
        <v>25.3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2">
        <v>7</v>
      </c>
      <c r="U252" s="2">
        <v>1</v>
      </c>
      <c r="V252" s="2">
        <v>0.6</v>
      </c>
      <c r="W252" s="2">
        <f>premier_player_23_24[[#This Row],[Goals]]-premier_player_23_24[[#This Row],[Expected Goals ]]</f>
        <v>-0.6</v>
      </c>
      <c r="X252" s="2">
        <v>0.6</v>
      </c>
      <c r="Y252" s="2">
        <v>1.5</v>
      </c>
      <c r="Z252" s="2">
        <v>2.1</v>
      </c>
      <c r="AA252" s="3">
        <v>40</v>
      </c>
      <c r="AB252" s="3">
        <v>82</v>
      </c>
      <c r="AC252" s="3">
        <v>61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0.02</v>
      </c>
      <c r="AJ252" s="1">
        <v>0.06</v>
      </c>
      <c r="AK252" s="1">
        <v>0.08</v>
      </c>
      <c r="AL252" s="1">
        <v>0.02</v>
      </c>
      <c r="AM252" s="1">
        <v>0.08</v>
      </c>
      <c r="AN252" t="s">
        <v>1165</v>
      </c>
    </row>
    <row r="253" spans="1:40" x14ac:dyDescent="0.25">
      <c r="A253" t="s">
        <v>1196</v>
      </c>
      <c r="B253" t="s">
        <v>57</v>
      </c>
      <c r="C253" s="4" t="s">
        <v>1744</v>
      </c>
      <c r="D253" t="s">
        <v>1745</v>
      </c>
      <c r="E253" t="s">
        <v>108</v>
      </c>
      <c r="F253" t="str">
        <f>LEFT(premier_player_23_24[[#This Row],[Position]],2)</f>
        <v>DF</v>
      </c>
      <c r="G253" s="3">
        <v>25</v>
      </c>
      <c r="H25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53" s="3">
        <v>15</v>
      </c>
      <c r="J253" s="3">
        <v>13</v>
      </c>
      <c r="K253" s="2">
        <v>1120</v>
      </c>
      <c r="L253" s="2" t="str">
        <f>IF(premier_player_23_24[[#This Row],[Minutes]]&gt;1000,"More than 1000 minutes","Less than 1000 minutes")</f>
        <v>More than 1000 minutes</v>
      </c>
      <c r="M253" s="2">
        <v>12.4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2">
        <v>2</v>
      </c>
      <c r="U253" s="2">
        <v>0</v>
      </c>
      <c r="V253" s="2">
        <v>1.7</v>
      </c>
      <c r="W253" s="2">
        <f>premier_player_23_24[[#This Row],[Goals]]-premier_player_23_24[[#This Row],[Expected Goals ]]</f>
        <v>-1.7</v>
      </c>
      <c r="X253" s="2">
        <v>1.7</v>
      </c>
      <c r="Y253" s="2">
        <v>0.3</v>
      </c>
      <c r="Z253" s="2">
        <v>2</v>
      </c>
      <c r="AA253" s="3">
        <v>11</v>
      </c>
      <c r="AB253" s="3">
        <v>43</v>
      </c>
      <c r="AC253" s="3">
        <v>26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0.14000000000000001</v>
      </c>
      <c r="AJ253" s="1">
        <v>0.02</v>
      </c>
      <c r="AK253" s="1">
        <v>0.16</v>
      </c>
      <c r="AL253" s="1">
        <v>0.14000000000000001</v>
      </c>
      <c r="AM253" s="1">
        <v>0.16</v>
      </c>
      <c r="AN253" t="s">
        <v>1165</v>
      </c>
    </row>
    <row r="254" spans="1:40" x14ac:dyDescent="0.25">
      <c r="A254" t="s">
        <v>1202</v>
      </c>
      <c r="B254" t="s">
        <v>411</v>
      </c>
      <c r="C254" s="4" t="s">
        <v>1792</v>
      </c>
      <c r="D254" t="s">
        <v>1793</v>
      </c>
      <c r="E254" t="s">
        <v>108</v>
      </c>
      <c r="F254" t="str">
        <f>LEFT(premier_player_23_24[[#This Row],[Position]],2)</f>
        <v>DF</v>
      </c>
      <c r="G254" s="3">
        <v>34</v>
      </c>
      <c r="H25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54" s="3">
        <v>12</v>
      </c>
      <c r="J254" s="3">
        <v>7</v>
      </c>
      <c r="K254" s="2">
        <v>665</v>
      </c>
      <c r="L254" s="2" t="str">
        <f>IF(premier_player_23_24[[#This Row],[Minutes]]&gt;1000,"More than 1000 minutes","Less than 1000 minutes")</f>
        <v>Less than 1000 minutes</v>
      </c>
      <c r="M254" s="2">
        <v>7.4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2">
        <v>0</v>
      </c>
      <c r="U254" s="2">
        <v>0</v>
      </c>
      <c r="V254" s="2">
        <v>0</v>
      </c>
      <c r="W254" s="2">
        <f>premier_player_23_24[[#This Row],[Goals]]-premier_player_23_24[[#This Row],[Expected Goals ]]</f>
        <v>0</v>
      </c>
      <c r="X254" s="2">
        <v>0</v>
      </c>
      <c r="Y254" s="2">
        <v>1</v>
      </c>
      <c r="Z254" s="2">
        <v>1</v>
      </c>
      <c r="AA254" s="3">
        <v>5</v>
      </c>
      <c r="AB254" s="3">
        <v>22</v>
      </c>
      <c r="AC254" s="3">
        <v>16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0.14000000000000001</v>
      </c>
      <c r="AK254" s="1">
        <v>0.14000000000000001</v>
      </c>
      <c r="AL254" s="1">
        <v>0</v>
      </c>
      <c r="AM254" s="1">
        <v>0.14000000000000001</v>
      </c>
      <c r="AN254" t="s">
        <v>1165</v>
      </c>
    </row>
    <row r="255" spans="1:40" x14ac:dyDescent="0.25">
      <c r="A255" t="s">
        <v>1123</v>
      </c>
      <c r="B255" t="s">
        <v>1120</v>
      </c>
      <c r="C255" s="4" t="s">
        <v>1806</v>
      </c>
      <c r="D255" t="s">
        <v>1807</v>
      </c>
      <c r="E255" t="s">
        <v>36</v>
      </c>
      <c r="F255" t="str">
        <f>LEFT(premier_player_23_24[[#This Row],[Position]],2)</f>
        <v>MF</v>
      </c>
      <c r="G255" s="3">
        <v>27</v>
      </c>
      <c r="H25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55" s="3">
        <v>2</v>
      </c>
      <c r="J255" s="3">
        <v>2</v>
      </c>
      <c r="K255" s="2">
        <v>140</v>
      </c>
      <c r="L255" s="2" t="str">
        <f>IF(premier_player_23_24[[#This Row],[Minutes]]&gt;1000,"More than 1000 minutes","Less than 1000 minutes")</f>
        <v>Less than 1000 minutes</v>
      </c>
      <c r="M255" s="2">
        <v>1.6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2">
        <v>0</v>
      </c>
      <c r="U255" s="2">
        <v>0</v>
      </c>
      <c r="V255" s="2">
        <v>0.3</v>
      </c>
      <c r="W255" s="2">
        <f>premier_player_23_24[[#This Row],[Goals]]-premier_player_23_24[[#This Row],[Expected Goals ]]</f>
        <v>-0.3</v>
      </c>
      <c r="X255" s="2">
        <v>0.3</v>
      </c>
      <c r="Y255" s="2">
        <v>0.2</v>
      </c>
      <c r="Z255" s="2">
        <v>0.5</v>
      </c>
      <c r="AA255" s="3">
        <v>6</v>
      </c>
      <c r="AB255" s="3">
        <v>4</v>
      </c>
      <c r="AC255" s="3">
        <v>8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0.21</v>
      </c>
      <c r="AJ255" s="1">
        <v>0.14000000000000001</v>
      </c>
      <c r="AK255" s="1">
        <v>0.35</v>
      </c>
      <c r="AL255" s="1">
        <v>0.21</v>
      </c>
      <c r="AM255" s="1">
        <v>0.35</v>
      </c>
      <c r="AN255" t="s">
        <v>1165</v>
      </c>
    </row>
    <row r="256" spans="1:40" x14ac:dyDescent="0.25">
      <c r="A256" t="s">
        <v>1210</v>
      </c>
      <c r="B256" t="s">
        <v>122</v>
      </c>
      <c r="C256" s="4" t="s">
        <v>1742</v>
      </c>
      <c r="D256" t="s">
        <v>1743</v>
      </c>
      <c r="E256" t="s">
        <v>137</v>
      </c>
      <c r="F256" t="str">
        <f>LEFT(premier_player_23_24[[#This Row],[Position]],2)</f>
        <v>FW</v>
      </c>
      <c r="G256" s="3">
        <v>19</v>
      </c>
      <c r="H25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56" s="3">
        <v>18</v>
      </c>
      <c r="J256" s="3">
        <v>1</v>
      </c>
      <c r="K256" s="2">
        <v>208</v>
      </c>
      <c r="L256" s="2" t="str">
        <f>IF(premier_player_23_24[[#This Row],[Minutes]]&gt;1000,"More than 1000 minutes","Less than 1000 minutes")</f>
        <v>Less than 1000 minutes</v>
      </c>
      <c r="M256" s="2">
        <v>2.2999999999999998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2">
        <v>3</v>
      </c>
      <c r="U256" s="2">
        <v>0</v>
      </c>
      <c r="V256" s="2">
        <v>0.7</v>
      </c>
      <c r="W256" s="2">
        <f>premier_player_23_24[[#This Row],[Goals]]-premier_player_23_24[[#This Row],[Expected Goals ]]</f>
        <v>-0.7</v>
      </c>
      <c r="X256" s="2">
        <v>0.7</v>
      </c>
      <c r="Y256" s="2">
        <v>0.8</v>
      </c>
      <c r="Z256" s="2">
        <v>1.5</v>
      </c>
      <c r="AA256" s="3">
        <v>5</v>
      </c>
      <c r="AB256" s="3">
        <v>5</v>
      </c>
      <c r="AC256" s="3">
        <v>15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0.31</v>
      </c>
      <c r="AJ256" s="1">
        <v>0.34</v>
      </c>
      <c r="AK256" s="1">
        <v>0.65</v>
      </c>
      <c r="AL256" s="1">
        <v>0.31</v>
      </c>
      <c r="AM256" s="1">
        <v>0.65</v>
      </c>
      <c r="AN256" t="s">
        <v>1165</v>
      </c>
    </row>
    <row r="257" spans="1:40" x14ac:dyDescent="0.25">
      <c r="A257" t="s">
        <v>1212</v>
      </c>
      <c r="B257" t="s">
        <v>376</v>
      </c>
      <c r="C257" s="4" t="s">
        <v>1762</v>
      </c>
      <c r="D257" t="s">
        <v>1763</v>
      </c>
      <c r="E257" t="s">
        <v>137</v>
      </c>
      <c r="F257" t="str">
        <f>LEFT(premier_player_23_24[[#This Row],[Position]],2)</f>
        <v>FW</v>
      </c>
      <c r="G257" s="3">
        <v>26</v>
      </c>
      <c r="H25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57" s="3">
        <v>2</v>
      </c>
      <c r="J257" s="3">
        <v>1</v>
      </c>
      <c r="K257" s="2">
        <v>111</v>
      </c>
      <c r="L257" s="2" t="str">
        <f>IF(premier_player_23_24[[#This Row],[Minutes]]&gt;1000,"More than 1000 minutes","Less than 1000 minutes")</f>
        <v>Less than 1000 minutes</v>
      </c>
      <c r="M257" s="2">
        <v>1.2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2">
        <v>0</v>
      </c>
      <c r="U257" s="2">
        <v>0</v>
      </c>
      <c r="V257" s="2">
        <v>1.4</v>
      </c>
      <c r="W257" s="2">
        <f>premier_player_23_24[[#This Row],[Goals]]-premier_player_23_24[[#This Row],[Expected Goals ]]</f>
        <v>-1.4</v>
      </c>
      <c r="X257" s="2">
        <v>1.4</v>
      </c>
      <c r="Y257" s="2">
        <v>0.1</v>
      </c>
      <c r="Z257" s="2">
        <v>1.5</v>
      </c>
      <c r="AA257" s="3">
        <v>1</v>
      </c>
      <c r="AB257" s="3">
        <v>0</v>
      </c>
      <c r="AC257" s="3">
        <v>6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1.1599999999999999</v>
      </c>
      <c r="AJ257" s="1">
        <v>0.05</v>
      </c>
      <c r="AK257" s="1">
        <v>1.22</v>
      </c>
      <c r="AL257" s="1">
        <v>1.1599999999999999</v>
      </c>
      <c r="AM257" s="1">
        <v>1.22</v>
      </c>
      <c r="AN257" t="s">
        <v>1165</v>
      </c>
    </row>
    <row r="258" spans="1:40" x14ac:dyDescent="0.25">
      <c r="A258" t="s">
        <v>1215</v>
      </c>
      <c r="B258" t="s">
        <v>411</v>
      </c>
      <c r="C258" s="4" t="s">
        <v>1792</v>
      </c>
      <c r="D258" t="s">
        <v>1793</v>
      </c>
      <c r="E258" t="s">
        <v>137</v>
      </c>
      <c r="F258" t="str">
        <f>LEFT(premier_player_23_24[[#This Row],[Position]],2)</f>
        <v>FW</v>
      </c>
      <c r="G258" s="3">
        <v>20</v>
      </c>
      <c r="H25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58" s="3">
        <v>1</v>
      </c>
      <c r="J258" s="3">
        <v>0</v>
      </c>
      <c r="K258" s="2">
        <v>1</v>
      </c>
      <c r="L258" s="2" t="str">
        <f>IF(premier_player_23_24[[#This Row],[Minutes]]&gt;1000,"More than 1000 minutes","Less than 1000 minutes")</f>
        <v>Less than 1000 minutes</v>
      </c>
      <c r="M258" s="2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2">
        <v>0</v>
      </c>
      <c r="U258" s="2">
        <v>0</v>
      </c>
      <c r="V258" s="2">
        <v>0</v>
      </c>
      <c r="W258" s="2">
        <f>premier_player_23_24[[#This Row],[Goals]]-premier_player_23_24[[#This Row],[Expected Goals ]]</f>
        <v>0</v>
      </c>
      <c r="X258" s="2">
        <v>0</v>
      </c>
      <c r="Y258" s="2">
        <v>0</v>
      </c>
      <c r="Z258" s="2">
        <v>0</v>
      </c>
      <c r="AA258" s="3">
        <v>0</v>
      </c>
      <c r="AB258" s="3">
        <v>0</v>
      </c>
      <c r="AC258" s="3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t="s">
        <v>1165</v>
      </c>
    </row>
    <row r="259" spans="1:40" x14ac:dyDescent="0.25">
      <c r="A259" t="s">
        <v>1216</v>
      </c>
      <c r="B259" t="s">
        <v>57</v>
      </c>
      <c r="C259" s="4" t="s">
        <v>1744</v>
      </c>
      <c r="D259" t="s">
        <v>1745</v>
      </c>
      <c r="E259" t="s">
        <v>36</v>
      </c>
      <c r="F259" t="str">
        <f>LEFT(premier_player_23_24[[#This Row],[Position]],2)</f>
        <v>MF</v>
      </c>
      <c r="G259" s="3">
        <v>20</v>
      </c>
      <c r="H25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59" s="3">
        <v>1</v>
      </c>
      <c r="J259" s="3">
        <v>0</v>
      </c>
      <c r="K259" s="2">
        <v>1</v>
      </c>
      <c r="L259" s="2" t="str">
        <f>IF(premier_player_23_24[[#This Row],[Minutes]]&gt;1000,"More than 1000 minutes","Less than 1000 minutes")</f>
        <v>Less than 1000 minutes</v>
      </c>
      <c r="M259" s="2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2">
        <v>0</v>
      </c>
      <c r="U259" s="2">
        <v>0</v>
      </c>
      <c r="V259" s="2">
        <v>0</v>
      </c>
      <c r="W259" s="2">
        <f>premier_player_23_24[[#This Row],[Goals]]-premier_player_23_24[[#This Row],[Expected Goals ]]</f>
        <v>0</v>
      </c>
      <c r="X259" s="2">
        <v>0</v>
      </c>
      <c r="Y259" s="2">
        <v>0</v>
      </c>
      <c r="Z259" s="2">
        <v>0</v>
      </c>
      <c r="AA259" s="3">
        <v>0</v>
      </c>
      <c r="AB259" s="3">
        <v>0</v>
      </c>
      <c r="AC259" s="3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t="s">
        <v>1165</v>
      </c>
    </row>
    <row r="260" spans="1:40" x14ac:dyDescent="0.25">
      <c r="A260" t="s">
        <v>1217</v>
      </c>
      <c r="B260" t="s">
        <v>57</v>
      </c>
      <c r="C260" s="4" t="s">
        <v>1744</v>
      </c>
      <c r="D260" t="s">
        <v>1745</v>
      </c>
      <c r="E260" t="s">
        <v>137</v>
      </c>
      <c r="F260" t="str">
        <f>LEFT(premier_player_23_24[[#This Row],[Position]],2)</f>
        <v>FW</v>
      </c>
      <c r="G260" s="3">
        <v>20</v>
      </c>
      <c r="H26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60" s="3">
        <v>1</v>
      </c>
      <c r="J260" s="3">
        <v>0</v>
      </c>
      <c r="K260" s="2">
        <v>1</v>
      </c>
      <c r="L260" s="2" t="str">
        <f>IF(premier_player_23_24[[#This Row],[Minutes]]&gt;1000,"More than 1000 minutes","Less than 1000 minutes")</f>
        <v>Less than 1000 minutes</v>
      </c>
      <c r="M260" s="2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2">
        <v>0</v>
      </c>
      <c r="U260" s="2">
        <v>0</v>
      </c>
      <c r="V260" s="2">
        <v>0</v>
      </c>
      <c r="W260" s="2">
        <f>premier_player_23_24[[#This Row],[Goals]]-premier_player_23_24[[#This Row],[Expected Goals ]]</f>
        <v>0</v>
      </c>
      <c r="X260" s="2">
        <v>0</v>
      </c>
      <c r="Y260" s="2">
        <v>0</v>
      </c>
      <c r="Z260" s="2">
        <v>0</v>
      </c>
      <c r="AA260" s="3">
        <v>0</v>
      </c>
      <c r="AB260" s="3">
        <v>0</v>
      </c>
      <c r="AC260" s="3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t="s">
        <v>1165</v>
      </c>
    </row>
    <row r="261" spans="1:40" x14ac:dyDescent="0.25">
      <c r="A261" t="s">
        <v>1158</v>
      </c>
      <c r="B261" t="s">
        <v>35</v>
      </c>
      <c r="C261" s="4" t="s">
        <v>1764</v>
      </c>
      <c r="D261" t="s">
        <v>1765</v>
      </c>
      <c r="E261" t="s">
        <v>58</v>
      </c>
      <c r="F261" t="str">
        <f>LEFT(premier_player_23_24[[#This Row],[Position]],2)</f>
        <v>FW</v>
      </c>
      <c r="G261" s="3">
        <v>27</v>
      </c>
      <c r="H26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61" s="3">
        <v>17</v>
      </c>
      <c r="J261" s="3">
        <v>1</v>
      </c>
      <c r="K261" s="2">
        <v>377</v>
      </c>
      <c r="L261" s="2" t="str">
        <f>IF(premier_player_23_24[[#This Row],[Minutes]]&gt;1000,"More than 1000 minutes","Less than 1000 minutes")</f>
        <v>Less than 1000 minutes</v>
      </c>
      <c r="M261" s="2">
        <v>4.2</v>
      </c>
      <c r="N261" s="3">
        <v>2</v>
      </c>
      <c r="O261" s="3">
        <v>3</v>
      </c>
      <c r="P261" s="3">
        <v>5</v>
      </c>
      <c r="Q261" s="3">
        <v>2</v>
      </c>
      <c r="R261" s="3">
        <v>0</v>
      </c>
      <c r="S261" s="3">
        <v>0</v>
      </c>
      <c r="T261" s="2">
        <v>2</v>
      </c>
      <c r="U261" s="2">
        <v>0</v>
      </c>
      <c r="V261" s="2">
        <v>1.5</v>
      </c>
      <c r="W261" s="2">
        <f>premier_player_23_24[[#This Row],[Goals]]-premier_player_23_24[[#This Row],[Expected Goals ]]</f>
        <v>0.5</v>
      </c>
      <c r="X261" s="2">
        <v>1.5</v>
      </c>
      <c r="Y261" s="2">
        <v>0.7</v>
      </c>
      <c r="Z261" s="2">
        <v>2.2000000000000002</v>
      </c>
      <c r="AA261" s="3">
        <v>29</v>
      </c>
      <c r="AB261" s="3">
        <v>16</v>
      </c>
      <c r="AC261" s="3">
        <v>48</v>
      </c>
      <c r="AD261" s="1">
        <v>0.48</v>
      </c>
      <c r="AE261" s="1">
        <v>0.72</v>
      </c>
      <c r="AF261" s="1">
        <v>1.19</v>
      </c>
      <c r="AG261" s="1">
        <v>0.48</v>
      </c>
      <c r="AH261" s="1">
        <v>1.19</v>
      </c>
      <c r="AI261" s="1">
        <v>0.36</v>
      </c>
      <c r="AJ261" s="1">
        <v>0.17</v>
      </c>
      <c r="AK261" s="1">
        <v>0.53</v>
      </c>
      <c r="AL261" s="1">
        <v>0.36</v>
      </c>
      <c r="AM261" s="1">
        <v>0.53</v>
      </c>
      <c r="AN261" t="s">
        <v>1112</v>
      </c>
    </row>
    <row r="262" spans="1:40" x14ac:dyDescent="0.25">
      <c r="A262" t="s">
        <v>624</v>
      </c>
      <c r="B262" t="s">
        <v>625</v>
      </c>
      <c r="C262" s="4" t="s">
        <v>1810</v>
      </c>
      <c r="D262" t="s">
        <v>1811</v>
      </c>
      <c r="E262" t="s">
        <v>137</v>
      </c>
      <c r="F262" t="str">
        <f>LEFT(premier_player_23_24[[#This Row],[Position]],2)</f>
        <v>FW</v>
      </c>
      <c r="G262" s="3">
        <v>21</v>
      </c>
      <c r="H26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62" s="3">
        <v>8</v>
      </c>
      <c r="J262" s="3">
        <v>0</v>
      </c>
      <c r="K262" s="2">
        <v>88</v>
      </c>
      <c r="L262" s="2" t="str">
        <f>IF(premier_player_23_24[[#This Row],[Minutes]]&gt;1000,"More than 1000 minutes","Less than 1000 minutes")</f>
        <v>Less than 1000 minutes</v>
      </c>
      <c r="M262" s="2">
        <v>1</v>
      </c>
      <c r="N262" s="3">
        <v>0</v>
      </c>
      <c r="O262" s="3">
        <v>1</v>
      </c>
      <c r="P262" s="3">
        <v>1</v>
      </c>
      <c r="Q262" s="3">
        <v>0</v>
      </c>
      <c r="R262" s="3">
        <v>0</v>
      </c>
      <c r="S262" s="3">
        <v>0</v>
      </c>
      <c r="T262" s="2">
        <v>0</v>
      </c>
      <c r="U262" s="2">
        <v>0</v>
      </c>
      <c r="V262" s="2">
        <v>0</v>
      </c>
      <c r="W262" s="2">
        <f>premier_player_23_24[[#This Row],[Goals]]-premier_player_23_24[[#This Row],[Expected Goals ]]</f>
        <v>0</v>
      </c>
      <c r="X262" s="2">
        <v>0</v>
      </c>
      <c r="Y262" s="2">
        <v>0.4</v>
      </c>
      <c r="Z262" s="2">
        <v>0.4</v>
      </c>
      <c r="AA262" s="3">
        <v>2</v>
      </c>
      <c r="AB262" s="3">
        <v>2</v>
      </c>
      <c r="AC262" s="3">
        <v>7</v>
      </c>
      <c r="AD262" s="1">
        <v>0</v>
      </c>
      <c r="AE262" s="1">
        <v>1.02</v>
      </c>
      <c r="AF262" s="1">
        <v>1.02</v>
      </c>
      <c r="AG262" s="1">
        <v>0</v>
      </c>
      <c r="AH262" s="1">
        <v>1.02</v>
      </c>
      <c r="AI262" s="1">
        <v>0</v>
      </c>
      <c r="AJ262" s="1">
        <v>0.41</v>
      </c>
      <c r="AK262" s="1">
        <v>0.41</v>
      </c>
      <c r="AL262" s="1">
        <v>0</v>
      </c>
      <c r="AM262" s="1">
        <v>0.41</v>
      </c>
      <c r="AN262" t="s">
        <v>1112</v>
      </c>
    </row>
    <row r="263" spans="1:40" x14ac:dyDescent="0.25">
      <c r="A263" t="s">
        <v>1155</v>
      </c>
      <c r="B263" t="s">
        <v>76</v>
      </c>
      <c r="C263" s="4" t="s">
        <v>1750</v>
      </c>
      <c r="D263" t="s">
        <v>1751</v>
      </c>
      <c r="E263" t="s">
        <v>137</v>
      </c>
      <c r="F263" t="str">
        <f>LEFT(premier_player_23_24[[#This Row],[Position]],2)</f>
        <v>FW</v>
      </c>
      <c r="G263" s="3">
        <v>28</v>
      </c>
      <c r="H26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63" s="3">
        <v>13</v>
      </c>
      <c r="J263" s="3">
        <v>2</v>
      </c>
      <c r="K263" s="2">
        <v>315</v>
      </c>
      <c r="L263" s="2" t="str">
        <f>IF(premier_player_23_24[[#This Row],[Minutes]]&gt;1000,"More than 1000 minutes","Less than 1000 minutes")</f>
        <v>Less than 1000 minutes</v>
      </c>
      <c r="M263" s="2">
        <v>3.5</v>
      </c>
      <c r="N263" s="3">
        <v>2</v>
      </c>
      <c r="O263" s="3">
        <v>0</v>
      </c>
      <c r="P263" s="3">
        <v>2</v>
      </c>
      <c r="Q263" s="3">
        <v>2</v>
      </c>
      <c r="R263" s="3">
        <v>0</v>
      </c>
      <c r="S263" s="3">
        <v>0</v>
      </c>
      <c r="T263" s="2">
        <v>2</v>
      </c>
      <c r="U263" s="2">
        <v>0</v>
      </c>
      <c r="V263" s="2">
        <v>1.6</v>
      </c>
      <c r="W263" s="2">
        <f>premier_player_23_24[[#This Row],[Goals]]-premier_player_23_24[[#This Row],[Expected Goals ]]</f>
        <v>0.39999999999999991</v>
      </c>
      <c r="X263" s="2">
        <v>1.6</v>
      </c>
      <c r="Y263" s="2">
        <v>0.8</v>
      </c>
      <c r="Z263" s="2">
        <v>2.4</v>
      </c>
      <c r="AA263" s="3">
        <v>3</v>
      </c>
      <c r="AB263" s="3">
        <v>3</v>
      </c>
      <c r="AC263" s="3">
        <v>13</v>
      </c>
      <c r="AD263" s="1">
        <v>0.56999999999999995</v>
      </c>
      <c r="AE263" s="1">
        <v>0</v>
      </c>
      <c r="AF263" s="1">
        <v>0.56999999999999995</v>
      </c>
      <c r="AG263" s="1">
        <v>0.56999999999999995</v>
      </c>
      <c r="AH263" s="1">
        <v>0.56999999999999995</v>
      </c>
      <c r="AI263" s="1">
        <v>0.46</v>
      </c>
      <c r="AJ263" s="1">
        <v>0.23</v>
      </c>
      <c r="AK263" s="1">
        <v>0.69</v>
      </c>
      <c r="AL263" s="1">
        <v>0.46</v>
      </c>
      <c r="AM263" s="1">
        <v>0.69</v>
      </c>
      <c r="AN263" t="s">
        <v>1112</v>
      </c>
    </row>
    <row r="264" spans="1:40" x14ac:dyDescent="0.25">
      <c r="A264" t="s">
        <v>1134</v>
      </c>
      <c r="B264" t="s">
        <v>76</v>
      </c>
      <c r="C264" s="4" t="s">
        <v>1750</v>
      </c>
      <c r="D264" t="s">
        <v>1751</v>
      </c>
      <c r="E264" t="s">
        <v>137</v>
      </c>
      <c r="F264" t="str">
        <f>LEFT(premier_player_23_24[[#This Row],[Position]],2)</f>
        <v>FW</v>
      </c>
      <c r="G264" s="3">
        <v>22</v>
      </c>
      <c r="H26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64" s="3">
        <v>26</v>
      </c>
      <c r="J264" s="3">
        <v>18</v>
      </c>
      <c r="K264" s="2">
        <v>1593</v>
      </c>
      <c r="L264" s="2" t="str">
        <f>IF(premier_player_23_24[[#This Row],[Minutes]]&gt;1000,"More than 1000 minutes","Less than 1000 minutes")</f>
        <v>More than 1000 minutes</v>
      </c>
      <c r="M264" s="2">
        <v>17.7</v>
      </c>
      <c r="N264" s="3">
        <v>9</v>
      </c>
      <c r="O264" s="3">
        <v>1</v>
      </c>
      <c r="P264" s="3">
        <v>10</v>
      </c>
      <c r="Q264" s="3">
        <v>9</v>
      </c>
      <c r="R264" s="3">
        <v>0</v>
      </c>
      <c r="S264" s="3">
        <v>0</v>
      </c>
      <c r="T264" s="2">
        <v>1</v>
      </c>
      <c r="U264" s="2">
        <v>0</v>
      </c>
      <c r="V264" s="2">
        <v>8.6999999999999993</v>
      </c>
      <c r="W264" s="2">
        <f>premier_player_23_24[[#This Row],[Goals]]-premier_player_23_24[[#This Row],[Expected Goals ]]</f>
        <v>0.30000000000000071</v>
      </c>
      <c r="X264" s="2">
        <v>8.6999999999999993</v>
      </c>
      <c r="Y264" s="2">
        <v>2</v>
      </c>
      <c r="Z264" s="2">
        <v>10.7</v>
      </c>
      <c r="AA264" s="3">
        <v>8</v>
      </c>
      <c r="AB264" s="3">
        <v>19</v>
      </c>
      <c r="AC264" s="3">
        <v>76</v>
      </c>
      <c r="AD264" s="1">
        <v>0.51</v>
      </c>
      <c r="AE264" s="1">
        <v>0.06</v>
      </c>
      <c r="AF264" s="1">
        <v>0.56000000000000005</v>
      </c>
      <c r="AG264" s="1">
        <v>0.51</v>
      </c>
      <c r="AH264" s="1">
        <v>0.56000000000000005</v>
      </c>
      <c r="AI264" s="1">
        <v>0.49</v>
      </c>
      <c r="AJ264" s="1">
        <v>0.12</v>
      </c>
      <c r="AK264" s="1">
        <v>0.61</v>
      </c>
      <c r="AL264" s="1">
        <v>0.49</v>
      </c>
      <c r="AM264" s="1">
        <v>0.61</v>
      </c>
      <c r="AN264" t="s">
        <v>1112</v>
      </c>
    </row>
    <row r="265" spans="1:40" x14ac:dyDescent="0.25">
      <c r="A265" t="s">
        <v>1143</v>
      </c>
      <c r="B265" t="s">
        <v>432</v>
      </c>
      <c r="C265" s="4" t="s">
        <v>1786</v>
      </c>
      <c r="D265" t="s">
        <v>1787</v>
      </c>
      <c r="E265" t="s">
        <v>137</v>
      </c>
      <c r="F265" t="str">
        <f>LEFT(premier_player_23_24[[#This Row],[Position]],2)</f>
        <v>FW</v>
      </c>
      <c r="G265" s="3">
        <v>26</v>
      </c>
      <c r="H26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65" s="3">
        <v>35</v>
      </c>
      <c r="J265" s="3">
        <v>16</v>
      </c>
      <c r="K265" s="2">
        <v>1620</v>
      </c>
      <c r="L265" s="2" t="str">
        <f>IF(premier_player_23_24[[#This Row],[Minutes]]&gt;1000,"More than 1000 minutes","Less than 1000 minutes")</f>
        <v>More than 1000 minutes</v>
      </c>
      <c r="M265" s="2">
        <v>18</v>
      </c>
      <c r="N265" s="3">
        <v>4</v>
      </c>
      <c r="O265" s="3">
        <v>6</v>
      </c>
      <c r="P265" s="3">
        <v>10</v>
      </c>
      <c r="Q265" s="3">
        <v>4</v>
      </c>
      <c r="R265" s="3">
        <v>0</v>
      </c>
      <c r="S265" s="3">
        <v>0</v>
      </c>
      <c r="T265" s="2">
        <v>6</v>
      </c>
      <c r="U265" s="2">
        <v>0</v>
      </c>
      <c r="V265" s="2">
        <v>3.4</v>
      </c>
      <c r="W265" s="2">
        <f>premier_player_23_24[[#This Row],[Goals]]-premier_player_23_24[[#This Row],[Expected Goals ]]</f>
        <v>0.60000000000000009</v>
      </c>
      <c r="X265" s="2">
        <v>3.4</v>
      </c>
      <c r="Y265" s="2">
        <v>3.5</v>
      </c>
      <c r="Z265" s="2">
        <v>6.8</v>
      </c>
      <c r="AA265" s="3">
        <v>41</v>
      </c>
      <c r="AB265" s="3">
        <v>60</v>
      </c>
      <c r="AC265" s="3">
        <v>130</v>
      </c>
      <c r="AD265" s="1">
        <v>0.22</v>
      </c>
      <c r="AE265" s="1">
        <v>0.33</v>
      </c>
      <c r="AF265" s="1">
        <v>0.56000000000000005</v>
      </c>
      <c r="AG265" s="1">
        <v>0.22</v>
      </c>
      <c r="AH265" s="1">
        <v>0.56000000000000005</v>
      </c>
      <c r="AI265" s="1">
        <v>0.19</v>
      </c>
      <c r="AJ265" s="1">
        <v>0.19</v>
      </c>
      <c r="AK265" s="1">
        <v>0.38</v>
      </c>
      <c r="AL265" s="1">
        <v>0.19</v>
      </c>
      <c r="AM265" s="1">
        <v>0.38</v>
      </c>
      <c r="AN265" t="s">
        <v>1112</v>
      </c>
    </row>
    <row r="266" spans="1:40" x14ac:dyDescent="0.25">
      <c r="A266" t="s">
        <v>1140</v>
      </c>
      <c r="B266" t="s">
        <v>942</v>
      </c>
      <c r="C266" s="4" t="s">
        <v>1774</v>
      </c>
      <c r="D266" t="s">
        <v>1775</v>
      </c>
      <c r="E266" t="s">
        <v>137</v>
      </c>
      <c r="F266" t="str">
        <f>LEFT(premier_player_23_24[[#This Row],[Position]],2)</f>
        <v>FW</v>
      </c>
      <c r="G266" s="3">
        <v>30</v>
      </c>
      <c r="H26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66" s="3">
        <v>33</v>
      </c>
      <c r="J266" s="3">
        <v>17</v>
      </c>
      <c r="K266" s="2">
        <v>1423</v>
      </c>
      <c r="L266" s="2" t="str">
        <f>IF(premier_player_23_24[[#This Row],[Minutes]]&gt;1000,"More than 1000 minutes","Less than 1000 minutes")</f>
        <v>More than 1000 minutes</v>
      </c>
      <c r="M266" s="2">
        <v>15.8</v>
      </c>
      <c r="N266" s="3">
        <v>6</v>
      </c>
      <c r="O266" s="3">
        <v>2</v>
      </c>
      <c r="P266" s="3">
        <v>8</v>
      </c>
      <c r="Q266" s="3">
        <v>6</v>
      </c>
      <c r="R266" s="3">
        <v>0</v>
      </c>
      <c r="S266" s="3">
        <v>0</v>
      </c>
      <c r="T266" s="2">
        <v>4</v>
      </c>
      <c r="U266" s="2">
        <v>0</v>
      </c>
      <c r="V266" s="2">
        <v>4.5999999999999996</v>
      </c>
      <c r="W266" s="2">
        <f>premier_player_23_24[[#This Row],[Goals]]-premier_player_23_24[[#This Row],[Expected Goals ]]</f>
        <v>1.4000000000000004</v>
      </c>
      <c r="X266" s="2">
        <v>4.5999999999999996</v>
      </c>
      <c r="Y266" s="2">
        <v>1.8</v>
      </c>
      <c r="Z266" s="2">
        <v>6.4</v>
      </c>
      <c r="AA266" s="3">
        <v>35</v>
      </c>
      <c r="AB266" s="3">
        <v>47</v>
      </c>
      <c r="AC266" s="3">
        <v>95</v>
      </c>
      <c r="AD266" s="1">
        <v>0.38</v>
      </c>
      <c r="AE266" s="1">
        <v>0.13</v>
      </c>
      <c r="AF266" s="1">
        <v>0.51</v>
      </c>
      <c r="AG266" s="1">
        <v>0.38</v>
      </c>
      <c r="AH266" s="1">
        <v>0.51</v>
      </c>
      <c r="AI266" s="1">
        <v>0.28000000000000003</v>
      </c>
      <c r="AJ266" s="1">
        <v>0.11</v>
      </c>
      <c r="AK266" s="1">
        <v>0.4</v>
      </c>
      <c r="AL266" s="1">
        <v>0.28000000000000003</v>
      </c>
      <c r="AM266" s="1">
        <v>0.4</v>
      </c>
      <c r="AN266" t="s">
        <v>1112</v>
      </c>
    </row>
    <row r="267" spans="1:40" x14ac:dyDescent="0.25">
      <c r="A267" t="s">
        <v>1136</v>
      </c>
      <c r="B267" t="s">
        <v>1011</v>
      </c>
      <c r="C267" s="4" t="s">
        <v>1838</v>
      </c>
      <c r="D267" t="s">
        <v>1839</v>
      </c>
      <c r="E267" t="s">
        <v>137</v>
      </c>
      <c r="F267" t="str">
        <f>LEFT(premier_player_23_24[[#This Row],[Position]],2)</f>
        <v>FW</v>
      </c>
      <c r="G267" s="3">
        <v>32</v>
      </c>
      <c r="H26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67" s="3">
        <v>24</v>
      </c>
      <c r="J267" s="3">
        <v>18</v>
      </c>
      <c r="K267" s="2">
        <v>1395</v>
      </c>
      <c r="L267" s="2" t="str">
        <f>IF(premier_player_23_24[[#This Row],[Minutes]]&gt;1000,"More than 1000 minutes","Less than 1000 minutes")</f>
        <v>More than 1000 minutes</v>
      </c>
      <c r="M267" s="2">
        <v>15.5</v>
      </c>
      <c r="N267" s="3">
        <v>7</v>
      </c>
      <c r="O267" s="3">
        <v>0</v>
      </c>
      <c r="P267" s="3">
        <v>7</v>
      </c>
      <c r="Q267" s="3">
        <v>7</v>
      </c>
      <c r="R267" s="3">
        <v>0</v>
      </c>
      <c r="S267" s="3">
        <v>0</v>
      </c>
      <c r="T267" s="2">
        <v>3</v>
      </c>
      <c r="U267" s="2">
        <v>1</v>
      </c>
      <c r="V267" s="2">
        <v>5.2</v>
      </c>
      <c r="W267" s="2">
        <f>premier_player_23_24[[#This Row],[Goals]]-premier_player_23_24[[#This Row],[Expected Goals ]]</f>
        <v>1.7999999999999998</v>
      </c>
      <c r="X267" s="2">
        <v>5.2</v>
      </c>
      <c r="Y267" s="2">
        <v>1.5</v>
      </c>
      <c r="Z267" s="2">
        <v>6.6</v>
      </c>
      <c r="AA267" s="3">
        <v>11</v>
      </c>
      <c r="AB267" s="3">
        <v>24</v>
      </c>
      <c r="AC267" s="3">
        <v>87</v>
      </c>
      <c r="AD267" s="1">
        <v>0.45</v>
      </c>
      <c r="AE267" s="1">
        <v>0</v>
      </c>
      <c r="AF267" s="1">
        <v>0.45</v>
      </c>
      <c r="AG267" s="1">
        <v>0.45</v>
      </c>
      <c r="AH267" s="1">
        <v>0.45</v>
      </c>
      <c r="AI267" s="1">
        <v>0.33</v>
      </c>
      <c r="AJ267" s="1">
        <v>0.1</v>
      </c>
      <c r="AK267" s="1">
        <v>0.43</v>
      </c>
      <c r="AL267" s="1">
        <v>0.33</v>
      </c>
      <c r="AM267" s="1">
        <v>0.43</v>
      </c>
      <c r="AN267" t="s">
        <v>1112</v>
      </c>
    </row>
    <row r="268" spans="1:40" x14ac:dyDescent="0.25">
      <c r="A268" t="s">
        <v>1115</v>
      </c>
      <c r="B268" t="s">
        <v>76</v>
      </c>
      <c r="C268" s="4" t="s">
        <v>1750</v>
      </c>
      <c r="D268" t="s">
        <v>1751</v>
      </c>
      <c r="E268" t="s">
        <v>36</v>
      </c>
      <c r="F268" t="str">
        <f>LEFT(premier_player_23_24[[#This Row],[Position]],2)</f>
        <v>MF</v>
      </c>
      <c r="G268" s="3">
        <v>27</v>
      </c>
      <c r="H26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68" s="3">
        <v>37</v>
      </c>
      <c r="J268" s="3">
        <v>34</v>
      </c>
      <c r="K268" s="2">
        <v>2613</v>
      </c>
      <c r="L268" s="2" t="str">
        <f>IF(premier_player_23_24[[#This Row],[Minutes]]&gt;1000,"More than 1000 minutes","Less than 1000 minutes")</f>
        <v>More than 1000 minutes</v>
      </c>
      <c r="M268" s="2">
        <v>29</v>
      </c>
      <c r="N268" s="3">
        <v>3</v>
      </c>
      <c r="O268" s="3">
        <v>7</v>
      </c>
      <c r="P268" s="3">
        <v>10</v>
      </c>
      <c r="Q268" s="3">
        <v>3</v>
      </c>
      <c r="R268" s="3">
        <v>0</v>
      </c>
      <c r="S268" s="3">
        <v>0</v>
      </c>
      <c r="T268" s="2">
        <v>6</v>
      </c>
      <c r="U268" s="2">
        <v>0</v>
      </c>
      <c r="V268" s="2">
        <v>4.5999999999999996</v>
      </c>
      <c r="W268" s="2">
        <f>premier_player_23_24[[#This Row],[Goals]]-premier_player_23_24[[#This Row],[Expected Goals ]]</f>
        <v>-1.5999999999999996</v>
      </c>
      <c r="X268" s="2">
        <v>4.5999999999999996</v>
      </c>
      <c r="Y268" s="2">
        <v>7.1</v>
      </c>
      <c r="Z268" s="2">
        <v>11.7</v>
      </c>
      <c r="AA268" s="3">
        <v>56</v>
      </c>
      <c r="AB268" s="3">
        <v>138</v>
      </c>
      <c r="AC268" s="3">
        <v>125</v>
      </c>
      <c r="AD268" s="1">
        <v>0.1</v>
      </c>
      <c r="AE268" s="1">
        <v>0.24</v>
      </c>
      <c r="AF268" s="1">
        <v>0.34</v>
      </c>
      <c r="AG268" s="1">
        <v>0.1</v>
      </c>
      <c r="AH268" s="1">
        <v>0.34</v>
      </c>
      <c r="AI268" s="1">
        <v>0.16</v>
      </c>
      <c r="AJ268" s="1">
        <v>0.24</v>
      </c>
      <c r="AK268" s="1">
        <v>0.4</v>
      </c>
      <c r="AL268" s="1">
        <v>0.16</v>
      </c>
      <c r="AM268" s="1">
        <v>0.4</v>
      </c>
      <c r="AN268" t="s">
        <v>1112</v>
      </c>
    </row>
    <row r="269" spans="1:40" x14ac:dyDescent="0.25">
      <c r="A269" t="s">
        <v>1148</v>
      </c>
      <c r="B269" t="s">
        <v>360</v>
      </c>
      <c r="C269" s="4" t="s">
        <v>1776</v>
      </c>
      <c r="D269" t="s">
        <v>1777</v>
      </c>
      <c r="E269" t="s">
        <v>36</v>
      </c>
      <c r="F269" t="str">
        <f>LEFT(premier_player_23_24[[#This Row],[Position]],2)</f>
        <v>MF</v>
      </c>
      <c r="G269" s="3">
        <v>32</v>
      </c>
      <c r="H26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69" s="3">
        <v>34</v>
      </c>
      <c r="J269" s="3">
        <v>14</v>
      </c>
      <c r="K269" s="2">
        <v>1488</v>
      </c>
      <c r="L269" s="2" t="str">
        <f>IF(premier_player_23_24[[#This Row],[Minutes]]&gt;1000,"More than 1000 minutes","Less than 1000 minutes")</f>
        <v>More than 1000 minutes</v>
      </c>
      <c r="M269" s="2">
        <v>16.5</v>
      </c>
      <c r="N269" s="3">
        <v>1</v>
      </c>
      <c r="O269" s="3">
        <v>4</v>
      </c>
      <c r="P269" s="3">
        <v>5</v>
      </c>
      <c r="Q269" s="3">
        <v>1</v>
      </c>
      <c r="R269" s="3">
        <v>0</v>
      </c>
      <c r="S269" s="3">
        <v>0</v>
      </c>
      <c r="T269" s="2">
        <v>3</v>
      </c>
      <c r="U269" s="2">
        <v>0</v>
      </c>
      <c r="V269" s="2">
        <v>1.1000000000000001</v>
      </c>
      <c r="W269" s="2">
        <f>premier_player_23_24[[#This Row],[Goals]]-premier_player_23_24[[#This Row],[Expected Goals ]]</f>
        <v>-0.10000000000000009</v>
      </c>
      <c r="X269" s="2">
        <v>1.1000000000000001</v>
      </c>
      <c r="Y269" s="2">
        <v>2.2999999999999998</v>
      </c>
      <c r="Z269" s="2">
        <v>3.4</v>
      </c>
      <c r="AA269" s="3">
        <v>35</v>
      </c>
      <c r="AB269" s="3">
        <v>145</v>
      </c>
      <c r="AC269" s="3">
        <v>72</v>
      </c>
      <c r="AD269" s="1">
        <v>0.06</v>
      </c>
      <c r="AE269" s="1">
        <v>0.24</v>
      </c>
      <c r="AF269" s="1">
        <v>0.3</v>
      </c>
      <c r="AG269" s="1">
        <v>0.06</v>
      </c>
      <c r="AH269" s="1">
        <v>0.3</v>
      </c>
      <c r="AI269" s="1">
        <v>7.0000000000000007E-2</v>
      </c>
      <c r="AJ269" s="1">
        <v>0.14000000000000001</v>
      </c>
      <c r="AK269" s="1">
        <v>0.2</v>
      </c>
      <c r="AL269" s="1">
        <v>7.0000000000000007E-2</v>
      </c>
      <c r="AM269" s="1">
        <v>0.2</v>
      </c>
      <c r="AN269" t="s">
        <v>1112</v>
      </c>
    </row>
    <row r="270" spans="1:40" x14ac:dyDescent="0.25">
      <c r="A270" t="s">
        <v>1123</v>
      </c>
      <c r="B270" t="s">
        <v>1120</v>
      </c>
      <c r="C270" s="4" t="s">
        <v>1806</v>
      </c>
      <c r="D270" t="s">
        <v>1807</v>
      </c>
      <c r="E270" t="s">
        <v>58</v>
      </c>
      <c r="F270" t="str">
        <f>LEFT(premier_player_23_24[[#This Row],[Position]],2)</f>
        <v>FW</v>
      </c>
      <c r="G270" s="3">
        <v>27</v>
      </c>
      <c r="H27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70" s="3">
        <v>30</v>
      </c>
      <c r="J270" s="3">
        <v>25</v>
      </c>
      <c r="K270" s="2">
        <v>2192</v>
      </c>
      <c r="L270" s="2" t="str">
        <f>IF(premier_player_23_24[[#This Row],[Minutes]]&gt;1000,"More than 1000 minutes","Less than 1000 minutes")</f>
        <v>More than 1000 minutes</v>
      </c>
      <c r="M270" s="2">
        <v>24.4</v>
      </c>
      <c r="N270" s="3">
        <v>5</v>
      </c>
      <c r="O270" s="3">
        <v>2</v>
      </c>
      <c r="P270" s="3">
        <v>7</v>
      </c>
      <c r="Q270" s="3">
        <v>5</v>
      </c>
      <c r="R270" s="3">
        <v>0</v>
      </c>
      <c r="S270" s="3">
        <v>0</v>
      </c>
      <c r="T270" s="2">
        <v>2</v>
      </c>
      <c r="U270" s="2">
        <v>0</v>
      </c>
      <c r="V270" s="2">
        <v>5.3</v>
      </c>
      <c r="W270" s="2">
        <f>premier_player_23_24[[#This Row],[Goals]]-premier_player_23_24[[#This Row],[Expected Goals ]]</f>
        <v>-0.29999999999999982</v>
      </c>
      <c r="X270" s="2">
        <v>5.3</v>
      </c>
      <c r="Y270" s="2">
        <v>4.7</v>
      </c>
      <c r="Z270" s="2">
        <v>10</v>
      </c>
      <c r="AA270" s="3">
        <v>109</v>
      </c>
      <c r="AB270" s="3">
        <v>147</v>
      </c>
      <c r="AC270" s="3">
        <v>175</v>
      </c>
      <c r="AD270" s="1">
        <v>0.21</v>
      </c>
      <c r="AE270" s="1">
        <v>0.08</v>
      </c>
      <c r="AF270" s="1">
        <v>0.28999999999999998</v>
      </c>
      <c r="AG270" s="1">
        <v>0.21</v>
      </c>
      <c r="AH270" s="1">
        <v>0.28999999999999998</v>
      </c>
      <c r="AI270" s="1">
        <v>0.22</v>
      </c>
      <c r="AJ270" s="1">
        <v>0.19</v>
      </c>
      <c r="AK270" s="1">
        <v>0.41</v>
      </c>
      <c r="AL270" s="1">
        <v>0.22</v>
      </c>
      <c r="AM270" s="1">
        <v>0.41</v>
      </c>
      <c r="AN270" t="s">
        <v>1112</v>
      </c>
    </row>
    <row r="271" spans="1:40" x14ac:dyDescent="0.25">
      <c r="A271" t="s">
        <v>1128</v>
      </c>
      <c r="B271" t="s">
        <v>76</v>
      </c>
      <c r="C271" s="4" t="s">
        <v>1750</v>
      </c>
      <c r="D271" t="s">
        <v>1751</v>
      </c>
      <c r="E271" t="s">
        <v>137</v>
      </c>
      <c r="F271" t="str">
        <f>LEFT(premier_player_23_24[[#This Row],[Position]],2)</f>
        <v>FW</v>
      </c>
      <c r="G271" s="3">
        <v>34</v>
      </c>
      <c r="H27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71" s="3">
        <v>31</v>
      </c>
      <c r="J271" s="3">
        <v>24</v>
      </c>
      <c r="K271" s="2">
        <v>2053</v>
      </c>
      <c r="L271" s="2" t="str">
        <f>IF(premier_player_23_24[[#This Row],[Minutes]]&gt;1000,"More than 1000 minutes","Less than 1000 minutes")</f>
        <v>More than 1000 minutes</v>
      </c>
      <c r="M271" s="2">
        <v>22.8</v>
      </c>
      <c r="N271" s="3">
        <v>4</v>
      </c>
      <c r="O271" s="3">
        <v>2</v>
      </c>
      <c r="P271" s="3">
        <v>6</v>
      </c>
      <c r="Q271" s="3">
        <v>2</v>
      </c>
      <c r="R271" s="3">
        <v>2</v>
      </c>
      <c r="S271" s="3">
        <v>2</v>
      </c>
      <c r="T271" s="2">
        <v>1</v>
      </c>
      <c r="U271" s="2">
        <v>0</v>
      </c>
      <c r="V271" s="2">
        <v>5.0999999999999996</v>
      </c>
      <c r="W271" s="2">
        <f>premier_player_23_24[[#This Row],[Goals]]-premier_player_23_24[[#This Row],[Expected Goals ]]</f>
        <v>-1.0999999999999996</v>
      </c>
      <c r="X271" s="2">
        <v>3.6</v>
      </c>
      <c r="Y271" s="2">
        <v>3.9</v>
      </c>
      <c r="Z271" s="2">
        <v>7.5</v>
      </c>
      <c r="AA271" s="3">
        <v>92</v>
      </c>
      <c r="AB271" s="3">
        <v>153</v>
      </c>
      <c r="AC271" s="3">
        <v>181</v>
      </c>
      <c r="AD271" s="1">
        <v>0.18</v>
      </c>
      <c r="AE271" s="1">
        <v>0.09</v>
      </c>
      <c r="AF271" s="1">
        <v>0.26</v>
      </c>
      <c r="AG271" s="1">
        <v>0.09</v>
      </c>
      <c r="AH271" s="1">
        <v>0.18</v>
      </c>
      <c r="AI271" s="1">
        <v>0.22</v>
      </c>
      <c r="AJ271" s="1">
        <v>0.17</v>
      </c>
      <c r="AK271" s="1">
        <v>0.4</v>
      </c>
      <c r="AL271" s="1">
        <v>0.16</v>
      </c>
      <c r="AM271" s="1">
        <v>0.33</v>
      </c>
      <c r="AN271" t="s">
        <v>1112</v>
      </c>
    </row>
    <row r="272" spans="1:40" x14ac:dyDescent="0.25">
      <c r="A272" t="s">
        <v>1113</v>
      </c>
      <c r="B272" t="s">
        <v>1073</v>
      </c>
      <c r="C272" s="4" t="s">
        <v>1796</v>
      </c>
      <c r="D272" t="s">
        <v>1797</v>
      </c>
      <c r="E272" t="s">
        <v>108</v>
      </c>
      <c r="F272" t="str">
        <f>LEFT(premier_player_23_24[[#This Row],[Position]],2)</f>
        <v>DF</v>
      </c>
      <c r="G272" s="3">
        <v>25</v>
      </c>
      <c r="H27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72" s="3">
        <v>37</v>
      </c>
      <c r="J272" s="3">
        <v>37</v>
      </c>
      <c r="K272" s="2">
        <v>3265</v>
      </c>
      <c r="L272" s="2" t="str">
        <f>IF(premier_player_23_24[[#This Row],[Minutes]]&gt;1000,"More than 1000 minutes","Less than 1000 minutes")</f>
        <v>More than 1000 minutes</v>
      </c>
      <c r="M272" s="2">
        <v>36.299999999999997</v>
      </c>
      <c r="N272" s="3">
        <v>0</v>
      </c>
      <c r="O272" s="3">
        <v>6</v>
      </c>
      <c r="P272" s="3">
        <v>6</v>
      </c>
      <c r="Q272" s="3">
        <v>0</v>
      </c>
      <c r="R272" s="3">
        <v>0</v>
      </c>
      <c r="S272" s="3">
        <v>0</v>
      </c>
      <c r="T272" s="2">
        <v>6</v>
      </c>
      <c r="U272" s="2">
        <v>0</v>
      </c>
      <c r="V272" s="2">
        <v>0.7</v>
      </c>
      <c r="W272" s="2">
        <f>premier_player_23_24[[#This Row],[Goals]]-premier_player_23_24[[#This Row],[Expected Goals ]]</f>
        <v>-0.7</v>
      </c>
      <c r="X272" s="2">
        <v>0.7</v>
      </c>
      <c r="Y272" s="2">
        <v>4.2</v>
      </c>
      <c r="Z272" s="2">
        <v>4.8</v>
      </c>
      <c r="AA272" s="3">
        <v>99</v>
      </c>
      <c r="AB272" s="3">
        <v>129</v>
      </c>
      <c r="AC272" s="3">
        <v>194</v>
      </c>
      <c r="AD272" s="1">
        <v>0</v>
      </c>
      <c r="AE272" s="1">
        <v>0.17</v>
      </c>
      <c r="AF272" s="1">
        <v>0.17</v>
      </c>
      <c r="AG272" s="1">
        <v>0</v>
      </c>
      <c r="AH272" s="1">
        <v>0.17</v>
      </c>
      <c r="AI272" s="1">
        <v>0.02</v>
      </c>
      <c r="AJ272" s="1">
        <v>0.11</v>
      </c>
      <c r="AK272" s="1">
        <v>0.13</v>
      </c>
      <c r="AL272" s="1">
        <v>0.02</v>
      </c>
      <c r="AM272" s="1">
        <v>0.13</v>
      </c>
      <c r="AN272" t="s">
        <v>1112</v>
      </c>
    </row>
    <row r="273" spans="1:40" x14ac:dyDescent="0.25">
      <c r="A273" t="s">
        <v>1117</v>
      </c>
      <c r="B273" t="s">
        <v>122</v>
      </c>
      <c r="C273" s="4" t="s">
        <v>1742</v>
      </c>
      <c r="D273" t="s">
        <v>1743</v>
      </c>
      <c r="E273" t="s">
        <v>36</v>
      </c>
      <c r="F273" t="str">
        <f>LEFT(premier_player_23_24[[#This Row],[Position]],2)</f>
        <v>MF</v>
      </c>
      <c r="G273" s="3">
        <v>28</v>
      </c>
      <c r="H27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73" s="3">
        <v>33</v>
      </c>
      <c r="J273" s="3">
        <v>31</v>
      </c>
      <c r="K273" s="2">
        <v>2699</v>
      </c>
      <c r="L273" s="2" t="str">
        <f>IF(premier_player_23_24[[#This Row],[Minutes]]&gt;1000,"More than 1000 minutes","Less than 1000 minutes")</f>
        <v>More than 1000 minutes</v>
      </c>
      <c r="M273" s="2">
        <v>30</v>
      </c>
      <c r="N273" s="3">
        <v>4</v>
      </c>
      <c r="O273" s="3">
        <v>1</v>
      </c>
      <c r="P273" s="3">
        <v>5</v>
      </c>
      <c r="Q273" s="3">
        <v>4</v>
      </c>
      <c r="R273" s="3">
        <v>0</v>
      </c>
      <c r="S273" s="3">
        <v>0</v>
      </c>
      <c r="T273" s="2">
        <v>13</v>
      </c>
      <c r="U273" s="2">
        <v>0</v>
      </c>
      <c r="V273" s="2">
        <v>3.3</v>
      </c>
      <c r="W273" s="2">
        <f>premier_player_23_24[[#This Row],[Goals]]-premier_player_23_24[[#This Row],[Expected Goals ]]</f>
        <v>0.70000000000000018</v>
      </c>
      <c r="X273" s="2">
        <v>3.3</v>
      </c>
      <c r="Y273" s="2">
        <v>0.8</v>
      </c>
      <c r="Z273" s="2">
        <v>4.0999999999999996</v>
      </c>
      <c r="AA273" s="3">
        <v>8</v>
      </c>
      <c r="AB273" s="3">
        <v>97</v>
      </c>
      <c r="AC273" s="3">
        <v>14</v>
      </c>
      <c r="AD273" s="1">
        <v>0.13</v>
      </c>
      <c r="AE273" s="1">
        <v>0.03</v>
      </c>
      <c r="AF273" s="1">
        <v>0.17</v>
      </c>
      <c r="AG273" s="1">
        <v>0.13</v>
      </c>
      <c r="AH273" s="1">
        <v>0.17</v>
      </c>
      <c r="AI273" s="1">
        <v>0.11</v>
      </c>
      <c r="AJ273" s="1">
        <v>0.03</v>
      </c>
      <c r="AK273" s="1">
        <v>0.14000000000000001</v>
      </c>
      <c r="AL273" s="1">
        <v>0.11</v>
      </c>
      <c r="AM273" s="1">
        <v>0.14000000000000001</v>
      </c>
      <c r="AN273" t="s">
        <v>1112</v>
      </c>
    </row>
    <row r="274" spans="1:40" x14ac:dyDescent="0.25">
      <c r="A274" t="s">
        <v>1118</v>
      </c>
      <c r="B274" t="s">
        <v>207</v>
      </c>
      <c r="C274" s="4" t="s">
        <v>1746</v>
      </c>
      <c r="D274" t="s">
        <v>1747</v>
      </c>
      <c r="E274" t="s">
        <v>108</v>
      </c>
      <c r="F274" t="str">
        <f>LEFT(premier_player_23_24[[#This Row],[Position]],2)</f>
        <v>DF</v>
      </c>
      <c r="G274" s="3">
        <v>27</v>
      </c>
      <c r="H27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74" s="3">
        <v>34</v>
      </c>
      <c r="J274" s="3">
        <v>29</v>
      </c>
      <c r="K274" s="2">
        <v>2634</v>
      </c>
      <c r="L274" s="2" t="str">
        <f>IF(premier_player_23_24[[#This Row],[Minutes]]&gt;1000,"More than 1000 minutes","Less than 1000 minutes")</f>
        <v>More than 1000 minutes</v>
      </c>
      <c r="M274" s="2">
        <v>29.3</v>
      </c>
      <c r="N274" s="3">
        <v>1</v>
      </c>
      <c r="O274" s="3">
        <v>3</v>
      </c>
      <c r="P274" s="3">
        <v>4</v>
      </c>
      <c r="Q274" s="3">
        <v>1</v>
      </c>
      <c r="R274" s="3">
        <v>0</v>
      </c>
      <c r="S274" s="3">
        <v>0</v>
      </c>
      <c r="T274" s="2">
        <v>3</v>
      </c>
      <c r="U274" s="2">
        <v>0</v>
      </c>
      <c r="V274" s="2">
        <v>1.6</v>
      </c>
      <c r="W274" s="2">
        <f>premier_player_23_24[[#This Row],[Goals]]-premier_player_23_24[[#This Row],[Expected Goals ]]</f>
        <v>-0.60000000000000009</v>
      </c>
      <c r="X274" s="2">
        <v>1.6</v>
      </c>
      <c r="Y274" s="2">
        <v>1.9</v>
      </c>
      <c r="Z274" s="2">
        <v>3.5</v>
      </c>
      <c r="AA274" s="3">
        <v>48</v>
      </c>
      <c r="AB274" s="3">
        <v>77</v>
      </c>
      <c r="AC274" s="3">
        <v>113</v>
      </c>
      <c r="AD274" s="1">
        <v>0.03</v>
      </c>
      <c r="AE274" s="1">
        <v>0.1</v>
      </c>
      <c r="AF274" s="1">
        <v>0.14000000000000001</v>
      </c>
      <c r="AG274" s="1">
        <v>0.03</v>
      </c>
      <c r="AH274" s="1">
        <v>0.14000000000000001</v>
      </c>
      <c r="AI274" s="1">
        <v>0.06</v>
      </c>
      <c r="AJ274" s="1">
        <v>7.0000000000000007E-2</v>
      </c>
      <c r="AK274" s="1">
        <v>0.12</v>
      </c>
      <c r="AL274" s="1">
        <v>0.06</v>
      </c>
      <c r="AM274" s="1">
        <v>0.12</v>
      </c>
      <c r="AN274" t="s">
        <v>1112</v>
      </c>
    </row>
    <row r="275" spans="1:40" x14ac:dyDescent="0.25">
      <c r="A275" t="s">
        <v>1146</v>
      </c>
      <c r="B275" t="s">
        <v>57</v>
      </c>
      <c r="C275" s="4" t="s">
        <v>1744</v>
      </c>
      <c r="D275" t="s">
        <v>1745</v>
      </c>
      <c r="E275" t="s">
        <v>36</v>
      </c>
      <c r="F275" t="str">
        <f>LEFT(premier_player_23_24[[#This Row],[Position]],2)</f>
        <v>MF</v>
      </c>
      <c r="G275" s="3">
        <v>28</v>
      </c>
      <c r="H27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75" s="3">
        <v>27</v>
      </c>
      <c r="J275" s="3">
        <v>15</v>
      </c>
      <c r="K275" s="2">
        <v>1325</v>
      </c>
      <c r="L275" s="2" t="str">
        <f>IF(premier_player_23_24[[#This Row],[Minutes]]&gt;1000,"More than 1000 minutes","Less than 1000 minutes")</f>
        <v>More than 1000 minutes</v>
      </c>
      <c r="M275" s="2">
        <v>14.7</v>
      </c>
      <c r="N275" s="3">
        <v>0</v>
      </c>
      <c r="O275" s="3">
        <v>2</v>
      </c>
      <c r="P275" s="3">
        <v>2</v>
      </c>
      <c r="Q275" s="3">
        <v>0</v>
      </c>
      <c r="R275" s="3">
        <v>0</v>
      </c>
      <c r="S275" s="3">
        <v>0</v>
      </c>
      <c r="T275" s="2">
        <v>6</v>
      </c>
      <c r="U275" s="2">
        <v>0</v>
      </c>
      <c r="V275" s="2">
        <v>0.3</v>
      </c>
      <c r="W275" s="2">
        <f>premier_player_23_24[[#This Row],[Goals]]-premier_player_23_24[[#This Row],[Expected Goals ]]</f>
        <v>-0.3</v>
      </c>
      <c r="X275" s="2">
        <v>0.3</v>
      </c>
      <c r="Y275" s="2">
        <v>1.1000000000000001</v>
      </c>
      <c r="Z275" s="2">
        <v>1.4</v>
      </c>
      <c r="AA275" s="3">
        <v>10</v>
      </c>
      <c r="AB275" s="3">
        <v>56</v>
      </c>
      <c r="AC275" s="3">
        <v>40</v>
      </c>
      <c r="AD275" s="1">
        <v>0</v>
      </c>
      <c r="AE275" s="1">
        <v>0.14000000000000001</v>
      </c>
      <c r="AF275" s="1">
        <v>0.14000000000000001</v>
      </c>
      <c r="AG275" s="1">
        <v>0</v>
      </c>
      <c r="AH275" s="1">
        <v>0.14000000000000001</v>
      </c>
      <c r="AI275" s="1">
        <v>0.02</v>
      </c>
      <c r="AJ275" s="1">
        <v>7.0000000000000007E-2</v>
      </c>
      <c r="AK275" s="1">
        <v>0.09</v>
      </c>
      <c r="AL275" s="1">
        <v>0.02</v>
      </c>
      <c r="AM275" s="1">
        <v>0.09</v>
      </c>
      <c r="AN275" t="s">
        <v>1112</v>
      </c>
    </row>
    <row r="276" spans="1:40" x14ac:dyDescent="0.25">
      <c r="A276" t="s">
        <v>1132</v>
      </c>
      <c r="B276" t="s">
        <v>57</v>
      </c>
      <c r="C276" s="4" t="s">
        <v>1744</v>
      </c>
      <c r="D276" t="s">
        <v>1745</v>
      </c>
      <c r="E276" t="s">
        <v>108</v>
      </c>
      <c r="F276" t="str">
        <f>LEFT(premier_player_23_24[[#This Row],[Position]],2)</f>
        <v>DF</v>
      </c>
      <c r="G276" s="3">
        <v>25</v>
      </c>
      <c r="H27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76" s="3">
        <v>20</v>
      </c>
      <c r="J276" s="3">
        <v>18</v>
      </c>
      <c r="K276" s="2">
        <v>1617</v>
      </c>
      <c r="L276" s="2" t="str">
        <f>IF(premier_player_23_24[[#This Row],[Minutes]]&gt;1000,"More than 1000 minutes","Less than 1000 minutes")</f>
        <v>More than 1000 minutes</v>
      </c>
      <c r="M276" s="2">
        <v>18</v>
      </c>
      <c r="N276" s="3">
        <v>2</v>
      </c>
      <c r="O276" s="3">
        <v>0</v>
      </c>
      <c r="P276" s="3">
        <v>2</v>
      </c>
      <c r="Q276" s="3">
        <v>2</v>
      </c>
      <c r="R276" s="3">
        <v>0</v>
      </c>
      <c r="S276" s="3">
        <v>0</v>
      </c>
      <c r="T276" s="2">
        <v>2</v>
      </c>
      <c r="U276" s="2">
        <v>0</v>
      </c>
      <c r="V276" s="2">
        <v>0.7</v>
      </c>
      <c r="W276" s="2">
        <f>premier_player_23_24[[#This Row],[Goals]]-premier_player_23_24[[#This Row],[Expected Goals ]]</f>
        <v>1.3</v>
      </c>
      <c r="X276" s="2">
        <v>0.7</v>
      </c>
      <c r="Y276" s="2">
        <v>0.1</v>
      </c>
      <c r="Z276" s="2">
        <v>0.8</v>
      </c>
      <c r="AA276" s="3">
        <v>10</v>
      </c>
      <c r="AB276" s="3">
        <v>62</v>
      </c>
      <c r="AC276" s="3">
        <v>5</v>
      </c>
      <c r="AD276" s="1">
        <v>0.11</v>
      </c>
      <c r="AE276" s="1">
        <v>0</v>
      </c>
      <c r="AF276" s="1">
        <v>0.11</v>
      </c>
      <c r="AG276" s="1">
        <v>0.11</v>
      </c>
      <c r="AH276" s="1">
        <v>0.11</v>
      </c>
      <c r="AI276" s="1">
        <v>0.04</v>
      </c>
      <c r="AJ276" s="1">
        <v>0.01</v>
      </c>
      <c r="AK276" s="1">
        <v>0.05</v>
      </c>
      <c r="AL276" s="1">
        <v>0.04</v>
      </c>
      <c r="AM276" s="1">
        <v>0.05</v>
      </c>
      <c r="AN276" t="s">
        <v>1112</v>
      </c>
    </row>
    <row r="277" spans="1:40" x14ac:dyDescent="0.25">
      <c r="A277" t="s">
        <v>1153</v>
      </c>
      <c r="B277" t="s">
        <v>196</v>
      </c>
      <c r="C277" s="4" t="s">
        <v>1768</v>
      </c>
      <c r="D277" t="s">
        <v>1769</v>
      </c>
      <c r="E277" t="s">
        <v>108</v>
      </c>
      <c r="F277" t="str">
        <f>LEFT(premier_player_23_24[[#This Row],[Position]],2)</f>
        <v>DF</v>
      </c>
      <c r="G277" s="3">
        <v>27</v>
      </c>
      <c r="H27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77" s="3">
        <v>14</v>
      </c>
      <c r="J277" s="3">
        <v>10</v>
      </c>
      <c r="K277" s="2">
        <v>867</v>
      </c>
      <c r="L277" s="2" t="str">
        <f>IF(premier_player_23_24[[#This Row],[Minutes]]&gt;1000,"More than 1000 minutes","Less than 1000 minutes")</f>
        <v>Less than 1000 minutes</v>
      </c>
      <c r="M277" s="2">
        <v>9.6</v>
      </c>
      <c r="N277" s="3">
        <v>1</v>
      </c>
      <c r="O277" s="3">
        <v>0</v>
      </c>
      <c r="P277" s="3">
        <v>1</v>
      </c>
      <c r="Q277" s="3">
        <v>1</v>
      </c>
      <c r="R277" s="3">
        <v>0</v>
      </c>
      <c r="S277" s="3">
        <v>0</v>
      </c>
      <c r="T277" s="2">
        <v>2</v>
      </c>
      <c r="U277" s="2">
        <v>0</v>
      </c>
      <c r="V277" s="2">
        <v>0.9</v>
      </c>
      <c r="W277" s="2">
        <f>premier_player_23_24[[#This Row],[Goals]]-premier_player_23_24[[#This Row],[Expected Goals ]]</f>
        <v>9.9999999999999978E-2</v>
      </c>
      <c r="X277" s="2">
        <v>0.9</v>
      </c>
      <c r="Y277" s="2">
        <v>0.4</v>
      </c>
      <c r="Z277" s="2">
        <v>1.2</v>
      </c>
      <c r="AA277" s="3">
        <v>20</v>
      </c>
      <c r="AB277" s="3">
        <v>54</v>
      </c>
      <c r="AC277" s="3">
        <v>38</v>
      </c>
      <c r="AD277" s="1">
        <v>0.1</v>
      </c>
      <c r="AE277" s="1">
        <v>0</v>
      </c>
      <c r="AF277" s="1">
        <v>0.1</v>
      </c>
      <c r="AG277" s="1">
        <v>0.1</v>
      </c>
      <c r="AH277" s="1">
        <v>0.1</v>
      </c>
      <c r="AI277" s="1">
        <v>0.09</v>
      </c>
      <c r="AJ277" s="1">
        <v>0.04</v>
      </c>
      <c r="AK277" s="1">
        <v>0.13</v>
      </c>
      <c r="AL277" s="1">
        <v>0.09</v>
      </c>
      <c r="AM277" s="1">
        <v>0.13</v>
      </c>
      <c r="AN277" t="s">
        <v>1112</v>
      </c>
    </row>
    <row r="278" spans="1:40" x14ac:dyDescent="0.25">
      <c r="A278" t="s">
        <v>1151</v>
      </c>
      <c r="B278" t="s">
        <v>585</v>
      </c>
      <c r="C278" s="4" t="s">
        <v>1832</v>
      </c>
      <c r="D278" t="s">
        <v>1833</v>
      </c>
      <c r="E278" t="s">
        <v>36</v>
      </c>
      <c r="F278" t="str">
        <f>LEFT(premier_player_23_24[[#This Row],[Position]],2)</f>
        <v>MF</v>
      </c>
      <c r="G278" s="3">
        <v>26</v>
      </c>
      <c r="H27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78" s="3">
        <v>24</v>
      </c>
      <c r="J278" s="3">
        <v>13</v>
      </c>
      <c r="K278" s="2">
        <v>1122</v>
      </c>
      <c r="L278" s="2" t="str">
        <f>IF(premier_player_23_24[[#This Row],[Minutes]]&gt;1000,"More than 1000 minutes","Less than 1000 minutes")</f>
        <v>More than 1000 minutes</v>
      </c>
      <c r="M278" s="2">
        <v>12.5</v>
      </c>
      <c r="N278" s="3">
        <v>1</v>
      </c>
      <c r="O278" s="3">
        <v>0</v>
      </c>
      <c r="P278" s="3">
        <v>1</v>
      </c>
      <c r="Q278" s="3">
        <v>1</v>
      </c>
      <c r="R278" s="3">
        <v>0</v>
      </c>
      <c r="S278" s="3">
        <v>0</v>
      </c>
      <c r="T278" s="2">
        <v>3</v>
      </c>
      <c r="U278" s="2">
        <v>0</v>
      </c>
      <c r="V278" s="2">
        <v>1.6</v>
      </c>
      <c r="W278" s="2">
        <f>premier_player_23_24[[#This Row],[Goals]]-premier_player_23_24[[#This Row],[Expected Goals ]]</f>
        <v>-0.60000000000000009</v>
      </c>
      <c r="X278" s="2">
        <v>1.6</v>
      </c>
      <c r="Y278" s="2">
        <v>0.8</v>
      </c>
      <c r="Z278" s="2">
        <v>2.4</v>
      </c>
      <c r="AA278" s="3">
        <v>12</v>
      </c>
      <c r="AB278" s="3">
        <v>43</v>
      </c>
      <c r="AC278" s="3">
        <v>27</v>
      </c>
      <c r="AD278" s="1">
        <v>0.08</v>
      </c>
      <c r="AE278" s="1">
        <v>0</v>
      </c>
      <c r="AF278" s="1">
        <v>0.08</v>
      </c>
      <c r="AG278" s="1">
        <v>0.08</v>
      </c>
      <c r="AH278" s="1">
        <v>0.08</v>
      </c>
      <c r="AI278" s="1">
        <v>0.13</v>
      </c>
      <c r="AJ278" s="1">
        <v>0.06</v>
      </c>
      <c r="AK278" s="1">
        <v>0.19</v>
      </c>
      <c r="AL278" s="1">
        <v>0.13</v>
      </c>
      <c r="AM278" s="1">
        <v>0.19</v>
      </c>
      <c r="AN278" t="s">
        <v>1112</v>
      </c>
    </row>
    <row r="279" spans="1:40" x14ac:dyDescent="0.25">
      <c r="A279" t="s">
        <v>1138</v>
      </c>
      <c r="B279" t="s">
        <v>1073</v>
      </c>
      <c r="C279" s="4" t="s">
        <v>1796</v>
      </c>
      <c r="D279" t="s">
        <v>1797</v>
      </c>
      <c r="E279" t="s">
        <v>108</v>
      </c>
      <c r="F279" t="str">
        <f>LEFT(premier_player_23_24[[#This Row],[Position]],2)</f>
        <v>DF</v>
      </c>
      <c r="G279" s="3">
        <v>35</v>
      </c>
      <c r="H27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Veterans</v>
      </c>
      <c r="I279" s="3">
        <v>18</v>
      </c>
      <c r="J279" s="3">
        <v>17</v>
      </c>
      <c r="K279" s="2">
        <v>1503</v>
      </c>
      <c r="L279" s="2" t="str">
        <f>IF(premier_player_23_24[[#This Row],[Minutes]]&gt;1000,"More than 1000 minutes","Less than 1000 minutes")</f>
        <v>More than 1000 minutes</v>
      </c>
      <c r="M279" s="2">
        <v>16.7</v>
      </c>
      <c r="N279" s="3">
        <v>1</v>
      </c>
      <c r="O279" s="3">
        <v>0</v>
      </c>
      <c r="P279" s="3">
        <v>1</v>
      </c>
      <c r="Q279" s="3">
        <v>1</v>
      </c>
      <c r="R279" s="3">
        <v>0</v>
      </c>
      <c r="S279" s="3">
        <v>0</v>
      </c>
      <c r="T279" s="2">
        <v>4</v>
      </c>
      <c r="U279" s="2">
        <v>1</v>
      </c>
      <c r="V279" s="2">
        <v>1</v>
      </c>
      <c r="W279" s="2">
        <f>premier_player_23_24[[#This Row],[Goals]]-premier_player_23_24[[#This Row],[Expected Goals ]]</f>
        <v>0</v>
      </c>
      <c r="X279" s="2">
        <v>1</v>
      </c>
      <c r="Y279" s="2">
        <v>0</v>
      </c>
      <c r="Z279" s="2">
        <v>1</v>
      </c>
      <c r="AA279" s="3">
        <v>11</v>
      </c>
      <c r="AB279" s="3">
        <v>65</v>
      </c>
      <c r="AC279" s="3">
        <v>3</v>
      </c>
      <c r="AD279" s="1">
        <v>0.06</v>
      </c>
      <c r="AE279" s="1">
        <v>0</v>
      </c>
      <c r="AF279" s="1">
        <v>0.06</v>
      </c>
      <c r="AG279" s="1">
        <v>0.06</v>
      </c>
      <c r="AH279" s="1">
        <v>0.06</v>
      </c>
      <c r="AI279" s="1">
        <v>0.06</v>
      </c>
      <c r="AJ279" s="1">
        <v>0</v>
      </c>
      <c r="AK279" s="1">
        <v>0.06</v>
      </c>
      <c r="AL279" s="1">
        <v>0.06</v>
      </c>
      <c r="AM279" s="1">
        <v>0.06</v>
      </c>
      <c r="AN279" t="s">
        <v>1112</v>
      </c>
    </row>
    <row r="280" spans="1:40" x14ac:dyDescent="0.25">
      <c r="A280" t="s">
        <v>1119</v>
      </c>
      <c r="B280" t="s">
        <v>1120</v>
      </c>
      <c r="C280" s="4" t="s">
        <v>1806</v>
      </c>
      <c r="D280" t="s">
        <v>1807</v>
      </c>
      <c r="E280" t="s">
        <v>108</v>
      </c>
      <c r="F280" t="str">
        <f>LEFT(premier_player_23_24[[#This Row],[Position]],2)</f>
        <v>DF</v>
      </c>
      <c r="G280" s="3">
        <v>23</v>
      </c>
      <c r="H28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80" s="3">
        <v>29</v>
      </c>
      <c r="J280" s="3">
        <v>25</v>
      </c>
      <c r="K280" s="2">
        <v>2303</v>
      </c>
      <c r="L280" s="2" t="str">
        <f>IF(premier_player_23_24[[#This Row],[Minutes]]&gt;1000,"More than 1000 minutes","Less than 1000 minutes")</f>
        <v>More than 1000 minutes</v>
      </c>
      <c r="M280" s="2">
        <v>25.6</v>
      </c>
      <c r="N280" s="3">
        <v>1</v>
      </c>
      <c r="O280" s="3">
        <v>0</v>
      </c>
      <c r="P280" s="3">
        <v>1</v>
      </c>
      <c r="Q280" s="3">
        <v>1</v>
      </c>
      <c r="R280" s="3">
        <v>0</v>
      </c>
      <c r="S280" s="3">
        <v>0</v>
      </c>
      <c r="T280" s="2">
        <v>6</v>
      </c>
      <c r="U280" s="2">
        <v>1</v>
      </c>
      <c r="V280" s="2">
        <v>0.3</v>
      </c>
      <c r="W280" s="2">
        <f>premier_player_23_24[[#This Row],[Goals]]-premier_player_23_24[[#This Row],[Expected Goals ]]</f>
        <v>0.7</v>
      </c>
      <c r="X280" s="2">
        <v>0.3</v>
      </c>
      <c r="Y280" s="2">
        <v>0</v>
      </c>
      <c r="Z280" s="2">
        <v>0.4</v>
      </c>
      <c r="AA280" s="3">
        <v>15</v>
      </c>
      <c r="AB280" s="3">
        <v>62</v>
      </c>
      <c r="AC280" s="3">
        <v>4</v>
      </c>
      <c r="AD280" s="1">
        <v>0.04</v>
      </c>
      <c r="AE280" s="1">
        <v>0</v>
      </c>
      <c r="AF280" s="1">
        <v>0.04</v>
      </c>
      <c r="AG280" s="1">
        <v>0.04</v>
      </c>
      <c r="AH280" s="1">
        <v>0.04</v>
      </c>
      <c r="AI280" s="1">
        <v>0.01</v>
      </c>
      <c r="AJ280" s="1">
        <v>0</v>
      </c>
      <c r="AK280" s="1">
        <v>0.01</v>
      </c>
      <c r="AL280" s="1">
        <v>0.01</v>
      </c>
      <c r="AM280" s="1">
        <v>0.01</v>
      </c>
      <c r="AN280" t="s">
        <v>1112</v>
      </c>
    </row>
    <row r="281" spans="1:40" x14ac:dyDescent="0.25">
      <c r="A281" t="s">
        <v>1111</v>
      </c>
      <c r="B281" t="s">
        <v>262</v>
      </c>
      <c r="C281" s="4" t="s">
        <v>1748</v>
      </c>
      <c r="D281" t="s">
        <v>1749</v>
      </c>
      <c r="E281" t="s">
        <v>77</v>
      </c>
      <c r="F281" t="str">
        <f>LEFT(premier_player_23_24[[#This Row],[Position]],2)</f>
        <v>GK</v>
      </c>
      <c r="G281" s="3">
        <v>31</v>
      </c>
      <c r="H28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81" s="3">
        <v>38</v>
      </c>
      <c r="J281" s="3">
        <v>38</v>
      </c>
      <c r="K281" s="2">
        <v>3420</v>
      </c>
      <c r="L281" s="2" t="str">
        <f>IF(premier_player_23_24[[#This Row],[Minutes]]&gt;1000,"More than 1000 minutes","Less than 1000 minutes")</f>
        <v>More than 1000 minutes</v>
      </c>
      <c r="M281" s="2">
        <v>38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2">
        <v>3</v>
      </c>
      <c r="U281" s="2">
        <v>0</v>
      </c>
      <c r="V281" s="2">
        <v>0</v>
      </c>
      <c r="W281" s="2">
        <f>premier_player_23_24[[#This Row],[Goals]]-premier_player_23_24[[#This Row],[Expected Goals ]]</f>
        <v>0</v>
      </c>
      <c r="X281" s="2">
        <v>0</v>
      </c>
      <c r="Y281" s="2">
        <v>0</v>
      </c>
      <c r="Z281" s="2">
        <v>0</v>
      </c>
      <c r="AA281" s="3">
        <v>0</v>
      </c>
      <c r="AB281" s="3">
        <v>0</v>
      </c>
      <c r="AC281" s="3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  <c r="AN281" t="s">
        <v>1112</v>
      </c>
    </row>
    <row r="282" spans="1:40" x14ac:dyDescent="0.25">
      <c r="A282" t="s">
        <v>1144</v>
      </c>
      <c r="B282" t="s">
        <v>376</v>
      </c>
      <c r="C282" s="4" t="s">
        <v>1762</v>
      </c>
      <c r="D282" t="s">
        <v>1763</v>
      </c>
      <c r="E282" t="s">
        <v>108</v>
      </c>
      <c r="F282" t="str">
        <f>LEFT(premier_player_23_24[[#This Row],[Position]],2)</f>
        <v>DF</v>
      </c>
      <c r="G282" s="3">
        <v>26</v>
      </c>
      <c r="H28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82" s="3">
        <v>18</v>
      </c>
      <c r="J282" s="3">
        <v>16</v>
      </c>
      <c r="K282" s="2">
        <v>1424</v>
      </c>
      <c r="L282" s="2" t="str">
        <f>IF(premier_player_23_24[[#This Row],[Minutes]]&gt;1000,"More than 1000 minutes","Less than 1000 minutes")</f>
        <v>More than 1000 minutes</v>
      </c>
      <c r="M282" s="2">
        <v>15.8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2">
        <v>4</v>
      </c>
      <c r="U282" s="2">
        <v>1</v>
      </c>
      <c r="V282" s="2">
        <v>0.3</v>
      </c>
      <c r="W282" s="2">
        <f>premier_player_23_24[[#This Row],[Goals]]-premier_player_23_24[[#This Row],[Expected Goals ]]</f>
        <v>-0.3</v>
      </c>
      <c r="X282" s="2">
        <v>0.3</v>
      </c>
      <c r="Y282" s="2">
        <v>0</v>
      </c>
      <c r="Z282" s="2">
        <v>0.3</v>
      </c>
      <c r="AA282" s="3">
        <v>11</v>
      </c>
      <c r="AB282" s="3">
        <v>66</v>
      </c>
      <c r="AC282" s="3">
        <v>1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0.02</v>
      </c>
      <c r="AJ282" s="1">
        <v>0</v>
      </c>
      <c r="AK282" s="1">
        <v>0.02</v>
      </c>
      <c r="AL282" s="1">
        <v>0.02</v>
      </c>
      <c r="AM282" s="1">
        <v>0.02</v>
      </c>
      <c r="AN282" t="s">
        <v>1112</v>
      </c>
    </row>
    <row r="283" spans="1:40" x14ac:dyDescent="0.25">
      <c r="A283" t="s">
        <v>1161</v>
      </c>
      <c r="B283" t="s">
        <v>432</v>
      </c>
      <c r="C283" s="4" t="s">
        <v>1786</v>
      </c>
      <c r="D283" t="s">
        <v>1787</v>
      </c>
      <c r="E283" t="s">
        <v>36</v>
      </c>
      <c r="F283" t="str">
        <f>LEFT(premier_player_23_24[[#This Row],[Position]],2)</f>
        <v>MF</v>
      </c>
      <c r="G283" s="3">
        <v>18</v>
      </c>
      <c r="H28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283" s="3">
        <v>1</v>
      </c>
      <c r="J283" s="3">
        <v>0</v>
      </c>
      <c r="K283" s="2">
        <v>75</v>
      </c>
      <c r="L283" s="2" t="str">
        <f>IF(premier_player_23_24[[#This Row],[Minutes]]&gt;1000,"More than 1000 minutes","Less than 1000 minutes")</f>
        <v>Less than 1000 minutes</v>
      </c>
      <c r="M283" s="2">
        <v>0.8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2">
        <v>0</v>
      </c>
      <c r="U283" s="2">
        <v>0</v>
      </c>
      <c r="V283" s="2">
        <v>0.3</v>
      </c>
      <c r="W283" s="2">
        <f>premier_player_23_24[[#This Row],[Goals]]-premier_player_23_24[[#This Row],[Expected Goals ]]</f>
        <v>-0.3</v>
      </c>
      <c r="X283" s="2">
        <v>0.3</v>
      </c>
      <c r="Y283" s="2">
        <v>0</v>
      </c>
      <c r="Z283" s="2">
        <v>0.3</v>
      </c>
      <c r="AA283" s="3">
        <v>0</v>
      </c>
      <c r="AB283" s="3">
        <v>1</v>
      </c>
      <c r="AC283" s="3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0.33</v>
      </c>
      <c r="AJ283" s="1">
        <v>0</v>
      </c>
      <c r="AK283" s="1">
        <v>0.33</v>
      </c>
      <c r="AL283" s="1">
        <v>0.33</v>
      </c>
      <c r="AM283" s="1">
        <v>0.33</v>
      </c>
      <c r="AN283" t="s">
        <v>1112</v>
      </c>
    </row>
    <row r="284" spans="1:40" x14ac:dyDescent="0.25">
      <c r="A284" t="s">
        <v>1162</v>
      </c>
      <c r="B284" t="s">
        <v>555</v>
      </c>
      <c r="C284" s="4" t="s">
        <v>1830</v>
      </c>
      <c r="D284" t="s">
        <v>1831</v>
      </c>
      <c r="E284" t="s">
        <v>172</v>
      </c>
      <c r="F284" t="str">
        <f>LEFT(premier_player_23_24[[#This Row],[Position]],2)</f>
        <v>DF</v>
      </c>
      <c r="G284" s="3">
        <v>26</v>
      </c>
      <c r="H28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84" s="3">
        <v>6</v>
      </c>
      <c r="J284" s="3">
        <v>0</v>
      </c>
      <c r="K284" s="2">
        <v>71</v>
      </c>
      <c r="L284" s="2" t="str">
        <f>IF(premier_player_23_24[[#This Row],[Minutes]]&gt;1000,"More than 1000 minutes","Less than 1000 minutes")</f>
        <v>Less than 1000 minutes</v>
      </c>
      <c r="M284" s="2">
        <v>0.8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2">
        <v>1</v>
      </c>
      <c r="U284" s="2">
        <v>0</v>
      </c>
      <c r="V284" s="2">
        <v>0</v>
      </c>
      <c r="W284" s="2">
        <f>premier_player_23_24[[#This Row],[Goals]]-premier_player_23_24[[#This Row],[Expected Goals ]]</f>
        <v>0</v>
      </c>
      <c r="X284" s="2">
        <v>0</v>
      </c>
      <c r="Y284" s="2">
        <v>0</v>
      </c>
      <c r="Z284" s="2">
        <v>0</v>
      </c>
      <c r="AA284" s="3">
        <v>5</v>
      </c>
      <c r="AB284" s="3">
        <v>0</v>
      </c>
      <c r="AC284" s="3">
        <v>4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  <c r="AM284" s="1">
        <v>0</v>
      </c>
      <c r="AN284" t="s">
        <v>1112</v>
      </c>
    </row>
    <row r="285" spans="1:40" x14ac:dyDescent="0.25">
      <c r="A285" t="s">
        <v>1163</v>
      </c>
      <c r="B285" t="s">
        <v>585</v>
      </c>
      <c r="C285" s="4" t="s">
        <v>1832</v>
      </c>
      <c r="D285" t="s">
        <v>1833</v>
      </c>
      <c r="E285" t="s">
        <v>137</v>
      </c>
      <c r="F285" t="str">
        <f>LEFT(premier_player_23_24[[#This Row],[Position]],2)</f>
        <v>FW</v>
      </c>
      <c r="G285" s="3">
        <v>28</v>
      </c>
      <c r="H28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85" s="3">
        <v>1</v>
      </c>
      <c r="J285" s="3">
        <v>0</v>
      </c>
      <c r="K285" s="2">
        <v>33</v>
      </c>
      <c r="L285" s="2" t="str">
        <f>IF(premier_player_23_24[[#This Row],[Minutes]]&gt;1000,"More than 1000 minutes","Less than 1000 minutes")</f>
        <v>Less than 1000 minutes</v>
      </c>
      <c r="M285" s="2">
        <v>0.4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2">
        <v>0</v>
      </c>
      <c r="U285" s="2">
        <v>0</v>
      </c>
      <c r="V285" s="2">
        <v>0.2</v>
      </c>
      <c r="W285" s="2">
        <f>premier_player_23_24[[#This Row],[Goals]]-premier_player_23_24[[#This Row],[Expected Goals ]]</f>
        <v>-0.2</v>
      </c>
      <c r="X285" s="2">
        <v>0.2</v>
      </c>
      <c r="Y285" s="2">
        <v>0</v>
      </c>
      <c r="Z285" s="2">
        <v>0.2</v>
      </c>
      <c r="AA285" s="3">
        <v>0</v>
      </c>
      <c r="AB285" s="3">
        <v>1</v>
      </c>
      <c r="AC285" s="3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0.44</v>
      </c>
      <c r="AJ285" s="1">
        <v>0</v>
      </c>
      <c r="AK285" s="1">
        <v>0.44</v>
      </c>
      <c r="AL285" s="1">
        <v>0.44</v>
      </c>
      <c r="AM285" s="1">
        <v>0.44</v>
      </c>
      <c r="AN285" t="s">
        <v>1112</v>
      </c>
    </row>
    <row r="286" spans="1:40" x14ac:dyDescent="0.25">
      <c r="A286" t="s">
        <v>384</v>
      </c>
      <c r="B286" t="s">
        <v>122</v>
      </c>
      <c r="C286" s="4" t="s">
        <v>1742</v>
      </c>
      <c r="D286" t="s">
        <v>1743</v>
      </c>
      <c r="E286" t="s">
        <v>137</v>
      </c>
      <c r="F286" t="str">
        <f>LEFT(premier_player_23_24[[#This Row],[Position]],2)</f>
        <v>FW</v>
      </c>
      <c r="G286" s="3">
        <v>26</v>
      </c>
      <c r="H28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86" s="3">
        <v>21</v>
      </c>
      <c r="J286" s="3">
        <v>14</v>
      </c>
      <c r="K286" s="2">
        <v>1145</v>
      </c>
      <c r="L286" s="2" t="str">
        <f>IF(premier_player_23_24[[#This Row],[Minutes]]&gt;1000,"More than 1000 minutes","Less than 1000 minutes")</f>
        <v>More than 1000 minutes</v>
      </c>
      <c r="M286" s="2">
        <v>12.7</v>
      </c>
      <c r="N286" s="3">
        <v>10</v>
      </c>
      <c r="O286" s="3">
        <v>3</v>
      </c>
      <c r="P286" s="3">
        <v>13</v>
      </c>
      <c r="Q286" s="3">
        <v>10</v>
      </c>
      <c r="R286" s="3">
        <v>0</v>
      </c>
      <c r="S286" s="3">
        <v>0</v>
      </c>
      <c r="T286" s="2">
        <v>3</v>
      </c>
      <c r="U286" s="2">
        <v>1</v>
      </c>
      <c r="V286" s="2">
        <v>5.3</v>
      </c>
      <c r="W286" s="2">
        <f>premier_player_23_24[[#This Row],[Goals]]-premier_player_23_24[[#This Row],[Expected Goals ]]</f>
        <v>4.7</v>
      </c>
      <c r="X286" s="2">
        <v>5.3</v>
      </c>
      <c r="Y286" s="2">
        <v>3.3</v>
      </c>
      <c r="Z286" s="2">
        <v>8.6</v>
      </c>
      <c r="AA286" s="3">
        <v>54</v>
      </c>
      <c r="AB286" s="3">
        <v>34</v>
      </c>
      <c r="AC286" s="3">
        <v>111</v>
      </c>
      <c r="AD286" s="1">
        <v>0.79</v>
      </c>
      <c r="AE286" s="1">
        <v>0.24</v>
      </c>
      <c r="AF286" s="1">
        <v>1.02</v>
      </c>
      <c r="AG286" s="1">
        <v>0.79</v>
      </c>
      <c r="AH286" s="1">
        <v>1.02</v>
      </c>
      <c r="AI286" s="1">
        <v>0.42</v>
      </c>
      <c r="AJ286" s="1">
        <v>0.26</v>
      </c>
      <c r="AK286" s="1">
        <v>0.68</v>
      </c>
      <c r="AL286" s="1">
        <v>0.42</v>
      </c>
      <c r="AM286" s="1">
        <v>0.68</v>
      </c>
      <c r="AN286" t="s">
        <v>285</v>
      </c>
    </row>
    <row r="287" spans="1:40" x14ac:dyDescent="0.25">
      <c r="A287" t="s">
        <v>302</v>
      </c>
      <c r="B287" t="s">
        <v>303</v>
      </c>
      <c r="C287" s="4" t="s">
        <v>1770</v>
      </c>
      <c r="D287" t="s">
        <v>1771</v>
      </c>
      <c r="E287" t="s">
        <v>137</v>
      </c>
      <c r="F287" t="str">
        <f>LEFT(premier_player_23_24[[#This Row],[Position]],2)</f>
        <v>FW</v>
      </c>
      <c r="G287" s="3">
        <v>31</v>
      </c>
      <c r="H28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287" s="3">
        <v>32</v>
      </c>
      <c r="J287" s="3">
        <v>28</v>
      </c>
      <c r="K287" s="2">
        <v>2534</v>
      </c>
      <c r="L287" s="2" t="str">
        <f>IF(premier_player_23_24[[#This Row],[Minutes]]&gt;1000,"More than 1000 minutes","Less than 1000 minutes")</f>
        <v>More than 1000 minutes</v>
      </c>
      <c r="M287" s="2">
        <v>28.2</v>
      </c>
      <c r="N287" s="3">
        <v>18</v>
      </c>
      <c r="O287" s="3">
        <v>10</v>
      </c>
      <c r="P287" s="3">
        <v>28</v>
      </c>
      <c r="Q287" s="3">
        <v>13</v>
      </c>
      <c r="R287" s="3">
        <v>5</v>
      </c>
      <c r="S287" s="3">
        <v>7</v>
      </c>
      <c r="T287" s="3">
        <v>2</v>
      </c>
      <c r="U287" s="2">
        <v>0</v>
      </c>
      <c r="V287" s="2">
        <v>21.2</v>
      </c>
      <c r="W287" s="2">
        <f>premier_player_23_24[[#This Row],[Goals]]-premier_player_23_24[[#This Row],[Expected Goals ]]</f>
        <v>-3.1999999999999993</v>
      </c>
      <c r="X287" s="2">
        <v>15.5</v>
      </c>
      <c r="Y287" s="2">
        <v>11.8</v>
      </c>
      <c r="Z287" s="2">
        <v>27.3</v>
      </c>
      <c r="AA287" s="3">
        <v>98</v>
      </c>
      <c r="AB287" s="3">
        <v>147</v>
      </c>
      <c r="AC287" s="3">
        <v>341</v>
      </c>
      <c r="AD287" s="1">
        <v>0.64</v>
      </c>
      <c r="AE287" s="1">
        <v>0.36</v>
      </c>
      <c r="AF287" s="1">
        <v>0.99</v>
      </c>
      <c r="AG287" s="1">
        <v>0.46</v>
      </c>
      <c r="AH287" s="1">
        <v>0.82</v>
      </c>
      <c r="AI287" s="1">
        <v>0.75</v>
      </c>
      <c r="AJ287" s="1">
        <v>0.42</v>
      </c>
      <c r="AK287" s="1">
        <v>1.17</v>
      </c>
      <c r="AL287" s="1">
        <v>0.55000000000000004</v>
      </c>
      <c r="AM287" s="1">
        <v>0.97</v>
      </c>
      <c r="AN287" t="s">
        <v>285</v>
      </c>
    </row>
    <row r="288" spans="1:40" x14ac:dyDescent="0.25">
      <c r="A288" t="s">
        <v>341</v>
      </c>
      <c r="B288" t="s">
        <v>342</v>
      </c>
      <c r="C288" s="4" t="s">
        <v>1840</v>
      </c>
      <c r="D288" t="s">
        <v>1841</v>
      </c>
      <c r="E288" t="s">
        <v>137</v>
      </c>
      <c r="F288" t="str">
        <f>LEFT(premier_player_23_24[[#This Row],[Position]],2)</f>
        <v>FW</v>
      </c>
      <c r="G288" s="3">
        <v>24</v>
      </c>
      <c r="H28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88" s="3">
        <v>36</v>
      </c>
      <c r="J288" s="3">
        <v>22</v>
      </c>
      <c r="K288" s="2">
        <v>2047</v>
      </c>
      <c r="L288" s="2" t="str">
        <f>IF(premier_player_23_24[[#This Row],[Minutes]]&gt;1000,"More than 1000 minutes","Less than 1000 minutes")</f>
        <v>More than 1000 minutes</v>
      </c>
      <c r="M288" s="2">
        <v>22.7</v>
      </c>
      <c r="N288" s="3">
        <v>11</v>
      </c>
      <c r="O288" s="3">
        <v>8</v>
      </c>
      <c r="P288" s="3">
        <v>19</v>
      </c>
      <c r="Q288" s="3">
        <v>11</v>
      </c>
      <c r="R288" s="3">
        <v>0</v>
      </c>
      <c r="S288" s="3">
        <v>1</v>
      </c>
      <c r="T288" s="3">
        <v>9</v>
      </c>
      <c r="U288" s="2">
        <v>0</v>
      </c>
      <c r="V288" s="2">
        <v>16.3</v>
      </c>
      <c r="W288" s="2">
        <f>premier_player_23_24[[#This Row],[Goals]]-premier_player_23_24[[#This Row],[Expected Goals ]]</f>
        <v>-5.3000000000000007</v>
      </c>
      <c r="X288" s="2">
        <v>15.5</v>
      </c>
      <c r="Y288" s="2">
        <v>6</v>
      </c>
      <c r="Z288" s="2">
        <v>21.5</v>
      </c>
      <c r="AA288" s="3">
        <v>58</v>
      </c>
      <c r="AB288" s="3">
        <v>54</v>
      </c>
      <c r="AC288" s="3">
        <v>206</v>
      </c>
      <c r="AD288" s="1">
        <v>0.48</v>
      </c>
      <c r="AE288" s="1">
        <v>0.35</v>
      </c>
      <c r="AF288" s="1">
        <v>0.84</v>
      </c>
      <c r="AG288" s="1">
        <v>0.48</v>
      </c>
      <c r="AH288" s="1">
        <v>0.84</v>
      </c>
      <c r="AI288" s="1">
        <v>0.72</v>
      </c>
      <c r="AJ288" s="1">
        <v>0.27</v>
      </c>
      <c r="AK288" s="1">
        <v>0.98</v>
      </c>
      <c r="AL288" s="1">
        <v>0.68</v>
      </c>
      <c r="AM288" s="1">
        <v>0.95</v>
      </c>
      <c r="AN288" t="s">
        <v>285</v>
      </c>
    </row>
    <row r="289" spans="1:40" x14ac:dyDescent="0.25">
      <c r="A289" t="s">
        <v>369</v>
      </c>
      <c r="B289" t="s">
        <v>196</v>
      </c>
      <c r="C289" s="4" t="s">
        <v>1768</v>
      </c>
      <c r="D289" t="s">
        <v>1769</v>
      </c>
      <c r="E289" t="s">
        <v>58</v>
      </c>
      <c r="F289" t="str">
        <f>LEFT(premier_player_23_24[[#This Row],[Position]],2)</f>
        <v>FW</v>
      </c>
      <c r="G289" s="3">
        <v>24</v>
      </c>
      <c r="H28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89" s="3">
        <v>35</v>
      </c>
      <c r="J289" s="3">
        <v>17</v>
      </c>
      <c r="K289" s="2">
        <v>1649</v>
      </c>
      <c r="L289" s="2" t="str">
        <f>IF(premier_player_23_24[[#This Row],[Minutes]]&gt;1000,"More than 1000 minutes","Less than 1000 minutes")</f>
        <v>More than 1000 minutes</v>
      </c>
      <c r="M289" s="2">
        <v>18.3</v>
      </c>
      <c r="N289" s="3">
        <v>8</v>
      </c>
      <c r="O289" s="3">
        <v>5</v>
      </c>
      <c r="P289" s="3">
        <v>13</v>
      </c>
      <c r="Q289" s="3">
        <v>8</v>
      </c>
      <c r="R289" s="3">
        <v>0</v>
      </c>
      <c r="S289" s="3">
        <v>0</v>
      </c>
      <c r="T289" s="2">
        <v>1</v>
      </c>
      <c r="U289" s="2">
        <v>0</v>
      </c>
      <c r="V289" s="2">
        <v>9</v>
      </c>
      <c r="W289" s="2">
        <f>premier_player_23_24[[#This Row],[Goals]]-premier_player_23_24[[#This Row],[Expected Goals ]]</f>
        <v>-1</v>
      </c>
      <c r="X289" s="2">
        <v>9</v>
      </c>
      <c r="Y289" s="2">
        <v>2.9</v>
      </c>
      <c r="Z289" s="2">
        <v>11.8</v>
      </c>
      <c r="AA289" s="3">
        <v>43</v>
      </c>
      <c r="AB289" s="3">
        <v>83</v>
      </c>
      <c r="AC289" s="3">
        <v>130</v>
      </c>
      <c r="AD289" s="1">
        <v>0.44</v>
      </c>
      <c r="AE289" s="1">
        <v>0.27</v>
      </c>
      <c r="AF289" s="1">
        <v>0.71</v>
      </c>
      <c r="AG289" s="1">
        <v>0.44</v>
      </c>
      <c r="AH289" s="1">
        <v>0.71</v>
      </c>
      <c r="AI289" s="1">
        <v>0.49</v>
      </c>
      <c r="AJ289" s="1">
        <v>0.16</v>
      </c>
      <c r="AK289" s="1">
        <v>0.64</v>
      </c>
      <c r="AL289" s="1">
        <v>0.49</v>
      </c>
      <c r="AM289" s="1">
        <v>0.64</v>
      </c>
      <c r="AN289" t="s">
        <v>285</v>
      </c>
    </row>
    <row r="290" spans="1:40" x14ac:dyDescent="0.25">
      <c r="A290" t="s">
        <v>403</v>
      </c>
      <c r="B290" t="s">
        <v>57</v>
      </c>
      <c r="C290" s="4" t="s">
        <v>1744</v>
      </c>
      <c r="D290" t="s">
        <v>1745</v>
      </c>
      <c r="E290" t="s">
        <v>86</v>
      </c>
      <c r="F290" t="str">
        <f>LEFT(premier_player_23_24[[#This Row],[Position]],2)</f>
        <v>MF</v>
      </c>
      <c r="G290" s="3">
        <v>20</v>
      </c>
      <c r="H29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90" s="3">
        <v>34</v>
      </c>
      <c r="J290" s="3">
        <v>11</v>
      </c>
      <c r="K290" s="2">
        <v>1352</v>
      </c>
      <c r="L290" s="2" t="str">
        <f>IF(premier_player_23_24[[#This Row],[Minutes]]&gt;1000,"More than 1000 minutes","Less than 1000 minutes")</f>
        <v>More than 1000 minutes</v>
      </c>
      <c r="M290" s="2">
        <v>15</v>
      </c>
      <c r="N290" s="3">
        <v>3</v>
      </c>
      <c r="O290" s="3">
        <v>6</v>
      </c>
      <c r="P290" s="3">
        <v>9</v>
      </c>
      <c r="Q290" s="3">
        <v>3</v>
      </c>
      <c r="R290" s="3">
        <v>0</v>
      </c>
      <c r="S290" s="3">
        <v>0</v>
      </c>
      <c r="T290" s="2">
        <v>2</v>
      </c>
      <c r="U290" s="2">
        <v>0</v>
      </c>
      <c r="V290" s="2">
        <v>2.7</v>
      </c>
      <c r="W290" s="2">
        <f>premier_player_23_24[[#This Row],[Goals]]-premier_player_23_24[[#This Row],[Expected Goals ]]</f>
        <v>0.29999999999999982</v>
      </c>
      <c r="X290" s="2">
        <v>2.7</v>
      </c>
      <c r="Y290" s="2">
        <v>3.5</v>
      </c>
      <c r="Z290" s="2">
        <v>6.2</v>
      </c>
      <c r="AA290" s="3">
        <v>44</v>
      </c>
      <c r="AB290" s="3">
        <v>128</v>
      </c>
      <c r="AC290" s="3">
        <v>122</v>
      </c>
      <c r="AD290" s="1">
        <v>0.2</v>
      </c>
      <c r="AE290" s="1">
        <v>0.4</v>
      </c>
      <c r="AF290" s="1">
        <v>0.6</v>
      </c>
      <c r="AG290" s="1">
        <v>0.2</v>
      </c>
      <c r="AH290" s="1">
        <v>0.6</v>
      </c>
      <c r="AI290" s="1">
        <v>0.18</v>
      </c>
      <c r="AJ290" s="1">
        <v>0.23</v>
      </c>
      <c r="AK290" s="1">
        <v>0.42</v>
      </c>
      <c r="AL290" s="1">
        <v>0.18</v>
      </c>
      <c r="AM290" s="1">
        <v>0.42</v>
      </c>
      <c r="AN290" t="s">
        <v>285</v>
      </c>
    </row>
    <row r="291" spans="1:40" x14ac:dyDescent="0.25">
      <c r="A291" t="s">
        <v>413</v>
      </c>
      <c r="B291" t="s">
        <v>414</v>
      </c>
      <c r="C291" s="4" t="s">
        <v>1842</v>
      </c>
      <c r="D291" t="s">
        <v>1843</v>
      </c>
      <c r="E291" t="s">
        <v>108</v>
      </c>
      <c r="F291" t="str">
        <f>LEFT(premier_player_23_24[[#This Row],[Position]],2)</f>
        <v>DF</v>
      </c>
      <c r="G291" s="3">
        <v>20</v>
      </c>
      <c r="H29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91" s="3">
        <v>11</v>
      </c>
      <c r="J291" s="3">
        <v>10</v>
      </c>
      <c r="K291" s="2">
        <v>753</v>
      </c>
      <c r="L291" s="2" t="str">
        <f>IF(premier_player_23_24[[#This Row],[Minutes]]&gt;1000,"More than 1000 minutes","Less than 1000 minutes")</f>
        <v>Less than 1000 minutes</v>
      </c>
      <c r="M291" s="2">
        <v>8.4</v>
      </c>
      <c r="N291" s="3">
        <v>1</v>
      </c>
      <c r="O291" s="3">
        <v>3</v>
      </c>
      <c r="P291" s="3">
        <v>4</v>
      </c>
      <c r="Q291" s="3">
        <v>1</v>
      </c>
      <c r="R291" s="3">
        <v>0</v>
      </c>
      <c r="S291" s="3">
        <v>0</v>
      </c>
      <c r="T291" s="2">
        <v>2</v>
      </c>
      <c r="U291" s="2">
        <v>0</v>
      </c>
      <c r="V291" s="2">
        <v>0.9</v>
      </c>
      <c r="W291" s="2">
        <f>premier_player_23_24[[#This Row],[Goals]]-premier_player_23_24[[#This Row],[Expected Goals ]]</f>
        <v>9.9999999999999978E-2</v>
      </c>
      <c r="X291" s="2">
        <v>0.9</v>
      </c>
      <c r="Y291" s="2">
        <v>1.5</v>
      </c>
      <c r="Z291" s="2">
        <v>2.2999999999999998</v>
      </c>
      <c r="AA291" s="3">
        <v>35</v>
      </c>
      <c r="AB291" s="3">
        <v>29</v>
      </c>
      <c r="AC291" s="3">
        <v>64</v>
      </c>
      <c r="AD291" s="1">
        <v>0.12</v>
      </c>
      <c r="AE291" s="1">
        <v>0.36</v>
      </c>
      <c r="AF291" s="1">
        <v>0.48</v>
      </c>
      <c r="AG291" s="1">
        <v>0.12</v>
      </c>
      <c r="AH291" s="1">
        <v>0.48</v>
      </c>
      <c r="AI291" s="1">
        <v>0.1</v>
      </c>
      <c r="AJ291" s="1">
        <v>0.17</v>
      </c>
      <c r="AK291" s="1">
        <v>0.28000000000000003</v>
      </c>
      <c r="AL291" s="1">
        <v>0.1</v>
      </c>
      <c r="AM291" s="1">
        <v>0.28000000000000003</v>
      </c>
      <c r="AN291" t="s">
        <v>285</v>
      </c>
    </row>
    <row r="292" spans="1:40" x14ac:dyDescent="0.25">
      <c r="A292" t="s">
        <v>286</v>
      </c>
      <c r="B292" t="s">
        <v>287</v>
      </c>
      <c r="C292" s="4" t="s">
        <v>1772</v>
      </c>
      <c r="D292" t="s">
        <v>1773</v>
      </c>
      <c r="E292" t="s">
        <v>137</v>
      </c>
      <c r="F292" t="str">
        <f>LEFT(premier_player_23_24[[#This Row],[Position]],2)</f>
        <v>FW</v>
      </c>
      <c r="G292" s="3">
        <v>26</v>
      </c>
      <c r="H29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92" s="3">
        <v>37</v>
      </c>
      <c r="J292" s="3">
        <v>32</v>
      </c>
      <c r="K292" s="2">
        <v>2629</v>
      </c>
      <c r="L292" s="2" t="str">
        <f>IF(premier_player_23_24[[#This Row],[Minutes]]&gt;1000,"More than 1000 minutes","Less than 1000 minutes")</f>
        <v>More than 1000 minutes</v>
      </c>
      <c r="M292" s="2">
        <v>29.2</v>
      </c>
      <c r="N292" s="3">
        <v>8</v>
      </c>
      <c r="O292" s="3">
        <v>5</v>
      </c>
      <c r="P292" s="3">
        <v>13</v>
      </c>
      <c r="Q292" s="3">
        <v>8</v>
      </c>
      <c r="R292" s="3">
        <v>0</v>
      </c>
      <c r="S292" s="3">
        <v>0</v>
      </c>
      <c r="T292" s="3">
        <v>3</v>
      </c>
      <c r="U292" s="2">
        <v>0</v>
      </c>
      <c r="V292" s="2">
        <v>11.9</v>
      </c>
      <c r="W292" s="2">
        <f>premier_player_23_24[[#This Row],[Goals]]-premier_player_23_24[[#This Row],[Expected Goals ]]</f>
        <v>-3.9000000000000004</v>
      </c>
      <c r="X292" s="2">
        <v>11.9</v>
      </c>
      <c r="Y292" s="2">
        <v>5.7</v>
      </c>
      <c r="Z292" s="2">
        <v>17.5</v>
      </c>
      <c r="AA292" s="3">
        <v>137</v>
      </c>
      <c r="AB292" s="3">
        <v>113</v>
      </c>
      <c r="AC292" s="3">
        <v>302</v>
      </c>
      <c r="AD292" s="1">
        <v>0.27</v>
      </c>
      <c r="AE292" s="1">
        <v>0.17</v>
      </c>
      <c r="AF292" s="1">
        <v>0.45</v>
      </c>
      <c r="AG292" s="1">
        <v>0.27</v>
      </c>
      <c r="AH292" s="1">
        <v>0.45</v>
      </c>
      <c r="AI292" s="1">
        <v>0.41</v>
      </c>
      <c r="AJ292" s="1">
        <v>0.19</v>
      </c>
      <c r="AK292" s="1">
        <v>0.6</v>
      </c>
      <c r="AL292" s="1">
        <v>0.41</v>
      </c>
      <c r="AM292" s="1">
        <v>0.6</v>
      </c>
      <c r="AN292" t="s">
        <v>285</v>
      </c>
    </row>
    <row r="293" spans="1:40" x14ac:dyDescent="0.25">
      <c r="A293" t="s">
        <v>421</v>
      </c>
      <c r="B293" t="s">
        <v>422</v>
      </c>
      <c r="C293" s="4" t="s">
        <v>1844</v>
      </c>
      <c r="D293" t="s">
        <v>1845</v>
      </c>
      <c r="E293" t="s">
        <v>108</v>
      </c>
      <c r="F293" t="str">
        <f>LEFT(premier_player_23_24[[#This Row],[Position]],2)</f>
        <v>DF</v>
      </c>
      <c r="G293" s="3">
        <v>27</v>
      </c>
      <c r="H29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93" s="3">
        <v>13</v>
      </c>
      <c r="J293" s="3">
        <v>8</v>
      </c>
      <c r="K293" s="2">
        <v>679</v>
      </c>
      <c r="L293" s="2" t="str">
        <f>IF(premier_player_23_24[[#This Row],[Minutes]]&gt;1000,"More than 1000 minutes","Less than 1000 minutes")</f>
        <v>Less than 1000 minutes</v>
      </c>
      <c r="M293" s="2">
        <v>7.5</v>
      </c>
      <c r="N293" s="3">
        <v>0</v>
      </c>
      <c r="O293" s="3">
        <v>3</v>
      </c>
      <c r="P293" s="3">
        <v>3</v>
      </c>
      <c r="Q293" s="3">
        <v>0</v>
      </c>
      <c r="R293" s="3">
        <v>0</v>
      </c>
      <c r="S293" s="3">
        <v>0</v>
      </c>
      <c r="T293" s="2">
        <v>0</v>
      </c>
      <c r="U293" s="2">
        <v>0</v>
      </c>
      <c r="V293" s="2">
        <v>0.1</v>
      </c>
      <c r="W293" s="2">
        <f>premier_player_23_24[[#This Row],[Goals]]-premier_player_23_24[[#This Row],[Expected Goals ]]</f>
        <v>-0.1</v>
      </c>
      <c r="X293" s="2">
        <v>0.1</v>
      </c>
      <c r="Y293" s="2">
        <v>1</v>
      </c>
      <c r="Z293" s="2">
        <v>1.1000000000000001</v>
      </c>
      <c r="AA293" s="3">
        <v>24</v>
      </c>
      <c r="AB293" s="3">
        <v>31</v>
      </c>
      <c r="AC293" s="3">
        <v>73</v>
      </c>
      <c r="AD293" s="1">
        <v>0</v>
      </c>
      <c r="AE293" s="1">
        <v>0.4</v>
      </c>
      <c r="AF293" s="1">
        <v>0.4</v>
      </c>
      <c r="AG293" s="1">
        <v>0</v>
      </c>
      <c r="AH293" s="1">
        <v>0.4</v>
      </c>
      <c r="AI293" s="1">
        <v>0.01</v>
      </c>
      <c r="AJ293" s="1">
        <v>0.14000000000000001</v>
      </c>
      <c r="AK293" s="1">
        <v>0.15</v>
      </c>
      <c r="AL293" s="1">
        <v>0.01</v>
      </c>
      <c r="AM293" s="1">
        <v>0.15</v>
      </c>
      <c r="AN293" t="s">
        <v>285</v>
      </c>
    </row>
    <row r="294" spans="1:40" x14ac:dyDescent="0.25">
      <c r="A294" t="s">
        <v>294</v>
      </c>
      <c r="B294" t="s">
        <v>85</v>
      </c>
      <c r="C294" s="4" t="s">
        <v>1778</v>
      </c>
      <c r="D294" t="s">
        <v>1779</v>
      </c>
      <c r="E294" t="s">
        <v>36</v>
      </c>
      <c r="F294" t="str">
        <f>LEFT(premier_player_23_24[[#This Row],[Position]],2)</f>
        <v>MF</v>
      </c>
      <c r="G294" s="3">
        <v>24</v>
      </c>
      <c r="H29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94" s="3">
        <v>33</v>
      </c>
      <c r="J294" s="3">
        <v>31</v>
      </c>
      <c r="K294" s="2">
        <v>2599</v>
      </c>
      <c r="L294" s="2" t="str">
        <f>IF(premier_player_23_24[[#This Row],[Minutes]]&gt;1000,"More than 1000 minutes","Less than 1000 minutes")</f>
        <v>More than 1000 minutes</v>
      </c>
      <c r="M294" s="2">
        <v>28.9</v>
      </c>
      <c r="N294" s="3">
        <v>5</v>
      </c>
      <c r="O294" s="3">
        <v>5</v>
      </c>
      <c r="P294" s="3">
        <v>10</v>
      </c>
      <c r="Q294" s="3">
        <v>4</v>
      </c>
      <c r="R294" s="3">
        <v>1</v>
      </c>
      <c r="S294" s="3">
        <v>1</v>
      </c>
      <c r="T294" s="3">
        <v>7</v>
      </c>
      <c r="U294" s="2">
        <v>1</v>
      </c>
      <c r="V294" s="2">
        <v>3.7</v>
      </c>
      <c r="W294" s="2">
        <f>premier_player_23_24[[#This Row],[Goals]]-premier_player_23_24[[#This Row],[Expected Goals ]]</f>
        <v>1.2999999999999998</v>
      </c>
      <c r="X294" s="2">
        <v>2.9</v>
      </c>
      <c r="Y294" s="2">
        <v>3.6</v>
      </c>
      <c r="Z294" s="2">
        <v>6.4</v>
      </c>
      <c r="AA294" s="3">
        <v>44</v>
      </c>
      <c r="AB294" s="3">
        <v>209</v>
      </c>
      <c r="AC294" s="3">
        <v>48</v>
      </c>
      <c r="AD294" s="1">
        <v>0.17</v>
      </c>
      <c r="AE294" s="1">
        <v>0.17</v>
      </c>
      <c r="AF294" s="1">
        <v>0.35</v>
      </c>
      <c r="AG294" s="1">
        <v>0.14000000000000001</v>
      </c>
      <c r="AH294" s="1">
        <v>0.31</v>
      </c>
      <c r="AI294" s="1">
        <v>0.13</v>
      </c>
      <c r="AJ294" s="1">
        <v>0.12</v>
      </c>
      <c r="AK294" s="1">
        <v>0.25</v>
      </c>
      <c r="AL294" s="1">
        <v>0.1</v>
      </c>
      <c r="AM294" s="1">
        <v>0.22</v>
      </c>
      <c r="AN294" t="s">
        <v>285</v>
      </c>
    </row>
    <row r="295" spans="1:40" x14ac:dyDescent="0.25">
      <c r="A295" t="s">
        <v>324</v>
      </c>
      <c r="B295" t="s">
        <v>57</v>
      </c>
      <c r="C295" s="4" t="s">
        <v>1744</v>
      </c>
      <c r="D295" t="s">
        <v>1745</v>
      </c>
      <c r="E295" t="s">
        <v>108</v>
      </c>
      <c r="F295" t="str">
        <f>LEFT(premier_player_23_24[[#This Row],[Position]],2)</f>
        <v>DF</v>
      </c>
      <c r="G295" s="3">
        <v>24</v>
      </c>
      <c r="H29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95" s="3">
        <v>28</v>
      </c>
      <c r="J295" s="3">
        <v>25</v>
      </c>
      <c r="K295" s="2">
        <v>2155</v>
      </c>
      <c r="L295" s="2" t="str">
        <f>IF(premier_player_23_24[[#This Row],[Minutes]]&gt;1000,"More than 1000 minutes","Less than 1000 minutes")</f>
        <v>More than 1000 minutes</v>
      </c>
      <c r="M295" s="2">
        <v>23.9</v>
      </c>
      <c r="N295" s="3">
        <v>3</v>
      </c>
      <c r="O295" s="3">
        <v>4</v>
      </c>
      <c r="P295" s="3">
        <v>7</v>
      </c>
      <c r="Q295" s="3">
        <v>3</v>
      </c>
      <c r="R295" s="3">
        <v>0</v>
      </c>
      <c r="S295" s="3">
        <v>0</v>
      </c>
      <c r="T295" s="3">
        <v>6</v>
      </c>
      <c r="U295" s="2">
        <v>0</v>
      </c>
      <c r="V295" s="2">
        <v>2.6</v>
      </c>
      <c r="W295" s="2">
        <f>premier_player_23_24[[#This Row],[Goals]]-premier_player_23_24[[#This Row],[Expected Goals ]]</f>
        <v>0.39999999999999991</v>
      </c>
      <c r="X295" s="2">
        <v>2.2999999999999998</v>
      </c>
      <c r="Y295" s="2">
        <v>7.2</v>
      </c>
      <c r="Z295" s="2">
        <v>9.5</v>
      </c>
      <c r="AA295" s="3">
        <v>45</v>
      </c>
      <c r="AB295" s="3">
        <v>205</v>
      </c>
      <c r="AC295" s="3">
        <v>97</v>
      </c>
      <c r="AD295" s="1">
        <v>0.13</v>
      </c>
      <c r="AE295" s="1">
        <v>0.17</v>
      </c>
      <c r="AF295" s="1">
        <v>0.28999999999999998</v>
      </c>
      <c r="AG295" s="1">
        <v>0.13</v>
      </c>
      <c r="AH295" s="1">
        <v>0.28999999999999998</v>
      </c>
      <c r="AI295" s="1">
        <v>0.11</v>
      </c>
      <c r="AJ295" s="1">
        <v>0.3</v>
      </c>
      <c r="AK295" s="1">
        <v>0.41</v>
      </c>
      <c r="AL295" s="1">
        <v>0.1</v>
      </c>
      <c r="AM295" s="1">
        <v>0.4</v>
      </c>
      <c r="AN295" t="s">
        <v>285</v>
      </c>
    </row>
    <row r="296" spans="1:40" x14ac:dyDescent="0.25">
      <c r="A296" t="s">
        <v>359</v>
      </c>
      <c r="B296" t="s">
        <v>360</v>
      </c>
      <c r="C296" s="4" t="s">
        <v>1776</v>
      </c>
      <c r="D296" t="s">
        <v>1777</v>
      </c>
      <c r="E296" t="s">
        <v>108</v>
      </c>
      <c r="F296" t="str">
        <f>LEFT(premier_player_23_24[[#This Row],[Position]],2)</f>
        <v>DF</v>
      </c>
      <c r="G296" s="3">
        <v>29</v>
      </c>
      <c r="H29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296" s="3">
        <v>23</v>
      </c>
      <c r="J296" s="3">
        <v>18</v>
      </c>
      <c r="K296" s="2">
        <v>1693</v>
      </c>
      <c r="L296" s="2" t="str">
        <f>IF(premier_player_23_24[[#This Row],[Minutes]]&gt;1000,"More than 1000 minutes","Less than 1000 minutes")</f>
        <v>More than 1000 minutes</v>
      </c>
      <c r="M296" s="2">
        <v>18.8</v>
      </c>
      <c r="N296" s="3">
        <v>3</v>
      </c>
      <c r="O296" s="3">
        <v>2</v>
      </c>
      <c r="P296" s="3">
        <v>5</v>
      </c>
      <c r="Q296" s="3">
        <v>3</v>
      </c>
      <c r="R296" s="3">
        <v>0</v>
      </c>
      <c r="S296" s="3">
        <v>0</v>
      </c>
      <c r="T296" s="3">
        <v>2</v>
      </c>
      <c r="U296" s="2">
        <v>0</v>
      </c>
      <c r="V296" s="2">
        <v>1.9</v>
      </c>
      <c r="W296" s="2">
        <f>premier_player_23_24[[#This Row],[Goals]]-premier_player_23_24[[#This Row],[Expected Goals ]]</f>
        <v>1.1000000000000001</v>
      </c>
      <c r="X296" s="2">
        <v>1.9</v>
      </c>
      <c r="Y296" s="2">
        <v>5.4</v>
      </c>
      <c r="Z296" s="2">
        <v>7.3</v>
      </c>
      <c r="AA296" s="3">
        <v>63</v>
      </c>
      <c r="AB296" s="3">
        <v>140</v>
      </c>
      <c r="AC296" s="3">
        <v>130</v>
      </c>
      <c r="AD296" s="1">
        <v>0.16</v>
      </c>
      <c r="AE296" s="1">
        <v>0.11</v>
      </c>
      <c r="AF296" s="1">
        <v>0.27</v>
      </c>
      <c r="AG296" s="1">
        <v>0.16</v>
      </c>
      <c r="AH296" s="1">
        <v>0.27</v>
      </c>
      <c r="AI296" s="1">
        <v>0.1</v>
      </c>
      <c r="AJ296" s="1">
        <v>0.28999999999999998</v>
      </c>
      <c r="AK296" s="1">
        <v>0.39</v>
      </c>
      <c r="AL296" s="1">
        <v>0.1</v>
      </c>
      <c r="AM296" s="1">
        <v>0.39</v>
      </c>
      <c r="AN296" t="s">
        <v>285</v>
      </c>
    </row>
    <row r="297" spans="1:40" x14ac:dyDescent="0.25">
      <c r="A297" t="s">
        <v>333</v>
      </c>
      <c r="B297" t="s">
        <v>334</v>
      </c>
      <c r="C297" s="4" t="s">
        <v>1790</v>
      </c>
      <c r="D297" t="s">
        <v>1791</v>
      </c>
      <c r="E297" t="s">
        <v>36</v>
      </c>
      <c r="F297" t="str">
        <f>LEFT(premier_player_23_24[[#This Row],[Position]],2)</f>
        <v>MF</v>
      </c>
      <c r="G297" s="3">
        <v>22</v>
      </c>
      <c r="H29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97" s="3">
        <v>33</v>
      </c>
      <c r="J297" s="3">
        <v>25</v>
      </c>
      <c r="K297" s="2">
        <v>2104</v>
      </c>
      <c r="L297" s="2" t="str">
        <f>IF(premier_player_23_24[[#This Row],[Minutes]]&gt;1000,"More than 1000 minutes","Less than 1000 minutes")</f>
        <v>More than 1000 minutes</v>
      </c>
      <c r="M297" s="2">
        <v>23.4</v>
      </c>
      <c r="N297" s="3">
        <v>3</v>
      </c>
      <c r="O297" s="3">
        <v>2</v>
      </c>
      <c r="P297" s="3">
        <v>5</v>
      </c>
      <c r="Q297" s="3">
        <v>3</v>
      </c>
      <c r="R297" s="3">
        <v>0</v>
      </c>
      <c r="S297" s="3">
        <v>0</v>
      </c>
      <c r="T297" s="3">
        <v>1</v>
      </c>
      <c r="U297" s="2">
        <v>0</v>
      </c>
      <c r="V297" s="2">
        <v>3.7</v>
      </c>
      <c r="W297" s="2">
        <f>premier_player_23_24[[#This Row],[Goals]]-premier_player_23_24[[#This Row],[Expected Goals ]]</f>
        <v>-0.70000000000000018</v>
      </c>
      <c r="X297" s="2">
        <v>3.7</v>
      </c>
      <c r="Y297" s="2">
        <v>5.8</v>
      </c>
      <c r="Z297" s="2">
        <v>9.5</v>
      </c>
      <c r="AA297" s="3">
        <v>75</v>
      </c>
      <c r="AB297" s="3">
        <v>152</v>
      </c>
      <c r="AC297" s="3">
        <v>160</v>
      </c>
      <c r="AD297" s="1">
        <v>0.13</v>
      </c>
      <c r="AE297" s="1">
        <v>0.09</v>
      </c>
      <c r="AF297" s="1">
        <v>0.21</v>
      </c>
      <c r="AG297" s="1">
        <v>0.13</v>
      </c>
      <c r="AH297" s="1">
        <v>0.21</v>
      </c>
      <c r="AI297" s="1">
        <v>0.16</v>
      </c>
      <c r="AJ297" s="1">
        <v>0.25</v>
      </c>
      <c r="AK297" s="1">
        <v>0.4</v>
      </c>
      <c r="AL297" s="1">
        <v>0.16</v>
      </c>
      <c r="AM297" s="1">
        <v>0.4</v>
      </c>
      <c r="AN297" t="s">
        <v>285</v>
      </c>
    </row>
    <row r="298" spans="1:40" x14ac:dyDescent="0.25">
      <c r="A298" t="s">
        <v>380</v>
      </c>
      <c r="B298" t="s">
        <v>57</v>
      </c>
      <c r="C298" s="4" t="s">
        <v>1744</v>
      </c>
      <c r="D298" t="s">
        <v>1745</v>
      </c>
      <c r="E298" t="s">
        <v>36</v>
      </c>
      <c r="F298" t="str">
        <f>LEFT(premier_player_23_24[[#This Row],[Position]],2)</f>
        <v>MF</v>
      </c>
      <c r="G298" s="3">
        <v>22</v>
      </c>
      <c r="H29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98" s="3">
        <v>23</v>
      </c>
      <c r="J298" s="3">
        <v>14</v>
      </c>
      <c r="K298" s="2">
        <v>1167</v>
      </c>
      <c r="L298" s="2" t="str">
        <f>IF(premier_player_23_24[[#This Row],[Minutes]]&gt;1000,"More than 1000 minutes","Less than 1000 minutes")</f>
        <v>More than 1000 minutes</v>
      </c>
      <c r="M298" s="2">
        <v>13</v>
      </c>
      <c r="N298" s="3">
        <v>1</v>
      </c>
      <c r="O298" s="3">
        <v>1</v>
      </c>
      <c r="P298" s="3">
        <v>2</v>
      </c>
      <c r="Q298" s="3">
        <v>1</v>
      </c>
      <c r="R298" s="3">
        <v>0</v>
      </c>
      <c r="S298" s="3">
        <v>0</v>
      </c>
      <c r="T298" s="2">
        <v>3</v>
      </c>
      <c r="U298" s="2">
        <v>1</v>
      </c>
      <c r="V298" s="2">
        <v>2.6</v>
      </c>
      <c r="W298" s="2">
        <f>premier_player_23_24[[#This Row],[Goals]]-premier_player_23_24[[#This Row],[Expected Goals ]]</f>
        <v>-1.6</v>
      </c>
      <c r="X298" s="2">
        <v>2.6</v>
      </c>
      <c r="Y298" s="2">
        <v>0.7</v>
      </c>
      <c r="Z298" s="2">
        <v>3.3</v>
      </c>
      <c r="AA298" s="3">
        <v>31</v>
      </c>
      <c r="AB298" s="3">
        <v>74</v>
      </c>
      <c r="AC298" s="3">
        <v>88</v>
      </c>
      <c r="AD298" s="1">
        <v>0.08</v>
      </c>
      <c r="AE298" s="1">
        <v>0.08</v>
      </c>
      <c r="AF298" s="1">
        <v>0.15</v>
      </c>
      <c r="AG298" s="1">
        <v>0.08</v>
      </c>
      <c r="AH298" s="1">
        <v>0.15</v>
      </c>
      <c r="AI298" s="1">
        <v>0.2</v>
      </c>
      <c r="AJ298" s="1">
        <v>0.05</v>
      </c>
      <c r="AK298" s="1">
        <v>0.25</v>
      </c>
      <c r="AL298" s="1">
        <v>0.2</v>
      </c>
      <c r="AM298" s="1">
        <v>0.25</v>
      </c>
      <c r="AN298" t="s">
        <v>285</v>
      </c>
    </row>
    <row r="299" spans="1:40" x14ac:dyDescent="0.25">
      <c r="A299" t="s">
        <v>391</v>
      </c>
      <c r="B299" t="s">
        <v>57</v>
      </c>
      <c r="C299" s="4" t="s">
        <v>1744</v>
      </c>
      <c r="D299" t="s">
        <v>1745</v>
      </c>
      <c r="E299" t="s">
        <v>108</v>
      </c>
      <c r="F299" t="str">
        <f>LEFT(premier_player_23_24[[#This Row],[Position]],2)</f>
        <v>DF</v>
      </c>
      <c r="G299" s="3">
        <v>20</v>
      </c>
      <c r="H29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299" s="3">
        <v>17</v>
      </c>
      <c r="J299" s="3">
        <v>13</v>
      </c>
      <c r="K299" s="2">
        <v>1190</v>
      </c>
      <c r="L299" s="2" t="str">
        <f>IF(premier_player_23_24[[#This Row],[Minutes]]&gt;1000,"More than 1000 minutes","Less than 1000 minutes")</f>
        <v>More than 1000 minutes</v>
      </c>
      <c r="M299" s="2">
        <v>13.2</v>
      </c>
      <c r="N299" s="3">
        <v>2</v>
      </c>
      <c r="O299" s="3">
        <v>0</v>
      </c>
      <c r="P299" s="3">
        <v>2</v>
      </c>
      <c r="Q299" s="3">
        <v>2</v>
      </c>
      <c r="R299" s="3">
        <v>0</v>
      </c>
      <c r="S299" s="3">
        <v>0</v>
      </c>
      <c r="T299" s="2">
        <v>1</v>
      </c>
      <c r="U299" s="2">
        <v>0</v>
      </c>
      <c r="V299" s="2">
        <v>1</v>
      </c>
      <c r="W299" s="2">
        <f>premier_player_23_24[[#This Row],[Goals]]-premier_player_23_24[[#This Row],[Expected Goals ]]</f>
        <v>1</v>
      </c>
      <c r="X299" s="2">
        <v>1</v>
      </c>
      <c r="Y299" s="2">
        <v>0.1</v>
      </c>
      <c r="Z299" s="2">
        <v>1.1000000000000001</v>
      </c>
      <c r="AA299" s="3">
        <v>13</v>
      </c>
      <c r="AB299" s="3">
        <v>67</v>
      </c>
      <c r="AC299" s="3">
        <v>1</v>
      </c>
      <c r="AD299" s="1">
        <v>0.15</v>
      </c>
      <c r="AE299" s="1">
        <v>0</v>
      </c>
      <c r="AF299" s="1">
        <v>0.15</v>
      </c>
      <c r="AG299" s="1">
        <v>0.15</v>
      </c>
      <c r="AH299" s="1">
        <v>0.15</v>
      </c>
      <c r="AI299" s="1">
        <v>0.08</v>
      </c>
      <c r="AJ299" s="1">
        <v>0.01</v>
      </c>
      <c r="AK299" s="1">
        <v>0.08</v>
      </c>
      <c r="AL299" s="1">
        <v>0.08</v>
      </c>
      <c r="AM299" s="1">
        <v>0.08</v>
      </c>
      <c r="AN299" t="s">
        <v>285</v>
      </c>
    </row>
    <row r="300" spans="1:40" x14ac:dyDescent="0.25">
      <c r="A300" t="s">
        <v>279</v>
      </c>
      <c r="B300" t="s">
        <v>196</v>
      </c>
      <c r="C300" s="4" t="s">
        <v>1768</v>
      </c>
      <c r="D300" t="s">
        <v>1769</v>
      </c>
      <c r="E300" t="s">
        <v>108</v>
      </c>
      <c r="F300" t="str">
        <f>LEFT(premier_player_23_24[[#This Row],[Position]],2)</f>
        <v>DF</v>
      </c>
      <c r="G300" s="3">
        <v>32</v>
      </c>
      <c r="H30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00" s="3">
        <v>36</v>
      </c>
      <c r="J300" s="3">
        <v>36</v>
      </c>
      <c r="K300" s="2">
        <v>3177</v>
      </c>
      <c r="L300" s="2" t="str">
        <f>IF(premier_player_23_24[[#This Row],[Minutes]]&gt;1000,"More than 1000 minutes","Less than 1000 minutes")</f>
        <v>More than 1000 minutes</v>
      </c>
      <c r="M300" s="2">
        <v>35.299999999999997</v>
      </c>
      <c r="N300" s="3">
        <v>2</v>
      </c>
      <c r="O300" s="3">
        <v>2</v>
      </c>
      <c r="P300" s="3">
        <v>4</v>
      </c>
      <c r="Q300" s="3">
        <v>2</v>
      </c>
      <c r="R300" s="3">
        <v>0</v>
      </c>
      <c r="S300" s="3">
        <v>0</v>
      </c>
      <c r="T300" s="3">
        <v>3</v>
      </c>
      <c r="U300" s="2">
        <v>1</v>
      </c>
      <c r="V300" s="2">
        <v>2.8</v>
      </c>
      <c r="W300" s="2">
        <f>premier_player_23_24[[#This Row],[Goals]]-premier_player_23_24[[#This Row],[Expected Goals ]]</f>
        <v>-0.79999999999999982</v>
      </c>
      <c r="X300" s="2">
        <v>2.8</v>
      </c>
      <c r="Y300" s="2">
        <v>1.6</v>
      </c>
      <c r="Z300" s="2">
        <v>4.4000000000000004</v>
      </c>
      <c r="AA300" s="3">
        <v>32</v>
      </c>
      <c r="AB300" s="3">
        <v>200</v>
      </c>
      <c r="AC300" s="3">
        <v>7</v>
      </c>
      <c r="AD300" s="1">
        <v>0.06</v>
      </c>
      <c r="AE300" s="1">
        <v>0.06</v>
      </c>
      <c r="AF300" s="1">
        <v>0.11</v>
      </c>
      <c r="AG300" s="1">
        <v>0.06</v>
      </c>
      <c r="AH300" s="1">
        <v>0.11</v>
      </c>
      <c r="AI300" s="1">
        <v>0.08</v>
      </c>
      <c r="AJ300" s="1">
        <v>0.04</v>
      </c>
      <c r="AK300" s="1">
        <v>0.12</v>
      </c>
      <c r="AL300" s="1">
        <v>0.08</v>
      </c>
      <c r="AM300" s="1">
        <v>0.12</v>
      </c>
      <c r="AN300" t="s">
        <v>285</v>
      </c>
    </row>
    <row r="301" spans="1:40" x14ac:dyDescent="0.25">
      <c r="A301" t="s">
        <v>395</v>
      </c>
      <c r="B301" t="s">
        <v>196</v>
      </c>
      <c r="C301" s="4" t="s">
        <v>1768</v>
      </c>
      <c r="D301" t="s">
        <v>1769</v>
      </c>
      <c r="E301" t="s">
        <v>36</v>
      </c>
      <c r="F301" t="str">
        <f>LEFT(premier_player_23_24[[#This Row],[Position]],2)</f>
        <v>MF</v>
      </c>
      <c r="G301" s="3">
        <v>21</v>
      </c>
      <c r="H30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01" s="3">
        <v>26</v>
      </c>
      <c r="J301" s="3">
        <v>12</v>
      </c>
      <c r="K301" s="2">
        <v>1121</v>
      </c>
      <c r="L301" s="2" t="str">
        <f>IF(premier_player_23_24[[#This Row],[Minutes]]&gt;1000,"More than 1000 minutes","Less than 1000 minutes")</f>
        <v>More than 1000 minutes</v>
      </c>
      <c r="M301" s="2">
        <v>12.5</v>
      </c>
      <c r="N301" s="3">
        <v>1</v>
      </c>
      <c r="O301" s="3">
        <v>0</v>
      </c>
      <c r="P301" s="3">
        <v>1</v>
      </c>
      <c r="Q301" s="3">
        <v>1</v>
      </c>
      <c r="R301" s="3">
        <v>0</v>
      </c>
      <c r="S301" s="3">
        <v>0</v>
      </c>
      <c r="T301" s="2">
        <v>0</v>
      </c>
      <c r="U301" s="2">
        <v>0</v>
      </c>
      <c r="V301" s="2">
        <v>2</v>
      </c>
      <c r="W301" s="2">
        <f>premier_player_23_24[[#This Row],[Goals]]-premier_player_23_24[[#This Row],[Expected Goals ]]</f>
        <v>-1</v>
      </c>
      <c r="X301" s="2">
        <v>2</v>
      </c>
      <c r="Y301" s="2">
        <v>0.9</v>
      </c>
      <c r="Z301" s="2">
        <v>2.9</v>
      </c>
      <c r="AA301" s="3">
        <v>39</v>
      </c>
      <c r="AB301" s="3">
        <v>78</v>
      </c>
      <c r="AC301" s="3">
        <v>71</v>
      </c>
      <c r="AD301" s="1">
        <v>0.08</v>
      </c>
      <c r="AE301" s="1">
        <v>0</v>
      </c>
      <c r="AF301" s="1">
        <v>0.08</v>
      </c>
      <c r="AG301" s="1">
        <v>0.08</v>
      </c>
      <c r="AH301" s="1">
        <v>0.08</v>
      </c>
      <c r="AI301" s="1">
        <v>0.16</v>
      </c>
      <c r="AJ301" s="1">
        <v>7.0000000000000007E-2</v>
      </c>
      <c r="AK301" s="1">
        <v>0.23</v>
      </c>
      <c r="AL301" s="1">
        <v>0.16</v>
      </c>
      <c r="AM301" s="1">
        <v>0.23</v>
      </c>
      <c r="AN301" t="s">
        <v>285</v>
      </c>
    </row>
    <row r="302" spans="1:40" x14ac:dyDescent="0.25">
      <c r="A302" t="s">
        <v>353</v>
      </c>
      <c r="B302" t="s">
        <v>354</v>
      </c>
      <c r="C302" s="4" t="s">
        <v>1756</v>
      </c>
      <c r="D302" t="s">
        <v>1757</v>
      </c>
      <c r="E302" t="s">
        <v>36</v>
      </c>
      <c r="F302" t="str">
        <f>LEFT(premier_player_23_24[[#This Row],[Position]],2)</f>
        <v>MF</v>
      </c>
      <c r="G302" s="3">
        <v>30</v>
      </c>
      <c r="H30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02" s="3">
        <v>29</v>
      </c>
      <c r="J302" s="3">
        <v>20</v>
      </c>
      <c r="K302" s="2">
        <v>1722</v>
      </c>
      <c r="L302" s="2" t="str">
        <f>IF(premier_player_23_24[[#This Row],[Minutes]]&gt;1000,"More than 1000 minutes","Less than 1000 minutes")</f>
        <v>More than 1000 minutes</v>
      </c>
      <c r="M302" s="2">
        <v>19.100000000000001</v>
      </c>
      <c r="N302" s="3">
        <v>1</v>
      </c>
      <c r="O302" s="3">
        <v>0</v>
      </c>
      <c r="P302" s="3">
        <v>1</v>
      </c>
      <c r="Q302" s="3">
        <v>1</v>
      </c>
      <c r="R302" s="3">
        <v>0</v>
      </c>
      <c r="S302" s="3">
        <v>0</v>
      </c>
      <c r="T302" s="3">
        <v>10</v>
      </c>
      <c r="U302" s="2">
        <v>0</v>
      </c>
      <c r="V302" s="2">
        <v>0.5</v>
      </c>
      <c r="W302" s="2">
        <f>premier_player_23_24[[#This Row],[Goals]]-premier_player_23_24[[#This Row],[Expected Goals ]]</f>
        <v>0.5</v>
      </c>
      <c r="X302" s="2">
        <v>0.5</v>
      </c>
      <c r="Y302" s="2">
        <v>1.7</v>
      </c>
      <c r="Z302" s="2">
        <v>2.2999999999999998</v>
      </c>
      <c r="AA302" s="3">
        <v>10</v>
      </c>
      <c r="AB302" s="3">
        <v>101</v>
      </c>
      <c r="AC302" s="3">
        <v>21</v>
      </c>
      <c r="AD302" s="1">
        <v>0.05</v>
      </c>
      <c r="AE302" s="1">
        <v>0</v>
      </c>
      <c r="AF302" s="1">
        <v>0.05</v>
      </c>
      <c r="AG302" s="1">
        <v>0.05</v>
      </c>
      <c r="AH302" s="1">
        <v>0.05</v>
      </c>
      <c r="AI302" s="1">
        <v>0.03</v>
      </c>
      <c r="AJ302" s="1">
        <v>0.09</v>
      </c>
      <c r="AK302" s="1">
        <v>0.12</v>
      </c>
      <c r="AL302" s="1">
        <v>0.03</v>
      </c>
      <c r="AM302" s="1">
        <v>0.12</v>
      </c>
      <c r="AN302" t="s">
        <v>285</v>
      </c>
    </row>
    <row r="303" spans="1:40" x14ac:dyDescent="0.25">
      <c r="A303" t="s">
        <v>365</v>
      </c>
      <c r="B303" t="s">
        <v>57</v>
      </c>
      <c r="C303" s="4" t="s">
        <v>1744</v>
      </c>
      <c r="D303" t="s">
        <v>1745</v>
      </c>
      <c r="E303" t="s">
        <v>108</v>
      </c>
      <c r="F303" t="str">
        <f>LEFT(premier_player_23_24[[#This Row],[Position]],2)</f>
        <v>DF</v>
      </c>
      <c r="G303" s="3">
        <v>26</v>
      </c>
      <c r="H30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03" s="3">
        <v>32</v>
      </c>
      <c r="J303" s="3">
        <v>17</v>
      </c>
      <c r="K303" s="2">
        <v>1786</v>
      </c>
      <c r="L303" s="2" t="str">
        <f>IF(premier_player_23_24[[#This Row],[Minutes]]&gt;1000,"More than 1000 minutes","Less than 1000 minutes")</f>
        <v>More than 1000 minutes</v>
      </c>
      <c r="M303" s="2">
        <v>19.8</v>
      </c>
      <c r="N303" s="3">
        <v>0</v>
      </c>
      <c r="O303" s="3">
        <v>1</v>
      </c>
      <c r="P303" s="3">
        <v>1</v>
      </c>
      <c r="Q303" s="3">
        <v>0</v>
      </c>
      <c r="R303" s="3">
        <v>0</v>
      </c>
      <c r="S303" s="3">
        <v>0</v>
      </c>
      <c r="T303" s="3">
        <v>5</v>
      </c>
      <c r="U303" s="2">
        <v>0</v>
      </c>
      <c r="V303" s="2">
        <v>0.8</v>
      </c>
      <c r="W303" s="2">
        <f>premier_player_23_24[[#This Row],[Goals]]-premier_player_23_24[[#This Row],[Expected Goals ]]</f>
        <v>-0.8</v>
      </c>
      <c r="X303" s="2">
        <v>0.8</v>
      </c>
      <c r="Y303" s="2">
        <v>1.3</v>
      </c>
      <c r="Z303" s="2">
        <v>2.1</v>
      </c>
      <c r="AA303" s="3">
        <v>44</v>
      </c>
      <c r="AB303" s="3">
        <v>100</v>
      </c>
      <c r="AC303" s="3">
        <v>105</v>
      </c>
      <c r="AD303" s="1">
        <v>0</v>
      </c>
      <c r="AE303" s="1">
        <v>0.05</v>
      </c>
      <c r="AF303" s="1">
        <v>0.05</v>
      </c>
      <c r="AG303" s="1">
        <v>0</v>
      </c>
      <c r="AH303" s="1">
        <v>0.05</v>
      </c>
      <c r="AI303" s="1">
        <v>0.04</v>
      </c>
      <c r="AJ303" s="1">
        <v>7.0000000000000007E-2</v>
      </c>
      <c r="AK303" s="1">
        <v>0.1</v>
      </c>
      <c r="AL303" s="1">
        <v>0.04</v>
      </c>
      <c r="AM303" s="1">
        <v>0.1</v>
      </c>
      <c r="AN303" t="s">
        <v>285</v>
      </c>
    </row>
    <row r="304" spans="1:40" x14ac:dyDescent="0.25">
      <c r="A304" t="s">
        <v>322</v>
      </c>
      <c r="B304" t="s">
        <v>76</v>
      </c>
      <c r="C304" s="4" t="s">
        <v>1750</v>
      </c>
      <c r="D304" t="s">
        <v>1751</v>
      </c>
      <c r="E304" t="s">
        <v>77</v>
      </c>
      <c r="F304" t="str">
        <f>LEFT(premier_player_23_24[[#This Row],[Position]],2)</f>
        <v>GK</v>
      </c>
      <c r="G304" s="3">
        <v>30</v>
      </c>
      <c r="H30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04" s="3">
        <v>28</v>
      </c>
      <c r="J304" s="3">
        <v>28</v>
      </c>
      <c r="K304" s="2">
        <v>2520</v>
      </c>
      <c r="L304" s="2" t="str">
        <f>IF(premier_player_23_24[[#This Row],[Minutes]]&gt;1000,"More than 1000 minutes","Less than 1000 minutes")</f>
        <v>More than 1000 minutes</v>
      </c>
      <c r="M304" s="2">
        <v>28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1</v>
      </c>
      <c r="U304" s="2">
        <v>0</v>
      </c>
      <c r="V304" s="2">
        <v>0</v>
      </c>
      <c r="W304" s="2">
        <f>premier_player_23_24[[#This Row],[Goals]]-premier_player_23_24[[#This Row],[Expected Goals ]]</f>
        <v>0</v>
      </c>
      <c r="X304" s="2">
        <v>0</v>
      </c>
      <c r="Y304" s="2">
        <v>0</v>
      </c>
      <c r="Z304" s="2">
        <v>0</v>
      </c>
      <c r="AA304" s="3">
        <v>0</v>
      </c>
      <c r="AB304" s="3">
        <v>5</v>
      </c>
      <c r="AC304" s="3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  <c r="AM304" s="1">
        <v>0</v>
      </c>
      <c r="AN304" t="s">
        <v>285</v>
      </c>
    </row>
    <row r="305" spans="1:40" x14ac:dyDescent="0.25">
      <c r="A305" t="s">
        <v>375</v>
      </c>
      <c r="B305" t="s">
        <v>376</v>
      </c>
      <c r="C305" s="4" t="s">
        <v>1762</v>
      </c>
      <c r="D305" t="s">
        <v>1763</v>
      </c>
      <c r="E305" t="s">
        <v>108</v>
      </c>
      <c r="F305" t="str">
        <f>LEFT(premier_player_23_24[[#This Row],[Position]],2)</f>
        <v>DF</v>
      </c>
      <c r="G305" s="3">
        <v>24</v>
      </c>
      <c r="H30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05" s="3">
        <v>22</v>
      </c>
      <c r="J305" s="3">
        <v>17</v>
      </c>
      <c r="K305" s="2">
        <v>1574</v>
      </c>
      <c r="L305" s="2" t="str">
        <f>IF(premier_player_23_24[[#This Row],[Minutes]]&gt;1000,"More than 1000 minutes","Less than 1000 minutes")</f>
        <v>More than 1000 minutes</v>
      </c>
      <c r="M305" s="2">
        <v>17.5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2">
        <v>5</v>
      </c>
      <c r="U305" s="2">
        <v>1</v>
      </c>
      <c r="V305" s="2">
        <v>0.7</v>
      </c>
      <c r="W305" s="2">
        <f>premier_player_23_24[[#This Row],[Goals]]-premier_player_23_24[[#This Row],[Expected Goals ]]</f>
        <v>-0.7</v>
      </c>
      <c r="X305" s="2">
        <v>0.7</v>
      </c>
      <c r="Y305" s="2">
        <v>0.4</v>
      </c>
      <c r="Z305" s="2">
        <v>1.1000000000000001</v>
      </c>
      <c r="AA305" s="3">
        <v>24</v>
      </c>
      <c r="AB305" s="3">
        <v>118</v>
      </c>
      <c r="AC305" s="3">
        <v>3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0.04</v>
      </c>
      <c r="AJ305" s="1">
        <v>0.02</v>
      </c>
      <c r="AK305" s="1">
        <v>0.06</v>
      </c>
      <c r="AL305" s="1">
        <v>0.04</v>
      </c>
      <c r="AM305" s="1">
        <v>0.06</v>
      </c>
      <c r="AN305" t="s">
        <v>285</v>
      </c>
    </row>
    <row r="306" spans="1:40" x14ac:dyDescent="0.25">
      <c r="A306" t="s">
        <v>410</v>
      </c>
      <c r="B306" t="s">
        <v>411</v>
      </c>
      <c r="C306" s="4" t="s">
        <v>1792</v>
      </c>
      <c r="D306" t="s">
        <v>1793</v>
      </c>
      <c r="E306" t="s">
        <v>77</v>
      </c>
      <c r="F306" t="str">
        <f>LEFT(premier_player_23_24[[#This Row],[Position]],2)</f>
        <v>GK</v>
      </c>
      <c r="G306" s="3">
        <v>24</v>
      </c>
      <c r="H30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06" s="3">
        <v>10</v>
      </c>
      <c r="J306" s="3">
        <v>10</v>
      </c>
      <c r="K306" s="2">
        <v>900</v>
      </c>
      <c r="L306" s="2" t="str">
        <f>IF(premier_player_23_24[[#This Row],[Minutes]]&gt;1000,"More than 1000 minutes","Less than 1000 minutes")</f>
        <v>Less than 1000 minutes</v>
      </c>
      <c r="M306" s="2">
        <v>10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2">
        <v>0</v>
      </c>
      <c r="U306" s="2">
        <v>0</v>
      </c>
      <c r="V306" s="2">
        <v>0</v>
      </c>
      <c r="W306" s="2">
        <f>premier_player_23_24[[#This Row],[Goals]]-premier_player_23_24[[#This Row],[Expected Goals ]]</f>
        <v>0</v>
      </c>
      <c r="X306" s="2">
        <v>0</v>
      </c>
      <c r="Y306" s="2">
        <v>0</v>
      </c>
      <c r="Z306" s="2">
        <v>0</v>
      </c>
      <c r="AA306" s="3">
        <v>0</v>
      </c>
      <c r="AB306" s="3">
        <v>1</v>
      </c>
      <c r="AC306" s="3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0</v>
      </c>
      <c r="AJ306" s="1">
        <v>0</v>
      </c>
      <c r="AK306" s="1">
        <v>0</v>
      </c>
      <c r="AL306" s="1">
        <v>0</v>
      </c>
      <c r="AM306" s="1">
        <v>0</v>
      </c>
      <c r="AN306" t="s">
        <v>285</v>
      </c>
    </row>
    <row r="307" spans="1:40" x14ac:dyDescent="0.25">
      <c r="A307" t="s">
        <v>417</v>
      </c>
      <c r="B307" t="s">
        <v>418</v>
      </c>
      <c r="C307" s="4" t="s">
        <v>1802</v>
      </c>
      <c r="D307" t="s">
        <v>1803</v>
      </c>
      <c r="E307" t="s">
        <v>108</v>
      </c>
      <c r="F307" t="str">
        <f>LEFT(premier_player_23_24[[#This Row],[Position]],2)</f>
        <v>DF</v>
      </c>
      <c r="G307" s="3">
        <v>31</v>
      </c>
      <c r="H30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07" s="3">
        <v>10</v>
      </c>
      <c r="J307" s="3">
        <v>9</v>
      </c>
      <c r="K307" s="2">
        <v>781</v>
      </c>
      <c r="L307" s="2" t="str">
        <f>IF(premier_player_23_24[[#This Row],[Minutes]]&gt;1000,"More than 1000 minutes","Less than 1000 minutes")</f>
        <v>Less than 1000 minutes</v>
      </c>
      <c r="M307" s="2">
        <v>8.6999999999999993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2">
        <v>2</v>
      </c>
      <c r="U307" s="2">
        <v>0</v>
      </c>
      <c r="V307" s="2">
        <v>0.5</v>
      </c>
      <c r="W307" s="2">
        <f>premier_player_23_24[[#This Row],[Goals]]-premier_player_23_24[[#This Row],[Expected Goals ]]</f>
        <v>-0.5</v>
      </c>
      <c r="X307" s="2">
        <v>0.5</v>
      </c>
      <c r="Y307" s="2">
        <v>0.1</v>
      </c>
      <c r="Z307" s="2">
        <v>0.6</v>
      </c>
      <c r="AA307" s="3">
        <v>8</v>
      </c>
      <c r="AB307" s="3">
        <v>34</v>
      </c>
      <c r="AC307" s="3">
        <v>1</v>
      </c>
      <c r="AD307" s="1">
        <v>0</v>
      </c>
      <c r="AE307" s="1">
        <v>0</v>
      </c>
      <c r="AF307" s="1">
        <v>0</v>
      </c>
      <c r="AG307" s="1">
        <v>0</v>
      </c>
      <c r="AH307" s="1">
        <v>0</v>
      </c>
      <c r="AI307" s="1">
        <v>0.06</v>
      </c>
      <c r="AJ307" s="1">
        <v>0.01</v>
      </c>
      <c r="AK307" s="1">
        <v>0.06</v>
      </c>
      <c r="AL307" s="1">
        <v>0.06</v>
      </c>
      <c r="AM307" s="1">
        <v>0.06</v>
      </c>
      <c r="AN307" t="s">
        <v>285</v>
      </c>
    </row>
    <row r="308" spans="1:40" x14ac:dyDescent="0.25">
      <c r="A308" t="s">
        <v>426</v>
      </c>
      <c r="B308" t="s">
        <v>57</v>
      </c>
      <c r="C308" s="4" t="s">
        <v>1744</v>
      </c>
      <c r="D308" t="s">
        <v>1745</v>
      </c>
      <c r="E308" t="s">
        <v>36</v>
      </c>
      <c r="F308" t="str">
        <f>LEFT(premier_player_23_24[[#This Row],[Position]],2)</f>
        <v>MF</v>
      </c>
      <c r="G308" s="3">
        <v>18</v>
      </c>
      <c r="H30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08" s="3">
        <v>5</v>
      </c>
      <c r="J308" s="3">
        <v>1</v>
      </c>
      <c r="K308" s="2">
        <v>89</v>
      </c>
      <c r="L308" s="2" t="str">
        <f>IF(premier_player_23_24[[#This Row],[Minutes]]&gt;1000,"More than 1000 minutes","Less than 1000 minutes")</f>
        <v>Less than 1000 minutes</v>
      </c>
      <c r="M308" s="2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2">
        <v>0</v>
      </c>
      <c r="U308" s="2">
        <v>0</v>
      </c>
      <c r="V308" s="2">
        <v>0.1</v>
      </c>
      <c r="W308" s="2">
        <f>premier_player_23_24[[#This Row],[Goals]]-premier_player_23_24[[#This Row],[Expected Goals ]]</f>
        <v>-0.1</v>
      </c>
      <c r="X308" s="2">
        <v>0.1</v>
      </c>
      <c r="Y308" s="2">
        <v>0</v>
      </c>
      <c r="Z308" s="2">
        <v>0.1</v>
      </c>
      <c r="AA308" s="3">
        <v>3</v>
      </c>
      <c r="AB308" s="3">
        <v>3</v>
      </c>
      <c r="AC308" s="3">
        <v>7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>
        <v>0.14000000000000001</v>
      </c>
      <c r="AJ308" s="1">
        <v>0</v>
      </c>
      <c r="AK308" s="1">
        <v>0.14000000000000001</v>
      </c>
      <c r="AL308" s="1">
        <v>0.14000000000000001</v>
      </c>
      <c r="AM308" s="1">
        <v>0.14000000000000001</v>
      </c>
      <c r="AN308" t="s">
        <v>285</v>
      </c>
    </row>
    <row r="309" spans="1:40" x14ac:dyDescent="0.25">
      <c r="A309" t="s">
        <v>428</v>
      </c>
      <c r="B309" t="s">
        <v>35</v>
      </c>
      <c r="C309" s="4" t="s">
        <v>1764</v>
      </c>
      <c r="D309" t="s">
        <v>1765</v>
      </c>
      <c r="E309" t="s">
        <v>36</v>
      </c>
      <c r="F309" t="str">
        <f>LEFT(premier_player_23_24[[#This Row],[Position]],2)</f>
        <v>MF</v>
      </c>
      <c r="G309" s="3">
        <v>18</v>
      </c>
      <c r="H30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09" s="3">
        <v>1</v>
      </c>
      <c r="J309" s="3">
        <v>0</v>
      </c>
      <c r="K309" s="2">
        <v>26</v>
      </c>
      <c r="L309" s="2" t="str">
        <f>IF(premier_player_23_24[[#This Row],[Minutes]]&gt;1000,"More than 1000 minutes","Less than 1000 minutes")</f>
        <v>Less than 1000 minutes</v>
      </c>
      <c r="M309" s="2">
        <v>0.3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2">
        <v>0</v>
      </c>
      <c r="U309" s="2">
        <v>0</v>
      </c>
      <c r="V309" s="2">
        <v>0</v>
      </c>
      <c r="W309" s="2">
        <f>premier_player_23_24[[#This Row],[Goals]]-premier_player_23_24[[#This Row],[Expected Goals ]]</f>
        <v>0</v>
      </c>
      <c r="X309" s="2">
        <v>0</v>
      </c>
      <c r="Y309" s="2">
        <v>0</v>
      </c>
      <c r="Z309" s="2">
        <v>0</v>
      </c>
      <c r="AA309" s="3">
        <v>0</v>
      </c>
      <c r="AB309" s="3">
        <v>1</v>
      </c>
      <c r="AC309" s="3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  <c r="AM309" s="1">
        <v>0</v>
      </c>
      <c r="AN309" t="s">
        <v>285</v>
      </c>
    </row>
    <row r="310" spans="1:40" x14ac:dyDescent="0.25">
      <c r="A310" t="s">
        <v>429</v>
      </c>
      <c r="B310" t="s">
        <v>360</v>
      </c>
      <c r="C310" s="4" t="s">
        <v>1776</v>
      </c>
      <c r="D310" t="s">
        <v>1777</v>
      </c>
      <c r="E310" t="s">
        <v>137</v>
      </c>
      <c r="F310" t="str">
        <f>LEFT(premier_player_23_24[[#This Row],[Position]],2)</f>
        <v>FW</v>
      </c>
      <c r="G310" s="3">
        <v>17</v>
      </c>
      <c r="H31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10" s="3">
        <v>1</v>
      </c>
      <c r="J310" s="3">
        <v>0</v>
      </c>
      <c r="K310" s="2">
        <v>14</v>
      </c>
      <c r="L310" s="2" t="str">
        <f>IF(premier_player_23_24[[#This Row],[Minutes]]&gt;1000,"More than 1000 minutes","Less than 1000 minutes")</f>
        <v>Less than 1000 minutes</v>
      </c>
      <c r="M310" s="2">
        <v>0.2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2">
        <v>0</v>
      </c>
      <c r="U310" s="2">
        <v>0</v>
      </c>
      <c r="V310" s="2">
        <v>0</v>
      </c>
      <c r="W310" s="2">
        <f>premier_player_23_24[[#This Row],[Goals]]-premier_player_23_24[[#This Row],[Expected Goals ]]</f>
        <v>0</v>
      </c>
      <c r="X310" s="2">
        <v>0</v>
      </c>
      <c r="Y310" s="2">
        <v>0</v>
      </c>
      <c r="Z310" s="2">
        <v>0</v>
      </c>
      <c r="AA310" s="3">
        <v>0</v>
      </c>
      <c r="AB310" s="3">
        <v>0</v>
      </c>
      <c r="AC310" s="3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  <c r="AM310" s="1">
        <v>0</v>
      </c>
      <c r="AN310" t="s">
        <v>285</v>
      </c>
    </row>
    <row r="311" spans="1:40" x14ac:dyDescent="0.25">
      <c r="A311" t="s">
        <v>430</v>
      </c>
      <c r="B311" t="s">
        <v>57</v>
      </c>
      <c r="C311" s="4" t="s">
        <v>1744</v>
      </c>
      <c r="D311" t="s">
        <v>1745</v>
      </c>
      <c r="E311" t="s">
        <v>137</v>
      </c>
      <c r="F311" t="str">
        <f>LEFT(premier_player_23_24[[#This Row],[Position]],2)</f>
        <v>FW</v>
      </c>
      <c r="G311" s="3">
        <v>17</v>
      </c>
      <c r="H31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11" s="3">
        <v>2</v>
      </c>
      <c r="J311" s="3">
        <v>0</v>
      </c>
      <c r="K311" s="2">
        <v>9</v>
      </c>
      <c r="L311" s="2" t="str">
        <f>IF(premier_player_23_24[[#This Row],[Minutes]]&gt;1000,"More than 1000 minutes","Less than 1000 minutes")</f>
        <v>Less than 1000 minutes</v>
      </c>
      <c r="M311" s="2">
        <v>0.1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2">
        <v>1</v>
      </c>
      <c r="U311" s="2">
        <v>0</v>
      </c>
      <c r="V311" s="2">
        <v>0</v>
      </c>
      <c r="W311" s="2">
        <f>premier_player_23_24[[#This Row],[Goals]]-premier_player_23_24[[#This Row],[Expected Goals ]]</f>
        <v>0</v>
      </c>
      <c r="X311" s="2">
        <v>0</v>
      </c>
      <c r="Y311" s="2">
        <v>0</v>
      </c>
      <c r="Z311" s="2">
        <v>0</v>
      </c>
      <c r="AA311" s="3">
        <v>0</v>
      </c>
      <c r="AB311" s="3">
        <v>1</v>
      </c>
      <c r="AC311" s="3">
        <v>2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  <c r="AM311" s="1">
        <v>0</v>
      </c>
      <c r="AN311" t="s">
        <v>285</v>
      </c>
    </row>
    <row r="312" spans="1:40" x14ac:dyDescent="0.25">
      <c r="A312" t="s">
        <v>431</v>
      </c>
      <c r="B312" t="s">
        <v>432</v>
      </c>
      <c r="C312" s="4" t="s">
        <v>1786</v>
      </c>
      <c r="D312" t="s">
        <v>1787</v>
      </c>
      <c r="E312" t="s">
        <v>108</v>
      </c>
      <c r="F312" t="str">
        <f>LEFT(premier_player_23_24[[#This Row],[Position]],2)</f>
        <v>DF</v>
      </c>
      <c r="G312" s="3">
        <v>20</v>
      </c>
      <c r="H31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12" s="3">
        <v>1</v>
      </c>
      <c r="J312" s="3">
        <v>0</v>
      </c>
      <c r="K312" s="2">
        <v>8</v>
      </c>
      <c r="L312" s="2" t="str">
        <f>IF(premier_player_23_24[[#This Row],[Minutes]]&gt;1000,"More than 1000 minutes","Less than 1000 minutes")</f>
        <v>Less than 1000 minutes</v>
      </c>
      <c r="M312" s="2">
        <v>0.1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2">
        <v>0</v>
      </c>
      <c r="U312" s="2">
        <v>0</v>
      </c>
      <c r="V312" s="2">
        <v>0</v>
      </c>
      <c r="W312" s="2">
        <f>premier_player_23_24[[#This Row],[Goals]]-premier_player_23_24[[#This Row],[Expected Goals ]]</f>
        <v>0</v>
      </c>
      <c r="X312" s="2">
        <v>0</v>
      </c>
      <c r="Y312" s="2">
        <v>0</v>
      </c>
      <c r="Z312" s="2">
        <v>0</v>
      </c>
      <c r="AA312" s="3">
        <v>0</v>
      </c>
      <c r="AB312" s="3">
        <v>0</v>
      </c>
      <c r="AC312" s="3">
        <v>1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  <c r="AM312" s="1">
        <v>0</v>
      </c>
      <c r="AN312" t="s">
        <v>285</v>
      </c>
    </row>
    <row r="313" spans="1:40" x14ac:dyDescent="0.25">
      <c r="A313" t="s">
        <v>433</v>
      </c>
      <c r="B313" t="s">
        <v>35</v>
      </c>
      <c r="C313" s="4" t="s">
        <v>1764</v>
      </c>
      <c r="D313" t="s">
        <v>1765</v>
      </c>
      <c r="E313" t="s">
        <v>36</v>
      </c>
      <c r="F313" t="str">
        <f>LEFT(premier_player_23_24[[#This Row],[Position]],2)</f>
        <v>MF</v>
      </c>
      <c r="G313" s="3">
        <v>32</v>
      </c>
      <c r="H31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13" s="3">
        <v>1</v>
      </c>
      <c r="J313" s="3">
        <v>0</v>
      </c>
      <c r="K313" s="2">
        <v>6</v>
      </c>
      <c r="L313" s="2" t="str">
        <f>IF(premier_player_23_24[[#This Row],[Minutes]]&gt;1000,"More than 1000 minutes","Less than 1000 minutes")</f>
        <v>Less than 1000 minutes</v>
      </c>
      <c r="M313" s="2">
        <v>0.1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2">
        <v>0</v>
      </c>
      <c r="U313" s="2">
        <v>0</v>
      </c>
      <c r="V313" s="2">
        <v>0</v>
      </c>
      <c r="W313" s="2">
        <f>premier_player_23_24[[#This Row],[Goals]]-premier_player_23_24[[#This Row],[Expected Goals ]]</f>
        <v>0</v>
      </c>
      <c r="X313" s="2">
        <v>0</v>
      </c>
      <c r="Y313" s="2">
        <v>0</v>
      </c>
      <c r="Z313" s="2">
        <v>0</v>
      </c>
      <c r="AA313" s="3">
        <v>0</v>
      </c>
      <c r="AB313" s="3">
        <v>0</v>
      </c>
      <c r="AC313" s="3">
        <v>0</v>
      </c>
      <c r="AD313" s="1">
        <v>0</v>
      </c>
      <c r="AE313" s="1">
        <v>0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  <c r="AM313" s="1">
        <v>0</v>
      </c>
      <c r="AN313" t="s">
        <v>285</v>
      </c>
    </row>
    <row r="314" spans="1:40" x14ac:dyDescent="0.25">
      <c r="A314" t="s">
        <v>434</v>
      </c>
      <c r="B314" t="s">
        <v>57</v>
      </c>
      <c r="C314" s="4" t="s">
        <v>1744</v>
      </c>
      <c r="D314" t="s">
        <v>1745</v>
      </c>
      <c r="E314" t="s">
        <v>36</v>
      </c>
      <c r="F314" t="str">
        <f>LEFT(premier_player_23_24[[#This Row],[Position]],2)</f>
        <v>MF</v>
      </c>
      <c r="G314" s="3">
        <v>18</v>
      </c>
      <c r="H31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14" s="3">
        <v>3</v>
      </c>
      <c r="J314" s="3">
        <v>0</v>
      </c>
      <c r="K314" s="2">
        <v>4</v>
      </c>
      <c r="L314" s="2" t="str">
        <f>IF(premier_player_23_24[[#This Row],[Minutes]]&gt;1000,"More than 1000 minutes","Less than 1000 minutes")</f>
        <v>Less than 1000 minutes</v>
      </c>
      <c r="M314" s="2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2">
        <v>0</v>
      </c>
      <c r="U314" s="2">
        <v>0</v>
      </c>
      <c r="V314" s="2">
        <v>0</v>
      </c>
      <c r="W314" s="2">
        <f>premier_player_23_24[[#This Row],[Goals]]-premier_player_23_24[[#This Row],[Expected Goals ]]</f>
        <v>0</v>
      </c>
      <c r="X314" s="2">
        <v>0</v>
      </c>
      <c r="Y314" s="2">
        <v>0</v>
      </c>
      <c r="Z314" s="2">
        <v>0</v>
      </c>
      <c r="AA314" s="3">
        <v>0</v>
      </c>
      <c r="AB314" s="3">
        <v>1</v>
      </c>
      <c r="AC314" s="3">
        <v>0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  <c r="AM314" s="1">
        <v>0</v>
      </c>
      <c r="AN314" t="s">
        <v>285</v>
      </c>
    </row>
    <row r="315" spans="1:40" x14ac:dyDescent="0.25">
      <c r="A315" t="s">
        <v>435</v>
      </c>
      <c r="B315" t="s">
        <v>57</v>
      </c>
      <c r="C315" s="4" t="s">
        <v>1744</v>
      </c>
      <c r="D315" t="s">
        <v>1745</v>
      </c>
      <c r="E315" t="s">
        <v>137</v>
      </c>
      <c r="F315" t="str">
        <f>LEFT(premier_player_23_24[[#This Row],[Position]],2)</f>
        <v>FW</v>
      </c>
      <c r="G315" s="3">
        <v>18</v>
      </c>
      <c r="H31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15" s="3">
        <v>1</v>
      </c>
      <c r="J315" s="3">
        <v>0</v>
      </c>
      <c r="K315" s="2">
        <v>1</v>
      </c>
      <c r="L315" s="2" t="str">
        <f>IF(premier_player_23_24[[#This Row],[Minutes]]&gt;1000,"More than 1000 minutes","Less than 1000 minutes")</f>
        <v>Less than 1000 minutes</v>
      </c>
      <c r="M315" s="2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2">
        <v>0</v>
      </c>
      <c r="U315" s="2">
        <v>0</v>
      </c>
      <c r="V315" s="2">
        <v>0</v>
      </c>
      <c r="W315" s="2">
        <f>premier_player_23_24[[#This Row],[Goals]]-premier_player_23_24[[#This Row],[Expected Goals ]]</f>
        <v>0</v>
      </c>
      <c r="X315" s="2">
        <v>0</v>
      </c>
      <c r="Y315" s="2">
        <v>0</v>
      </c>
      <c r="Z315" s="2">
        <v>0</v>
      </c>
      <c r="AA315" s="3">
        <v>0</v>
      </c>
      <c r="AB315" s="3">
        <v>1</v>
      </c>
      <c r="AC315" s="3">
        <v>0</v>
      </c>
      <c r="AD315" s="1">
        <v>0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  <c r="AM315" s="1">
        <v>0</v>
      </c>
      <c r="AN315" t="s">
        <v>285</v>
      </c>
    </row>
    <row r="316" spans="1:40" x14ac:dyDescent="0.25">
      <c r="A316" t="s">
        <v>1591</v>
      </c>
      <c r="B316" t="s">
        <v>57</v>
      </c>
      <c r="C316" s="4" t="s">
        <v>1744</v>
      </c>
      <c r="D316" t="s">
        <v>1745</v>
      </c>
      <c r="E316" t="s">
        <v>524</v>
      </c>
      <c r="F316" t="str">
        <f>LEFT(premier_player_23_24[[#This Row],[Position]],2)</f>
        <v>MF</v>
      </c>
      <c r="G316" s="3">
        <v>31</v>
      </c>
      <c r="H31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16" s="3">
        <v>17</v>
      </c>
      <c r="J316" s="3">
        <v>2</v>
      </c>
      <c r="K316" s="2">
        <v>323</v>
      </c>
      <c r="L316" s="2" t="str">
        <f>IF(premier_player_23_24[[#This Row],[Minutes]]&gt;1000,"More than 1000 minutes","Less than 1000 minutes")</f>
        <v>Less than 1000 minutes</v>
      </c>
      <c r="M316" s="2">
        <v>3.6</v>
      </c>
      <c r="N316" s="3">
        <v>2</v>
      </c>
      <c r="O316" s="3">
        <v>1</v>
      </c>
      <c r="P316" s="3">
        <v>3</v>
      </c>
      <c r="Q316" s="3">
        <v>2</v>
      </c>
      <c r="R316" s="3">
        <v>0</v>
      </c>
      <c r="S316" s="3">
        <v>0</v>
      </c>
      <c r="T316" s="2">
        <v>1</v>
      </c>
      <c r="U316" s="2">
        <v>0</v>
      </c>
      <c r="V316" s="2">
        <v>1</v>
      </c>
      <c r="W316" s="2">
        <f>premier_player_23_24[[#This Row],[Goals]]-premier_player_23_24[[#This Row],[Expected Goals ]]</f>
        <v>1</v>
      </c>
      <c r="X316" s="2">
        <v>1</v>
      </c>
      <c r="Y316" s="2">
        <v>0.3</v>
      </c>
      <c r="Z316" s="2">
        <v>1.3</v>
      </c>
      <c r="AA316" s="3">
        <v>1</v>
      </c>
      <c r="AB316" s="3">
        <v>8</v>
      </c>
      <c r="AC316" s="3">
        <v>7</v>
      </c>
      <c r="AD316" s="1">
        <v>0.56000000000000005</v>
      </c>
      <c r="AE316" s="1">
        <v>0.28000000000000003</v>
      </c>
      <c r="AF316" s="1">
        <v>0.84</v>
      </c>
      <c r="AG316" s="1">
        <v>0.56000000000000005</v>
      </c>
      <c r="AH316" s="1">
        <v>0.84</v>
      </c>
      <c r="AI316" s="1">
        <v>0.28000000000000003</v>
      </c>
      <c r="AJ316" s="1">
        <v>7.0000000000000007E-2</v>
      </c>
      <c r="AK316" s="1">
        <v>0.35</v>
      </c>
      <c r="AL316" s="1">
        <v>0.28000000000000003</v>
      </c>
      <c r="AM316" s="1">
        <v>0.35</v>
      </c>
      <c r="AN316" t="s">
        <v>1541</v>
      </c>
    </row>
    <row r="317" spans="1:40" x14ac:dyDescent="0.25">
      <c r="A317" t="s">
        <v>1564</v>
      </c>
      <c r="B317" t="s">
        <v>57</v>
      </c>
      <c r="C317" s="4" t="s">
        <v>1744</v>
      </c>
      <c r="D317" t="s">
        <v>1745</v>
      </c>
      <c r="E317" t="s">
        <v>137</v>
      </c>
      <c r="F317" t="str">
        <f>LEFT(premier_player_23_24[[#This Row],[Position]],2)</f>
        <v>FW</v>
      </c>
      <c r="G317" s="3">
        <v>25</v>
      </c>
      <c r="H31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17" s="3">
        <v>27</v>
      </c>
      <c r="J317" s="3">
        <v>16</v>
      </c>
      <c r="K317" s="2">
        <v>1419</v>
      </c>
      <c r="L317" s="2" t="str">
        <f>IF(premier_player_23_24[[#This Row],[Minutes]]&gt;1000,"More than 1000 minutes","Less than 1000 minutes")</f>
        <v>More than 1000 minutes</v>
      </c>
      <c r="M317" s="2">
        <v>15.8</v>
      </c>
      <c r="N317" s="3">
        <v>10</v>
      </c>
      <c r="O317" s="3">
        <v>0</v>
      </c>
      <c r="P317" s="3">
        <v>10</v>
      </c>
      <c r="Q317" s="3">
        <v>10</v>
      </c>
      <c r="R317" s="3">
        <v>0</v>
      </c>
      <c r="S317" s="3">
        <v>0</v>
      </c>
      <c r="T317" s="2">
        <v>1</v>
      </c>
      <c r="U317" s="2">
        <v>0</v>
      </c>
      <c r="V317" s="2">
        <v>5.9</v>
      </c>
      <c r="W317" s="2">
        <f>premier_player_23_24[[#This Row],[Goals]]-premier_player_23_24[[#This Row],[Expected Goals ]]</f>
        <v>4.0999999999999996</v>
      </c>
      <c r="X317" s="2">
        <v>5.9</v>
      </c>
      <c r="Y317" s="2">
        <v>0.7</v>
      </c>
      <c r="Z317" s="2">
        <v>6.6</v>
      </c>
      <c r="AA317" s="3">
        <v>16</v>
      </c>
      <c r="AB317" s="3">
        <v>23</v>
      </c>
      <c r="AC317" s="3">
        <v>110</v>
      </c>
      <c r="AD317" s="1">
        <v>0.63</v>
      </c>
      <c r="AE317" s="1">
        <v>0</v>
      </c>
      <c r="AF317" s="1">
        <v>0.63</v>
      </c>
      <c r="AG317" s="1">
        <v>0.63</v>
      </c>
      <c r="AH317" s="1">
        <v>0.63</v>
      </c>
      <c r="AI317" s="1">
        <v>0.37</v>
      </c>
      <c r="AJ317" s="1">
        <v>0.04</v>
      </c>
      <c r="AK317" s="1">
        <v>0.42</v>
      </c>
      <c r="AL317" s="1">
        <v>0.37</v>
      </c>
      <c r="AM317" s="1">
        <v>0.42</v>
      </c>
      <c r="AN317" t="s">
        <v>1541</v>
      </c>
    </row>
    <row r="318" spans="1:40" x14ac:dyDescent="0.25">
      <c r="A318" t="s">
        <v>1545</v>
      </c>
      <c r="B318" t="s">
        <v>57</v>
      </c>
      <c r="C318" s="4" t="s">
        <v>1744</v>
      </c>
      <c r="D318" t="s">
        <v>1745</v>
      </c>
      <c r="E318" t="s">
        <v>58</v>
      </c>
      <c r="F318" t="str">
        <f>LEFT(premier_player_23_24[[#This Row],[Position]],2)</f>
        <v>FW</v>
      </c>
      <c r="G318" s="3">
        <v>27</v>
      </c>
      <c r="H31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18" s="3">
        <v>38</v>
      </c>
      <c r="J318" s="3">
        <v>32</v>
      </c>
      <c r="K318" s="2">
        <v>2862</v>
      </c>
      <c r="L318" s="2" t="str">
        <f>IF(premier_player_23_24[[#This Row],[Minutes]]&gt;1000,"More than 1000 minutes","Less than 1000 minutes")</f>
        <v>More than 1000 minutes</v>
      </c>
      <c r="M318" s="2">
        <v>31.8</v>
      </c>
      <c r="N318" s="3">
        <v>11</v>
      </c>
      <c r="O318" s="3">
        <v>4</v>
      </c>
      <c r="P318" s="3">
        <v>15</v>
      </c>
      <c r="Q318" s="3">
        <v>6</v>
      </c>
      <c r="R318" s="3">
        <v>5</v>
      </c>
      <c r="S318" s="3">
        <v>5</v>
      </c>
      <c r="T318" s="2">
        <v>4</v>
      </c>
      <c r="U318" s="2">
        <v>0</v>
      </c>
      <c r="V318" s="2">
        <v>11.4</v>
      </c>
      <c r="W318" s="2">
        <f>premier_player_23_24[[#This Row],[Goals]]-premier_player_23_24[[#This Row],[Expected Goals ]]</f>
        <v>-0.40000000000000036</v>
      </c>
      <c r="X318" s="2">
        <v>7.5</v>
      </c>
      <c r="Y318" s="2">
        <v>2.8</v>
      </c>
      <c r="Z318" s="2">
        <v>10.199999999999999</v>
      </c>
      <c r="AA318" s="3">
        <v>37</v>
      </c>
      <c r="AB318" s="3">
        <v>56</v>
      </c>
      <c r="AC318" s="3">
        <v>120</v>
      </c>
      <c r="AD318" s="1">
        <v>0.35</v>
      </c>
      <c r="AE318" s="1">
        <v>0.13</v>
      </c>
      <c r="AF318" s="1">
        <v>0.47</v>
      </c>
      <c r="AG318" s="1">
        <v>0.19</v>
      </c>
      <c r="AH318" s="1">
        <v>0.31</v>
      </c>
      <c r="AI318" s="1">
        <v>0.36</v>
      </c>
      <c r="AJ318" s="1">
        <v>0.09</v>
      </c>
      <c r="AK318" s="1">
        <v>0.45</v>
      </c>
      <c r="AL318" s="1">
        <v>0.23</v>
      </c>
      <c r="AM318" s="1">
        <v>0.32</v>
      </c>
      <c r="AN318" t="s">
        <v>1541</v>
      </c>
    </row>
    <row r="319" spans="1:40" x14ac:dyDescent="0.25">
      <c r="A319" t="s">
        <v>1589</v>
      </c>
      <c r="B319" t="s">
        <v>57</v>
      </c>
      <c r="C319" s="4" t="s">
        <v>1744</v>
      </c>
      <c r="D319" t="s">
        <v>1745</v>
      </c>
      <c r="E319" t="s">
        <v>58</v>
      </c>
      <c r="F319" t="str">
        <f>LEFT(premier_player_23_24[[#This Row],[Position]],2)</f>
        <v>FW</v>
      </c>
      <c r="G319" s="3">
        <v>28</v>
      </c>
      <c r="H31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19" s="3">
        <v>24</v>
      </c>
      <c r="J319" s="3">
        <v>2</v>
      </c>
      <c r="K319" s="2">
        <v>427</v>
      </c>
      <c r="L319" s="2" t="str">
        <f>IF(premier_player_23_24[[#This Row],[Minutes]]&gt;1000,"More than 1000 minutes","Less than 1000 minutes")</f>
        <v>Less than 1000 minutes</v>
      </c>
      <c r="M319" s="2">
        <v>4.7</v>
      </c>
      <c r="N319" s="3">
        <v>1</v>
      </c>
      <c r="O319" s="3">
        <v>1</v>
      </c>
      <c r="P319" s="3">
        <v>2</v>
      </c>
      <c r="Q319" s="3">
        <v>1</v>
      </c>
      <c r="R319" s="3">
        <v>0</v>
      </c>
      <c r="S319" s="3">
        <v>0</v>
      </c>
      <c r="T319" s="2">
        <v>2</v>
      </c>
      <c r="U319" s="2">
        <v>0</v>
      </c>
      <c r="V319" s="2">
        <v>1.4</v>
      </c>
      <c r="W319" s="2">
        <f>premier_player_23_24[[#This Row],[Goals]]-premier_player_23_24[[#This Row],[Expected Goals ]]</f>
        <v>-0.39999999999999991</v>
      </c>
      <c r="X319" s="2">
        <v>1.4</v>
      </c>
      <c r="Y319" s="2">
        <v>1.2</v>
      </c>
      <c r="Z319" s="2">
        <v>2.6</v>
      </c>
      <c r="AA319" s="3">
        <v>7</v>
      </c>
      <c r="AB319" s="3">
        <v>6</v>
      </c>
      <c r="AC319" s="3">
        <v>22</v>
      </c>
      <c r="AD319" s="1">
        <v>0.21</v>
      </c>
      <c r="AE319" s="1">
        <v>0.21</v>
      </c>
      <c r="AF319" s="1">
        <v>0.42</v>
      </c>
      <c r="AG319" s="1">
        <v>0.21</v>
      </c>
      <c r="AH319" s="1">
        <v>0.42</v>
      </c>
      <c r="AI319" s="1">
        <v>0.3</v>
      </c>
      <c r="AJ319" s="1">
        <v>0.25</v>
      </c>
      <c r="AK319" s="1">
        <v>0.55000000000000004</v>
      </c>
      <c r="AL319" s="1">
        <v>0.3</v>
      </c>
      <c r="AM319" s="1">
        <v>0.55000000000000004</v>
      </c>
      <c r="AN319" t="s">
        <v>1541</v>
      </c>
    </row>
    <row r="320" spans="1:40" x14ac:dyDescent="0.25">
      <c r="A320" t="s">
        <v>1542</v>
      </c>
      <c r="B320" t="s">
        <v>57</v>
      </c>
      <c r="C320" s="4" t="s">
        <v>1744</v>
      </c>
      <c r="D320" t="s">
        <v>1745</v>
      </c>
      <c r="E320" t="s">
        <v>108</v>
      </c>
      <c r="F320" t="str">
        <f>LEFT(premier_player_23_24[[#This Row],[Position]],2)</f>
        <v>DF</v>
      </c>
      <c r="G320" s="3">
        <v>23</v>
      </c>
      <c r="H32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20" s="3">
        <v>37</v>
      </c>
      <c r="J320" s="3">
        <v>34</v>
      </c>
      <c r="K320" s="2">
        <v>2925</v>
      </c>
      <c r="L320" s="2" t="str">
        <f>IF(premier_player_23_24[[#This Row],[Minutes]]&gt;1000,"More than 1000 minutes","Less than 1000 minutes")</f>
        <v>More than 1000 minutes</v>
      </c>
      <c r="M320" s="2">
        <v>32.5</v>
      </c>
      <c r="N320" s="3">
        <v>2</v>
      </c>
      <c r="O320" s="3">
        <v>8</v>
      </c>
      <c r="P320" s="3">
        <v>10</v>
      </c>
      <c r="Q320" s="3">
        <v>2</v>
      </c>
      <c r="R320" s="3">
        <v>0</v>
      </c>
      <c r="S320" s="3">
        <v>0</v>
      </c>
      <c r="T320" s="2">
        <v>5</v>
      </c>
      <c r="U320" s="2">
        <v>0</v>
      </c>
      <c r="V320" s="2">
        <v>1.3</v>
      </c>
      <c r="W320" s="2">
        <f>premier_player_23_24[[#This Row],[Goals]]-premier_player_23_24[[#This Row],[Expected Goals ]]</f>
        <v>0.7</v>
      </c>
      <c r="X320" s="2">
        <v>1.3</v>
      </c>
      <c r="Y320" s="2">
        <v>6.3</v>
      </c>
      <c r="Z320" s="2">
        <v>7.6</v>
      </c>
      <c r="AA320" s="3">
        <v>94</v>
      </c>
      <c r="AB320" s="3">
        <v>106</v>
      </c>
      <c r="AC320" s="3">
        <v>164</v>
      </c>
      <c r="AD320" s="1">
        <v>0.06</v>
      </c>
      <c r="AE320" s="1">
        <v>0.25</v>
      </c>
      <c r="AF320" s="1">
        <v>0.31</v>
      </c>
      <c r="AG320" s="1">
        <v>0.06</v>
      </c>
      <c r="AH320" s="1">
        <v>0.31</v>
      </c>
      <c r="AI320" s="1">
        <v>0.04</v>
      </c>
      <c r="AJ320" s="1">
        <v>0.19</v>
      </c>
      <c r="AK320" s="1">
        <v>0.23</v>
      </c>
      <c r="AL320" s="1">
        <v>0.04</v>
      </c>
      <c r="AM320" s="1">
        <v>0.23</v>
      </c>
      <c r="AN320" t="s">
        <v>1541</v>
      </c>
    </row>
    <row r="321" spans="1:40" x14ac:dyDescent="0.25">
      <c r="A321" t="s">
        <v>1547</v>
      </c>
      <c r="B321" t="s">
        <v>57</v>
      </c>
      <c r="C321" s="4" t="s">
        <v>1744</v>
      </c>
      <c r="D321" t="s">
        <v>1745</v>
      </c>
      <c r="E321" t="s">
        <v>36</v>
      </c>
      <c r="F321" t="str">
        <f>LEFT(premier_player_23_24[[#This Row],[Position]],2)</f>
        <v>MF</v>
      </c>
      <c r="G321" s="3">
        <v>29</v>
      </c>
      <c r="H32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21" s="3">
        <v>32</v>
      </c>
      <c r="J321" s="3">
        <v>30</v>
      </c>
      <c r="K321" s="2">
        <v>2618</v>
      </c>
      <c r="L321" s="2" t="str">
        <f>IF(premier_player_23_24[[#This Row],[Minutes]]&gt;1000,"More than 1000 minutes","Less than 1000 minutes")</f>
        <v>More than 1000 minutes</v>
      </c>
      <c r="M321" s="2">
        <v>29.1</v>
      </c>
      <c r="N321" s="3">
        <v>5</v>
      </c>
      <c r="O321" s="3">
        <v>4</v>
      </c>
      <c r="P321" s="3">
        <v>9</v>
      </c>
      <c r="Q321" s="3">
        <v>5</v>
      </c>
      <c r="R321" s="3">
        <v>0</v>
      </c>
      <c r="S321" s="3">
        <v>0</v>
      </c>
      <c r="T321" s="2">
        <v>6</v>
      </c>
      <c r="U321" s="2">
        <v>0</v>
      </c>
      <c r="V321" s="2">
        <v>4.0999999999999996</v>
      </c>
      <c r="W321" s="2">
        <f>premier_player_23_24[[#This Row],[Goals]]-premier_player_23_24[[#This Row],[Expected Goals ]]</f>
        <v>0.90000000000000036</v>
      </c>
      <c r="X321" s="2">
        <v>4.0999999999999996</v>
      </c>
      <c r="Y321" s="2">
        <v>3.7</v>
      </c>
      <c r="Z321" s="2">
        <v>7.9</v>
      </c>
      <c r="AA321" s="3">
        <v>48</v>
      </c>
      <c r="AB321" s="3">
        <v>163</v>
      </c>
      <c r="AC321" s="3">
        <v>39</v>
      </c>
      <c r="AD321" s="1">
        <v>0.17</v>
      </c>
      <c r="AE321" s="1">
        <v>0.14000000000000001</v>
      </c>
      <c r="AF321" s="1">
        <v>0.31</v>
      </c>
      <c r="AG321" s="1">
        <v>0.17</v>
      </c>
      <c r="AH321" s="1">
        <v>0.31</v>
      </c>
      <c r="AI321" s="1">
        <v>0.14000000000000001</v>
      </c>
      <c r="AJ321" s="1">
        <v>0.13</v>
      </c>
      <c r="AK321" s="1">
        <v>0.27</v>
      </c>
      <c r="AL321" s="1">
        <v>0.14000000000000001</v>
      </c>
      <c r="AM321" s="1">
        <v>0.27</v>
      </c>
      <c r="AN321" t="s">
        <v>1541</v>
      </c>
    </row>
    <row r="322" spans="1:40" x14ac:dyDescent="0.25">
      <c r="A322" t="s">
        <v>1571</v>
      </c>
      <c r="B322" t="s">
        <v>57</v>
      </c>
      <c r="C322" s="4" t="s">
        <v>1744</v>
      </c>
      <c r="D322" t="s">
        <v>1745</v>
      </c>
      <c r="E322" t="s">
        <v>86</v>
      </c>
      <c r="F322" t="str">
        <f>LEFT(premier_player_23_24[[#This Row],[Position]],2)</f>
        <v>MF</v>
      </c>
      <c r="G322" s="3">
        <v>32</v>
      </c>
      <c r="H32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22" s="3">
        <v>27</v>
      </c>
      <c r="J322" s="3">
        <v>14</v>
      </c>
      <c r="K322" s="2">
        <v>1210</v>
      </c>
      <c r="L322" s="2" t="str">
        <f>IF(premier_player_23_24[[#This Row],[Minutes]]&gt;1000,"More than 1000 minutes","Less than 1000 minutes")</f>
        <v>More than 1000 minutes</v>
      </c>
      <c r="M322" s="2">
        <v>13.4</v>
      </c>
      <c r="N322" s="3">
        <v>1</v>
      </c>
      <c r="O322" s="3">
        <v>3</v>
      </c>
      <c r="P322" s="3">
        <v>4</v>
      </c>
      <c r="Q322" s="3">
        <v>1</v>
      </c>
      <c r="R322" s="3">
        <v>0</v>
      </c>
      <c r="S322" s="3">
        <v>0</v>
      </c>
      <c r="T322" s="2">
        <v>1</v>
      </c>
      <c r="U322" s="2">
        <v>0</v>
      </c>
      <c r="V322" s="2">
        <v>1.2</v>
      </c>
      <c r="W322" s="2">
        <f>premier_player_23_24[[#This Row],[Goals]]-premier_player_23_24[[#This Row],[Expected Goals ]]</f>
        <v>-0.19999999999999996</v>
      </c>
      <c r="X322" s="2">
        <v>1.2</v>
      </c>
      <c r="Y322" s="2">
        <v>1.3</v>
      </c>
      <c r="Z322" s="2">
        <v>2.5</v>
      </c>
      <c r="AA322" s="3">
        <v>47</v>
      </c>
      <c r="AB322" s="3">
        <v>35</v>
      </c>
      <c r="AC322" s="3">
        <v>71</v>
      </c>
      <c r="AD322" s="1">
        <v>7.0000000000000007E-2</v>
      </c>
      <c r="AE322" s="1">
        <v>0.22</v>
      </c>
      <c r="AF322" s="1">
        <v>0.3</v>
      </c>
      <c r="AG322" s="1">
        <v>7.0000000000000007E-2</v>
      </c>
      <c r="AH322" s="1">
        <v>0.3</v>
      </c>
      <c r="AI322" s="1">
        <v>0.09</v>
      </c>
      <c r="AJ322" s="1">
        <v>0.1</v>
      </c>
      <c r="AK322" s="1">
        <v>0.19</v>
      </c>
      <c r="AL322" s="1">
        <v>0.09</v>
      </c>
      <c r="AM322" s="1">
        <v>0.19</v>
      </c>
      <c r="AN322" t="s">
        <v>1541</v>
      </c>
    </row>
    <row r="323" spans="1:40" x14ac:dyDescent="0.25">
      <c r="A323" t="s">
        <v>1567</v>
      </c>
      <c r="B323" t="s">
        <v>207</v>
      </c>
      <c r="C323" s="4" t="s">
        <v>1746</v>
      </c>
      <c r="D323" t="s">
        <v>1747</v>
      </c>
      <c r="E323" t="s">
        <v>36</v>
      </c>
      <c r="F323" t="str">
        <f>LEFT(premier_player_23_24[[#This Row],[Position]],2)</f>
        <v>MF</v>
      </c>
      <c r="G323" s="3">
        <v>23</v>
      </c>
      <c r="H32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23" s="3">
        <v>17</v>
      </c>
      <c r="J323" s="3">
        <v>16</v>
      </c>
      <c r="K323" s="2">
        <v>1303</v>
      </c>
      <c r="L323" s="2" t="str">
        <f>IF(premier_player_23_24[[#This Row],[Minutes]]&gt;1000,"More than 1000 minutes","Less than 1000 minutes")</f>
        <v>More than 1000 minutes</v>
      </c>
      <c r="M323" s="2">
        <v>14.5</v>
      </c>
      <c r="N323" s="3">
        <v>1</v>
      </c>
      <c r="O323" s="3">
        <v>3</v>
      </c>
      <c r="P323" s="3">
        <v>4</v>
      </c>
      <c r="Q323" s="3">
        <v>1</v>
      </c>
      <c r="R323" s="3">
        <v>0</v>
      </c>
      <c r="S323" s="3">
        <v>0</v>
      </c>
      <c r="T323" s="2">
        <v>4</v>
      </c>
      <c r="U323" s="2">
        <v>0</v>
      </c>
      <c r="V323" s="2">
        <v>0.6</v>
      </c>
      <c r="W323" s="2">
        <f>premier_player_23_24[[#This Row],[Goals]]-premier_player_23_24[[#This Row],[Expected Goals ]]</f>
        <v>0.4</v>
      </c>
      <c r="X323" s="2">
        <v>0.6</v>
      </c>
      <c r="Y323" s="2">
        <v>1.4</v>
      </c>
      <c r="Z323" s="2">
        <v>2</v>
      </c>
      <c r="AA323" s="3">
        <v>29</v>
      </c>
      <c r="AB323" s="3">
        <v>72</v>
      </c>
      <c r="AC323" s="3">
        <v>13</v>
      </c>
      <c r="AD323" s="1">
        <v>7.0000000000000007E-2</v>
      </c>
      <c r="AE323" s="1">
        <v>0.21</v>
      </c>
      <c r="AF323" s="1">
        <v>0.28000000000000003</v>
      </c>
      <c r="AG323" s="1">
        <v>7.0000000000000007E-2</v>
      </c>
      <c r="AH323" s="1">
        <v>0.28000000000000003</v>
      </c>
      <c r="AI323" s="1">
        <v>0.04</v>
      </c>
      <c r="AJ323" s="1">
        <v>0.1</v>
      </c>
      <c r="AK323" s="1">
        <v>0.14000000000000001</v>
      </c>
      <c r="AL323" s="1">
        <v>0.04</v>
      </c>
      <c r="AM323" s="1">
        <v>0.14000000000000001</v>
      </c>
      <c r="AN323" t="s">
        <v>1541</v>
      </c>
    </row>
    <row r="324" spans="1:40" x14ac:dyDescent="0.25">
      <c r="A324" t="s">
        <v>1559</v>
      </c>
      <c r="B324" t="s">
        <v>411</v>
      </c>
      <c r="C324" s="4" t="s">
        <v>1792</v>
      </c>
      <c r="D324" t="s">
        <v>1793</v>
      </c>
      <c r="E324" t="s">
        <v>524</v>
      </c>
      <c r="F324" t="str">
        <f>LEFT(premier_player_23_24[[#This Row],[Position]],2)</f>
        <v>MF</v>
      </c>
      <c r="G324" s="3">
        <v>26</v>
      </c>
      <c r="H32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24" s="3">
        <v>30</v>
      </c>
      <c r="J324" s="3">
        <v>20</v>
      </c>
      <c r="K324" s="2">
        <v>1995</v>
      </c>
      <c r="L324" s="2" t="str">
        <f>IF(premier_player_23_24[[#This Row],[Minutes]]&gt;1000,"More than 1000 minutes","Less than 1000 minutes")</f>
        <v>More than 1000 minutes</v>
      </c>
      <c r="M324" s="2">
        <v>22.2</v>
      </c>
      <c r="N324" s="3">
        <v>4</v>
      </c>
      <c r="O324" s="3">
        <v>1</v>
      </c>
      <c r="P324" s="3">
        <v>5</v>
      </c>
      <c r="Q324" s="3">
        <v>4</v>
      </c>
      <c r="R324" s="3">
        <v>0</v>
      </c>
      <c r="S324" s="3">
        <v>0</v>
      </c>
      <c r="T324" s="2">
        <v>1</v>
      </c>
      <c r="U324" s="2">
        <v>0</v>
      </c>
      <c r="V324" s="2">
        <v>4.2</v>
      </c>
      <c r="W324" s="2">
        <f>premier_player_23_24[[#This Row],[Goals]]-premier_player_23_24[[#This Row],[Expected Goals ]]</f>
        <v>-0.20000000000000018</v>
      </c>
      <c r="X324" s="2">
        <v>4.2</v>
      </c>
      <c r="Y324" s="2">
        <v>3.1</v>
      </c>
      <c r="Z324" s="2">
        <v>7.4</v>
      </c>
      <c r="AA324" s="3">
        <v>127</v>
      </c>
      <c r="AB324" s="3">
        <v>53</v>
      </c>
      <c r="AC324" s="3">
        <v>150</v>
      </c>
      <c r="AD324" s="1">
        <v>0.18</v>
      </c>
      <c r="AE324" s="1">
        <v>0.05</v>
      </c>
      <c r="AF324" s="1">
        <v>0.23</v>
      </c>
      <c r="AG324" s="1">
        <v>0.18</v>
      </c>
      <c r="AH324" s="1">
        <v>0.23</v>
      </c>
      <c r="AI324" s="1">
        <v>0.19</v>
      </c>
      <c r="AJ324" s="1">
        <v>0.14000000000000001</v>
      </c>
      <c r="AK324" s="1">
        <v>0.33</v>
      </c>
      <c r="AL324" s="1">
        <v>0.19</v>
      </c>
      <c r="AM324" s="1">
        <v>0.33</v>
      </c>
      <c r="AN324" t="s">
        <v>1541</v>
      </c>
    </row>
    <row r="325" spans="1:40" x14ac:dyDescent="0.25">
      <c r="A325" t="s">
        <v>1587</v>
      </c>
      <c r="B325" t="s">
        <v>804</v>
      </c>
      <c r="C325" s="4" t="s">
        <v>1788</v>
      </c>
      <c r="D325" t="s">
        <v>1789</v>
      </c>
      <c r="E325" t="s">
        <v>108</v>
      </c>
      <c r="F325" t="str">
        <f>LEFT(premier_player_23_24[[#This Row],[Position]],2)</f>
        <v>DF</v>
      </c>
      <c r="G325" s="3">
        <v>25</v>
      </c>
      <c r="H32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25" s="3">
        <v>8</v>
      </c>
      <c r="J325" s="3">
        <v>4</v>
      </c>
      <c r="K325" s="2">
        <v>400</v>
      </c>
      <c r="L325" s="2" t="str">
        <f>IF(premier_player_23_24[[#This Row],[Minutes]]&gt;1000,"More than 1000 minutes","Less than 1000 minutes")</f>
        <v>Less than 1000 minutes</v>
      </c>
      <c r="M325" s="2">
        <v>4.4000000000000004</v>
      </c>
      <c r="N325" s="3">
        <v>1</v>
      </c>
      <c r="O325" s="3">
        <v>0</v>
      </c>
      <c r="P325" s="3">
        <v>1</v>
      </c>
      <c r="Q325" s="3">
        <v>1</v>
      </c>
      <c r="R325" s="3">
        <v>0</v>
      </c>
      <c r="S325" s="3">
        <v>0</v>
      </c>
      <c r="T325" s="2">
        <v>1</v>
      </c>
      <c r="U325" s="2">
        <v>0</v>
      </c>
      <c r="V325" s="2">
        <v>0.3</v>
      </c>
      <c r="W325" s="2">
        <f>premier_player_23_24[[#This Row],[Goals]]-premier_player_23_24[[#This Row],[Expected Goals ]]</f>
        <v>0.7</v>
      </c>
      <c r="X325" s="2">
        <v>0.3</v>
      </c>
      <c r="Y325" s="2">
        <v>0</v>
      </c>
      <c r="Z325" s="2">
        <v>0.3</v>
      </c>
      <c r="AA325" s="3">
        <v>0</v>
      </c>
      <c r="AB325" s="3">
        <v>7</v>
      </c>
      <c r="AC325" s="3">
        <v>1</v>
      </c>
      <c r="AD325" s="1">
        <v>0.23</v>
      </c>
      <c r="AE325" s="1">
        <v>0</v>
      </c>
      <c r="AF325" s="1">
        <v>0.23</v>
      </c>
      <c r="AG325" s="1">
        <v>0.23</v>
      </c>
      <c r="AH325" s="1">
        <v>0.23</v>
      </c>
      <c r="AI325" s="1">
        <v>0.06</v>
      </c>
      <c r="AJ325" s="1">
        <v>0</v>
      </c>
      <c r="AK325" s="1">
        <v>0.06</v>
      </c>
      <c r="AL325" s="1">
        <v>0.06</v>
      </c>
      <c r="AM325" s="1">
        <v>0.06</v>
      </c>
      <c r="AN325" t="s">
        <v>1541</v>
      </c>
    </row>
    <row r="326" spans="1:40" x14ac:dyDescent="0.25">
      <c r="A326" t="s">
        <v>1562</v>
      </c>
      <c r="B326" t="s">
        <v>57</v>
      </c>
      <c r="C326" s="4" t="s">
        <v>1744</v>
      </c>
      <c r="D326" t="s">
        <v>1745</v>
      </c>
      <c r="E326" t="s">
        <v>108</v>
      </c>
      <c r="F326" t="str">
        <f>LEFT(premier_player_23_24[[#This Row],[Position]],2)</f>
        <v>DF</v>
      </c>
      <c r="G326" s="3">
        <v>26</v>
      </c>
      <c r="H32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26" s="3">
        <v>22</v>
      </c>
      <c r="J326" s="3">
        <v>20</v>
      </c>
      <c r="K326" s="2">
        <v>1660</v>
      </c>
      <c r="L326" s="2" t="str">
        <f>IF(premier_player_23_24[[#This Row],[Minutes]]&gt;1000,"More than 1000 minutes","Less than 1000 minutes")</f>
        <v>More than 1000 minutes</v>
      </c>
      <c r="M326" s="2">
        <v>18.399999999999999</v>
      </c>
      <c r="N326" s="3">
        <v>0</v>
      </c>
      <c r="O326" s="3">
        <v>4</v>
      </c>
      <c r="P326" s="3">
        <v>4</v>
      </c>
      <c r="Q326" s="3">
        <v>0</v>
      </c>
      <c r="R326" s="3">
        <v>0</v>
      </c>
      <c r="S326" s="3">
        <v>0</v>
      </c>
      <c r="T326" s="2">
        <v>5</v>
      </c>
      <c r="U326" s="2">
        <v>0</v>
      </c>
      <c r="V326" s="2">
        <v>1.3</v>
      </c>
      <c r="W326" s="2">
        <f>premier_player_23_24[[#This Row],[Goals]]-premier_player_23_24[[#This Row],[Expected Goals ]]</f>
        <v>-1.3</v>
      </c>
      <c r="X326" s="2">
        <v>1.3</v>
      </c>
      <c r="Y326" s="2">
        <v>1.4</v>
      </c>
      <c r="Z326" s="2">
        <v>2.7</v>
      </c>
      <c r="AA326" s="3">
        <v>11</v>
      </c>
      <c r="AB326" s="3">
        <v>67</v>
      </c>
      <c r="AC326" s="3">
        <v>14</v>
      </c>
      <c r="AD326" s="1">
        <v>0</v>
      </c>
      <c r="AE326" s="1">
        <v>0.22</v>
      </c>
      <c r="AF326" s="1">
        <v>0.22</v>
      </c>
      <c r="AG326" s="1">
        <v>0</v>
      </c>
      <c r="AH326" s="1">
        <v>0.22</v>
      </c>
      <c r="AI326" s="1">
        <v>7.0000000000000007E-2</v>
      </c>
      <c r="AJ326" s="1">
        <v>7.0000000000000007E-2</v>
      </c>
      <c r="AK326" s="1">
        <v>0.15</v>
      </c>
      <c r="AL326" s="1">
        <v>7.0000000000000007E-2</v>
      </c>
      <c r="AM326" s="1">
        <v>0.15</v>
      </c>
      <c r="AN326" t="s">
        <v>1541</v>
      </c>
    </row>
    <row r="327" spans="1:40" x14ac:dyDescent="0.25">
      <c r="A327" t="s">
        <v>1561</v>
      </c>
      <c r="B327" t="s">
        <v>196</v>
      </c>
      <c r="C327" s="4" t="s">
        <v>1768</v>
      </c>
      <c r="D327" t="s">
        <v>1769</v>
      </c>
      <c r="E327" t="s">
        <v>86</v>
      </c>
      <c r="F327" t="str">
        <f>LEFT(premier_player_23_24[[#This Row],[Position]],2)</f>
        <v>MF</v>
      </c>
      <c r="G327" s="3">
        <v>23</v>
      </c>
      <c r="H32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27" s="3">
        <v>33</v>
      </c>
      <c r="J327" s="3">
        <v>20</v>
      </c>
      <c r="K327" s="2">
        <v>1982</v>
      </c>
      <c r="L327" s="2" t="str">
        <f>IF(premier_player_23_24[[#This Row],[Minutes]]&gt;1000,"More than 1000 minutes","Less than 1000 minutes")</f>
        <v>More than 1000 minutes</v>
      </c>
      <c r="M327" s="2">
        <v>22</v>
      </c>
      <c r="N327" s="3">
        <v>4</v>
      </c>
      <c r="O327" s="3">
        <v>0</v>
      </c>
      <c r="P327" s="3">
        <v>4</v>
      </c>
      <c r="Q327" s="3">
        <v>4</v>
      </c>
      <c r="R327" s="3">
        <v>0</v>
      </c>
      <c r="S327" s="3">
        <v>0</v>
      </c>
      <c r="T327" s="2">
        <v>4</v>
      </c>
      <c r="U327" s="2">
        <v>0</v>
      </c>
      <c r="V327" s="2">
        <v>2.7</v>
      </c>
      <c r="W327" s="2">
        <f>premier_player_23_24[[#This Row],[Goals]]-premier_player_23_24[[#This Row],[Expected Goals ]]</f>
        <v>1.2999999999999998</v>
      </c>
      <c r="X327" s="2">
        <v>2.7</v>
      </c>
      <c r="Y327" s="2">
        <v>0.5</v>
      </c>
      <c r="Z327" s="2">
        <v>3.2</v>
      </c>
      <c r="AA327" s="3">
        <v>57</v>
      </c>
      <c r="AB327" s="3">
        <v>72</v>
      </c>
      <c r="AC327" s="3">
        <v>101</v>
      </c>
      <c r="AD327" s="1">
        <v>0.18</v>
      </c>
      <c r="AE327" s="1">
        <v>0</v>
      </c>
      <c r="AF327" s="1">
        <v>0.18</v>
      </c>
      <c r="AG327" s="1">
        <v>0.18</v>
      </c>
      <c r="AH327" s="1">
        <v>0.18</v>
      </c>
      <c r="AI327" s="1">
        <v>0.12</v>
      </c>
      <c r="AJ327" s="1">
        <v>0.02</v>
      </c>
      <c r="AK327" s="1">
        <v>0.15</v>
      </c>
      <c r="AL327" s="1">
        <v>0.12</v>
      </c>
      <c r="AM327" s="1">
        <v>0.15</v>
      </c>
      <c r="AN327" t="s">
        <v>1541</v>
      </c>
    </row>
    <row r="328" spans="1:40" x14ac:dyDescent="0.25">
      <c r="A328" t="s">
        <v>1578</v>
      </c>
      <c r="B328" t="s">
        <v>360</v>
      </c>
      <c r="C328" s="4" t="s">
        <v>1776</v>
      </c>
      <c r="D328" t="s">
        <v>1777</v>
      </c>
      <c r="E328" t="s">
        <v>86</v>
      </c>
      <c r="F328" t="str">
        <f>LEFT(premier_player_23_24[[#This Row],[Position]],2)</f>
        <v>MF</v>
      </c>
      <c r="G328" s="3">
        <v>25</v>
      </c>
      <c r="H32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28" s="3">
        <v>19</v>
      </c>
      <c r="J328" s="3">
        <v>12</v>
      </c>
      <c r="K328" s="2">
        <v>1019</v>
      </c>
      <c r="L328" s="2" t="str">
        <f>IF(premier_player_23_24[[#This Row],[Minutes]]&gt;1000,"More than 1000 minutes","Less than 1000 minutes")</f>
        <v>More than 1000 minutes</v>
      </c>
      <c r="M328" s="2">
        <v>11.3</v>
      </c>
      <c r="N328" s="3">
        <v>2</v>
      </c>
      <c r="O328" s="3">
        <v>0</v>
      </c>
      <c r="P328" s="3">
        <v>2</v>
      </c>
      <c r="Q328" s="3">
        <v>2</v>
      </c>
      <c r="R328" s="3">
        <v>0</v>
      </c>
      <c r="S328" s="3">
        <v>0</v>
      </c>
      <c r="T328" s="2">
        <v>4</v>
      </c>
      <c r="U328" s="2">
        <v>0</v>
      </c>
      <c r="V328" s="2">
        <v>2.8</v>
      </c>
      <c r="W328" s="2">
        <f>premier_player_23_24[[#This Row],[Goals]]-premier_player_23_24[[#This Row],[Expected Goals ]]</f>
        <v>-0.79999999999999982</v>
      </c>
      <c r="X328" s="2">
        <v>2.8</v>
      </c>
      <c r="Y328" s="2">
        <v>0.7</v>
      </c>
      <c r="Z328" s="2">
        <v>3.4</v>
      </c>
      <c r="AA328" s="3">
        <v>25</v>
      </c>
      <c r="AB328" s="3">
        <v>19</v>
      </c>
      <c r="AC328" s="3">
        <v>53</v>
      </c>
      <c r="AD328" s="1">
        <v>0.18</v>
      </c>
      <c r="AE328" s="1">
        <v>0</v>
      </c>
      <c r="AF328" s="1">
        <v>0.18</v>
      </c>
      <c r="AG328" s="1">
        <v>0.18</v>
      </c>
      <c r="AH328" s="1">
        <v>0.18</v>
      </c>
      <c r="AI328" s="1">
        <v>0.25</v>
      </c>
      <c r="AJ328" s="1">
        <v>0.06</v>
      </c>
      <c r="AK328" s="1">
        <v>0.3</v>
      </c>
      <c r="AL328" s="1">
        <v>0.25</v>
      </c>
      <c r="AM328" s="1">
        <v>0.3</v>
      </c>
      <c r="AN328" t="s">
        <v>1541</v>
      </c>
    </row>
    <row r="329" spans="1:40" x14ac:dyDescent="0.25">
      <c r="A329" t="s">
        <v>1573</v>
      </c>
      <c r="B329" t="s">
        <v>432</v>
      </c>
      <c r="C329" s="4" t="s">
        <v>1786</v>
      </c>
      <c r="D329" t="s">
        <v>1787</v>
      </c>
      <c r="E329" t="s">
        <v>108</v>
      </c>
      <c r="F329" t="str">
        <f>LEFT(premier_player_23_24[[#This Row],[Position]],2)</f>
        <v>DF</v>
      </c>
      <c r="G329" s="3">
        <v>28</v>
      </c>
      <c r="H32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29" s="3">
        <v>14</v>
      </c>
      <c r="J329" s="3">
        <v>14</v>
      </c>
      <c r="K329" s="2">
        <v>1169</v>
      </c>
      <c r="L329" s="2" t="str">
        <f>IF(premier_player_23_24[[#This Row],[Minutes]]&gt;1000,"More than 1000 minutes","Less than 1000 minutes")</f>
        <v>More than 1000 minutes</v>
      </c>
      <c r="M329" s="2">
        <v>13</v>
      </c>
      <c r="N329" s="3">
        <v>1</v>
      </c>
      <c r="O329" s="3">
        <v>1</v>
      </c>
      <c r="P329" s="3">
        <v>2</v>
      </c>
      <c r="Q329" s="3">
        <v>1</v>
      </c>
      <c r="R329" s="3">
        <v>0</v>
      </c>
      <c r="S329" s="3">
        <v>0</v>
      </c>
      <c r="T329" s="2">
        <v>4</v>
      </c>
      <c r="U329" s="2">
        <v>0</v>
      </c>
      <c r="V329" s="2">
        <v>1.1000000000000001</v>
      </c>
      <c r="W329" s="2">
        <f>premier_player_23_24[[#This Row],[Goals]]-premier_player_23_24[[#This Row],[Expected Goals ]]</f>
        <v>-0.10000000000000009</v>
      </c>
      <c r="X329" s="2">
        <v>1.1000000000000001</v>
      </c>
      <c r="Y329" s="2">
        <v>0.6</v>
      </c>
      <c r="Z329" s="2">
        <v>1.7</v>
      </c>
      <c r="AA329" s="3">
        <v>6</v>
      </c>
      <c r="AB329" s="3">
        <v>37</v>
      </c>
      <c r="AC329" s="3">
        <v>2</v>
      </c>
      <c r="AD329" s="1">
        <v>0.08</v>
      </c>
      <c r="AE329" s="1">
        <v>0.08</v>
      </c>
      <c r="AF329" s="1">
        <v>0.15</v>
      </c>
      <c r="AG329" s="1">
        <v>0.08</v>
      </c>
      <c r="AH329" s="1">
        <v>0.15</v>
      </c>
      <c r="AI329" s="1">
        <v>0.08</v>
      </c>
      <c r="AJ329" s="1">
        <v>0.05</v>
      </c>
      <c r="AK329" s="1">
        <v>0.13</v>
      </c>
      <c r="AL329" s="1">
        <v>0.08</v>
      </c>
      <c r="AM329" s="1">
        <v>0.13</v>
      </c>
      <c r="AN329" t="s">
        <v>1541</v>
      </c>
    </row>
    <row r="330" spans="1:40" x14ac:dyDescent="0.25">
      <c r="A330" t="s">
        <v>1569</v>
      </c>
      <c r="B330" t="s">
        <v>57</v>
      </c>
      <c r="C330" s="4" t="s">
        <v>1744</v>
      </c>
      <c r="D330" t="s">
        <v>1745</v>
      </c>
      <c r="E330" t="s">
        <v>36</v>
      </c>
      <c r="F330" t="str">
        <f>LEFT(premier_player_23_24[[#This Row],[Position]],2)</f>
        <v>MF</v>
      </c>
      <c r="G330" s="3">
        <v>29</v>
      </c>
      <c r="H33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30" s="3">
        <v>23</v>
      </c>
      <c r="J330" s="3">
        <v>14</v>
      </c>
      <c r="K330" s="2">
        <v>1304</v>
      </c>
      <c r="L330" s="2" t="str">
        <f>IF(premier_player_23_24[[#This Row],[Minutes]]&gt;1000,"More than 1000 minutes","Less than 1000 minutes")</f>
        <v>More than 1000 minutes</v>
      </c>
      <c r="M330" s="2">
        <v>14.5</v>
      </c>
      <c r="N330" s="3">
        <v>1</v>
      </c>
      <c r="O330" s="3">
        <v>1</v>
      </c>
      <c r="P330" s="3">
        <v>2</v>
      </c>
      <c r="Q330" s="3">
        <v>1</v>
      </c>
      <c r="R330" s="3">
        <v>0</v>
      </c>
      <c r="S330" s="3">
        <v>0</v>
      </c>
      <c r="T330" s="2">
        <v>4</v>
      </c>
      <c r="U330" s="2">
        <v>0</v>
      </c>
      <c r="V330" s="2">
        <v>1</v>
      </c>
      <c r="W330" s="2">
        <f>premier_player_23_24[[#This Row],[Goals]]-premier_player_23_24[[#This Row],[Expected Goals ]]</f>
        <v>0</v>
      </c>
      <c r="X330" s="2">
        <v>1</v>
      </c>
      <c r="Y330" s="2">
        <v>1.3</v>
      </c>
      <c r="Z330" s="2">
        <v>2.2000000000000002</v>
      </c>
      <c r="AA330" s="3">
        <v>21</v>
      </c>
      <c r="AB330" s="3">
        <v>51</v>
      </c>
      <c r="AC330" s="3">
        <v>39</v>
      </c>
      <c r="AD330" s="1">
        <v>7.0000000000000007E-2</v>
      </c>
      <c r="AE330" s="1">
        <v>7.0000000000000007E-2</v>
      </c>
      <c r="AF330" s="1">
        <v>0.14000000000000001</v>
      </c>
      <c r="AG330" s="1">
        <v>7.0000000000000007E-2</v>
      </c>
      <c r="AH330" s="1">
        <v>0.14000000000000001</v>
      </c>
      <c r="AI330" s="1">
        <v>7.0000000000000007E-2</v>
      </c>
      <c r="AJ330" s="1">
        <v>0.09</v>
      </c>
      <c r="AK330" s="1">
        <v>0.16</v>
      </c>
      <c r="AL330" s="1">
        <v>7.0000000000000007E-2</v>
      </c>
      <c r="AM330" s="1">
        <v>0.16</v>
      </c>
      <c r="AN330" t="s">
        <v>1541</v>
      </c>
    </row>
    <row r="331" spans="1:40" x14ac:dyDescent="0.25">
      <c r="A331" t="s">
        <v>1551</v>
      </c>
      <c r="B331" t="s">
        <v>1120</v>
      </c>
      <c r="C331" s="4" t="s">
        <v>1806</v>
      </c>
      <c r="D331" t="s">
        <v>1807</v>
      </c>
      <c r="E331" t="s">
        <v>108</v>
      </c>
      <c r="F331" t="str">
        <f>LEFT(premier_player_23_24[[#This Row],[Position]],2)</f>
        <v>DF</v>
      </c>
      <c r="G331" s="3">
        <v>24</v>
      </c>
      <c r="H33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31" s="3">
        <v>21</v>
      </c>
      <c r="J331" s="3">
        <v>21</v>
      </c>
      <c r="K331" s="2">
        <v>1846</v>
      </c>
      <c r="L331" s="2" t="str">
        <f>IF(premier_player_23_24[[#This Row],[Minutes]]&gt;1000,"More than 1000 minutes","Less than 1000 minutes")</f>
        <v>More than 1000 minutes</v>
      </c>
      <c r="M331" s="2">
        <v>20.5</v>
      </c>
      <c r="N331" s="3">
        <v>2</v>
      </c>
      <c r="O331" s="3">
        <v>0</v>
      </c>
      <c r="P331" s="3">
        <v>2</v>
      </c>
      <c r="Q331" s="3">
        <v>2</v>
      </c>
      <c r="R331" s="3">
        <v>0</v>
      </c>
      <c r="S331" s="3">
        <v>0</v>
      </c>
      <c r="T331" s="2">
        <v>3</v>
      </c>
      <c r="U331" s="2">
        <v>0</v>
      </c>
      <c r="V331" s="2">
        <v>1.1000000000000001</v>
      </c>
      <c r="W331" s="2">
        <f>premier_player_23_24[[#This Row],[Goals]]-premier_player_23_24[[#This Row],[Expected Goals ]]</f>
        <v>0.89999999999999991</v>
      </c>
      <c r="X331" s="2">
        <v>1.1000000000000001</v>
      </c>
      <c r="Y331" s="2">
        <v>0.1</v>
      </c>
      <c r="Z331" s="2">
        <v>1.2</v>
      </c>
      <c r="AA331" s="3">
        <v>10</v>
      </c>
      <c r="AB331" s="3">
        <v>37</v>
      </c>
      <c r="AC331" s="3">
        <v>4</v>
      </c>
      <c r="AD331" s="1">
        <v>0.1</v>
      </c>
      <c r="AE331" s="1">
        <v>0</v>
      </c>
      <c r="AF331" s="1">
        <v>0.1</v>
      </c>
      <c r="AG331" s="1">
        <v>0.1</v>
      </c>
      <c r="AH331" s="1">
        <v>0.1</v>
      </c>
      <c r="AI331" s="1">
        <v>0.05</v>
      </c>
      <c r="AJ331" s="1">
        <v>0.01</v>
      </c>
      <c r="AK331" s="1">
        <v>0.06</v>
      </c>
      <c r="AL331" s="1">
        <v>0.05</v>
      </c>
      <c r="AM331" s="1">
        <v>0.06</v>
      </c>
      <c r="AN331" t="s">
        <v>1541</v>
      </c>
    </row>
    <row r="332" spans="1:40" x14ac:dyDescent="0.25">
      <c r="A332" t="s">
        <v>1554</v>
      </c>
      <c r="B332" t="s">
        <v>978</v>
      </c>
      <c r="C332" s="4" t="s">
        <v>1782</v>
      </c>
      <c r="D332" t="s">
        <v>1783</v>
      </c>
      <c r="E332" t="s">
        <v>108</v>
      </c>
      <c r="F332" t="str">
        <f>LEFT(premier_player_23_24[[#This Row],[Position]],2)</f>
        <v>DF</v>
      </c>
      <c r="G332" s="3">
        <v>22</v>
      </c>
      <c r="H33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32" s="3">
        <v>24</v>
      </c>
      <c r="J332" s="3">
        <v>21</v>
      </c>
      <c r="K332" s="2">
        <v>1729</v>
      </c>
      <c r="L332" s="2" t="str">
        <f>IF(premier_player_23_24[[#This Row],[Minutes]]&gt;1000,"More than 1000 minutes","Less than 1000 minutes")</f>
        <v>More than 1000 minutes</v>
      </c>
      <c r="M332" s="2">
        <v>19.2</v>
      </c>
      <c r="N332" s="3">
        <v>0</v>
      </c>
      <c r="O332" s="3">
        <v>2</v>
      </c>
      <c r="P332" s="3">
        <v>2</v>
      </c>
      <c r="Q332" s="3">
        <v>0</v>
      </c>
      <c r="R332" s="3">
        <v>0</v>
      </c>
      <c r="S332" s="3">
        <v>0</v>
      </c>
      <c r="T332" s="2">
        <v>7</v>
      </c>
      <c r="U332" s="2">
        <v>0</v>
      </c>
      <c r="V332" s="2">
        <v>0.2</v>
      </c>
      <c r="W332" s="2">
        <f>premier_player_23_24[[#This Row],[Goals]]-premier_player_23_24[[#This Row],[Expected Goals ]]</f>
        <v>-0.2</v>
      </c>
      <c r="X332" s="2">
        <v>0.2</v>
      </c>
      <c r="Y332" s="2">
        <v>2.1</v>
      </c>
      <c r="Z332" s="2">
        <v>2.2999999999999998</v>
      </c>
      <c r="AA332" s="3">
        <v>60</v>
      </c>
      <c r="AB332" s="3">
        <v>54</v>
      </c>
      <c r="AC332" s="3">
        <v>85</v>
      </c>
      <c r="AD332" s="1">
        <v>0</v>
      </c>
      <c r="AE332" s="1">
        <v>0.1</v>
      </c>
      <c r="AF332" s="1">
        <v>0.1</v>
      </c>
      <c r="AG332" s="1">
        <v>0</v>
      </c>
      <c r="AH332" s="1">
        <v>0.1</v>
      </c>
      <c r="AI332" s="1">
        <v>0.01</v>
      </c>
      <c r="AJ332" s="1">
        <v>0.11</v>
      </c>
      <c r="AK332" s="1">
        <v>0.12</v>
      </c>
      <c r="AL332" s="1">
        <v>0.01</v>
      </c>
      <c r="AM332" s="1">
        <v>0.12</v>
      </c>
      <c r="AN332" t="s">
        <v>1541</v>
      </c>
    </row>
    <row r="333" spans="1:40" x14ac:dyDescent="0.25">
      <c r="A333" t="s">
        <v>1550</v>
      </c>
      <c r="B333" t="s">
        <v>57</v>
      </c>
      <c r="C333" s="4" t="s">
        <v>1744</v>
      </c>
      <c r="D333" t="s">
        <v>1745</v>
      </c>
      <c r="E333" t="s">
        <v>108</v>
      </c>
      <c r="F333" t="str">
        <f>LEFT(premier_player_23_24[[#This Row],[Position]],2)</f>
        <v>DF</v>
      </c>
      <c r="G333" s="3">
        <v>21</v>
      </c>
      <c r="H33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33" s="3">
        <v>30</v>
      </c>
      <c r="J333" s="3">
        <v>28</v>
      </c>
      <c r="K333" s="2">
        <v>2469</v>
      </c>
      <c r="L333" s="2" t="str">
        <f>IF(premier_player_23_24[[#This Row],[Minutes]]&gt;1000,"More than 1000 minutes","Less than 1000 minutes")</f>
        <v>More than 1000 minutes</v>
      </c>
      <c r="M333" s="2">
        <v>27.4</v>
      </c>
      <c r="N333" s="3">
        <v>1</v>
      </c>
      <c r="O333" s="3">
        <v>0</v>
      </c>
      <c r="P333" s="3">
        <v>1</v>
      </c>
      <c r="Q333" s="3">
        <v>1</v>
      </c>
      <c r="R333" s="3">
        <v>0</v>
      </c>
      <c r="S333" s="3">
        <v>0</v>
      </c>
      <c r="T333" s="2">
        <v>3</v>
      </c>
      <c r="U333" s="2">
        <v>0</v>
      </c>
      <c r="V333" s="2">
        <v>0.6</v>
      </c>
      <c r="W333" s="2">
        <f>premier_player_23_24[[#This Row],[Goals]]-premier_player_23_24[[#This Row],[Expected Goals ]]</f>
        <v>0.4</v>
      </c>
      <c r="X333" s="2">
        <v>0.6</v>
      </c>
      <c r="Y333" s="2">
        <v>0.3</v>
      </c>
      <c r="Z333" s="2">
        <v>0.9</v>
      </c>
      <c r="AA333" s="3">
        <v>15</v>
      </c>
      <c r="AB333" s="3">
        <v>54</v>
      </c>
      <c r="AC333" s="3">
        <v>1</v>
      </c>
      <c r="AD333" s="1">
        <v>0.04</v>
      </c>
      <c r="AE333" s="1">
        <v>0</v>
      </c>
      <c r="AF333" s="1">
        <v>0.04</v>
      </c>
      <c r="AG333" s="1">
        <v>0.04</v>
      </c>
      <c r="AH333" s="1">
        <v>0.04</v>
      </c>
      <c r="AI333" s="1">
        <v>0.02</v>
      </c>
      <c r="AJ333" s="1">
        <v>0.01</v>
      </c>
      <c r="AK333" s="1">
        <v>0.03</v>
      </c>
      <c r="AL333" s="1">
        <v>0.02</v>
      </c>
      <c r="AM333" s="1">
        <v>0.03</v>
      </c>
      <c r="AN333" t="s">
        <v>1541</v>
      </c>
    </row>
    <row r="334" spans="1:40" x14ac:dyDescent="0.25">
      <c r="A334" t="s">
        <v>1538</v>
      </c>
      <c r="B334" t="s">
        <v>207</v>
      </c>
      <c r="C334" s="4" t="s">
        <v>1746</v>
      </c>
      <c r="D334" t="s">
        <v>1747</v>
      </c>
      <c r="E334" t="s">
        <v>77</v>
      </c>
      <c r="F334" t="str">
        <f>LEFT(premier_player_23_24[[#This Row],[Position]],2)</f>
        <v>GK</v>
      </c>
      <c r="G334" s="3">
        <v>30</v>
      </c>
      <c r="H33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34" s="3">
        <v>38</v>
      </c>
      <c r="J334" s="3">
        <v>38</v>
      </c>
      <c r="K334" s="2">
        <v>3405</v>
      </c>
      <c r="L334" s="2" t="str">
        <f>IF(premier_player_23_24[[#This Row],[Minutes]]&gt;1000,"More than 1000 minutes","Less than 1000 minutes")</f>
        <v>More than 1000 minutes</v>
      </c>
      <c r="M334" s="2">
        <v>37.799999999999997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2">
        <v>3</v>
      </c>
      <c r="U334" s="2">
        <v>0</v>
      </c>
      <c r="V334" s="2">
        <v>0</v>
      </c>
      <c r="W334" s="2">
        <f>premier_player_23_24[[#This Row],[Goals]]-premier_player_23_24[[#This Row],[Expected Goals ]]</f>
        <v>0</v>
      </c>
      <c r="X334" s="2">
        <v>0</v>
      </c>
      <c r="Y334" s="2">
        <v>0</v>
      </c>
      <c r="Z334" s="2">
        <v>0</v>
      </c>
      <c r="AA334" s="3">
        <v>0</v>
      </c>
      <c r="AB334" s="3">
        <v>1</v>
      </c>
      <c r="AC334" s="3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v>0</v>
      </c>
      <c r="AL334" s="1">
        <v>0</v>
      </c>
      <c r="AM334" s="1">
        <v>0</v>
      </c>
      <c r="AN334" t="s">
        <v>1541</v>
      </c>
    </row>
    <row r="335" spans="1:40" x14ac:dyDescent="0.25">
      <c r="A335" t="s">
        <v>1557</v>
      </c>
      <c r="B335" t="s">
        <v>942</v>
      </c>
      <c r="C335" s="4" t="s">
        <v>1774</v>
      </c>
      <c r="D335" t="s">
        <v>1775</v>
      </c>
      <c r="E335" t="s">
        <v>108</v>
      </c>
      <c r="F335" t="str">
        <f>LEFT(premier_player_23_24[[#This Row],[Position]],2)</f>
        <v>DF</v>
      </c>
      <c r="G335" s="3">
        <v>29</v>
      </c>
      <c r="H33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35" s="3">
        <v>21</v>
      </c>
      <c r="J335" s="3">
        <v>21</v>
      </c>
      <c r="K335" s="2">
        <v>1720</v>
      </c>
      <c r="L335" s="2" t="str">
        <f>IF(premier_player_23_24[[#This Row],[Minutes]]&gt;1000,"More than 1000 minutes","Less than 1000 minutes")</f>
        <v>More than 1000 minutes</v>
      </c>
      <c r="M335" s="2">
        <v>19.100000000000001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2">
        <v>0</v>
      </c>
      <c r="U335" s="2">
        <v>0</v>
      </c>
      <c r="V335" s="2">
        <v>0.3</v>
      </c>
      <c r="W335" s="2">
        <f>premier_player_23_24[[#This Row],[Goals]]-premier_player_23_24[[#This Row],[Expected Goals ]]</f>
        <v>-0.3</v>
      </c>
      <c r="X335" s="2">
        <v>0.3</v>
      </c>
      <c r="Y335" s="2">
        <v>0.5</v>
      </c>
      <c r="Z335" s="2">
        <v>0.7</v>
      </c>
      <c r="AA335" s="3">
        <v>32</v>
      </c>
      <c r="AB335" s="3">
        <v>76</v>
      </c>
      <c r="AC335" s="3">
        <v>10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>
        <v>0.01</v>
      </c>
      <c r="AJ335" s="1">
        <v>0.02</v>
      </c>
      <c r="AK335" s="1">
        <v>0.04</v>
      </c>
      <c r="AL335" s="1">
        <v>0.01</v>
      </c>
      <c r="AM335" s="1">
        <v>0.04</v>
      </c>
      <c r="AN335" t="s">
        <v>1541</v>
      </c>
    </row>
    <row r="336" spans="1:40" x14ac:dyDescent="0.25">
      <c r="A336" t="s">
        <v>1575</v>
      </c>
      <c r="B336" t="s">
        <v>1407</v>
      </c>
      <c r="C336" s="4" t="s">
        <v>1846</v>
      </c>
      <c r="D336" t="s">
        <v>1847</v>
      </c>
      <c r="E336" t="s">
        <v>36</v>
      </c>
      <c r="F336" t="str">
        <f>LEFT(premier_player_23_24[[#This Row],[Position]],2)</f>
        <v>MF</v>
      </c>
      <c r="G336" s="3">
        <v>29</v>
      </c>
      <c r="H33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36" s="3">
        <v>13</v>
      </c>
      <c r="J336" s="3">
        <v>13</v>
      </c>
      <c r="K336" s="2">
        <v>1130</v>
      </c>
      <c r="L336" s="2" t="str">
        <f>IF(premier_player_23_24[[#This Row],[Minutes]]&gt;1000,"More than 1000 minutes","Less than 1000 minutes")</f>
        <v>More than 1000 minutes</v>
      </c>
      <c r="M336" s="2">
        <v>12.6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2">
        <v>5</v>
      </c>
      <c r="U336" s="2">
        <v>0</v>
      </c>
      <c r="V336" s="2">
        <v>0.2</v>
      </c>
      <c r="W336" s="2">
        <f>premier_player_23_24[[#This Row],[Goals]]-premier_player_23_24[[#This Row],[Expected Goals ]]</f>
        <v>-0.2</v>
      </c>
      <c r="X336" s="2">
        <v>0.2</v>
      </c>
      <c r="Y336" s="2">
        <v>0.4</v>
      </c>
      <c r="Z336" s="2">
        <v>0.6</v>
      </c>
      <c r="AA336" s="3">
        <v>1</v>
      </c>
      <c r="AB336" s="3">
        <v>36</v>
      </c>
      <c r="AC336" s="3">
        <v>5</v>
      </c>
      <c r="AD336" s="1">
        <v>0</v>
      </c>
      <c r="AE336" s="1">
        <v>0</v>
      </c>
      <c r="AF336" s="1">
        <v>0</v>
      </c>
      <c r="AG336" s="1">
        <v>0</v>
      </c>
      <c r="AH336" s="1">
        <v>0</v>
      </c>
      <c r="AI336" s="1">
        <v>0.01</v>
      </c>
      <c r="AJ336" s="1">
        <v>0.03</v>
      </c>
      <c r="AK336" s="1">
        <v>0.05</v>
      </c>
      <c r="AL336" s="1">
        <v>0.01</v>
      </c>
      <c r="AM336" s="1">
        <v>0.05</v>
      </c>
      <c r="AN336" t="s">
        <v>1541</v>
      </c>
    </row>
    <row r="337" spans="1:40" x14ac:dyDescent="0.25">
      <c r="A337" t="s">
        <v>1580</v>
      </c>
      <c r="B337" t="s">
        <v>1424</v>
      </c>
      <c r="C337" s="4" t="s">
        <v>1804</v>
      </c>
      <c r="D337" t="s">
        <v>1805</v>
      </c>
      <c r="E337" t="s">
        <v>36</v>
      </c>
      <c r="F337" t="str">
        <f>LEFT(premier_player_23_24[[#This Row],[Position]],2)</f>
        <v>MF</v>
      </c>
      <c r="G337" s="3">
        <v>30</v>
      </c>
      <c r="H33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37" s="3">
        <v>27</v>
      </c>
      <c r="J337" s="3">
        <v>11</v>
      </c>
      <c r="K337" s="2">
        <v>1101</v>
      </c>
      <c r="L337" s="2" t="str">
        <f>IF(premier_player_23_24[[#This Row],[Minutes]]&gt;1000,"More than 1000 minutes","Less than 1000 minutes")</f>
        <v>More than 1000 minutes</v>
      </c>
      <c r="M337" s="2">
        <v>12.2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2">
        <v>1</v>
      </c>
      <c r="U337" s="2">
        <v>0</v>
      </c>
      <c r="V337" s="2">
        <v>0.6</v>
      </c>
      <c r="W337" s="2">
        <f>premier_player_23_24[[#This Row],[Goals]]-premier_player_23_24[[#This Row],[Expected Goals ]]</f>
        <v>-0.6</v>
      </c>
      <c r="X337" s="2">
        <v>0.6</v>
      </c>
      <c r="Y337" s="2">
        <v>0.4</v>
      </c>
      <c r="Z337" s="2">
        <v>1.1000000000000001</v>
      </c>
      <c r="AA337" s="3">
        <v>10</v>
      </c>
      <c r="AB337" s="3">
        <v>34</v>
      </c>
      <c r="AC337" s="3">
        <v>15</v>
      </c>
      <c r="AD337" s="1">
        <v>0</v>
      </c>
      <c r="AE337" s="1">
        <v>0</v>
      </c>
      <c r="AF337" s="1">
        <v>0</v>
      </c>
      <c r="AG337" s="1">
        <v>0</v>
      </c>
      <c r="AH337" s="1">
        <v>0</v>
      </c>
      <c r="AI337" s="1">
        <v>0.05</v>
      </c>
      <c r="AJ337" s="1">
        <v>0.04</v>
      </c>
      <c r="AK337" s="1">
        <v>0.09</v>
      </c>
      <c r="AL337" s="1">
        <v>0.05</v>
      </c>
      <c r="AM337" s="1">
        <v>0.09</v>
      </c>
      <c r="AN337" t="s">
        <v>1541</v>
      </c>
    </row>
    <row r="338" spans="1:40" x14ac:dyDescent="0.25">
      <c r="A338" t="s">
        <v>1582</v>
      </c>
      <c r="B338" t="s">
        <v>354</v>
      </c>
      <c r="C338" s="4" t="s">
        <v>1756</v>
      </c>
      <c r="D338" t="s">
        <v>1757</v>
      </c>
      <c r="E338" t="s">
        <v>108</v>
      </c>
      <c r="F338" t="str">
        <f>LEFT(premier_player_23_24[[#This Row],[Position]],2)</f>
        <v>DF</v>
      </c>
      <c r="G338" s="3">
        <v>24</v>
      </c>
      <c r="H33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38" s="3">
        <v>10</v>
      </c>
      <c r="J338" s="3">
        <v>6</v>
      </c>
      <c r="K338" s="2">
        <v>595</v>
      </c>
      <c r="L338" s="2" t="str">
        <f>IF(premier_player_23_24[[#This Row],[Minutes]]&gt;1000,"More than 1000 minutes","Less than 1000 minutes")</f>
        <v>Less than 1000 minutes</v>
      </c>
      <c r="M338" s="2">
        <v>6.6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2">
        <v>0</v>
      </c>
      <c r="U338" s="2">
        <v>0</v>
      </c>
      <c r="V338" s="2">
        <v>0.1</v>
      </c>
      <c r="W338" s="2">
        <f>premier_player_23_24[[#This Row],[Goals]]-premier_player_23_24[[#This Row],[Expected Goals ]]</f>
        <v>-0.1</v>
      </c>
      <c r="X338" s="2">
        <v>0.1</v>
      </c>
      <c r="Y338" s="2">
        <v>0.7</v>
      </c>
      <c r="Z338" s="2">
        <v>0.8</v>
      </c>
      <c r="AA338" s="3">
        <v>3</v>
      </c>
      <c r="AB338" s="3">
        <v>21</v>
      </c>
      <c r="AC338" s="3">
        <v>16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0.02</v>
      </c>
      <c r="AJ338" s="1">
        <v>0.1</v>
      </c>
      <c r="AK338" s="1">
        <v>0.12</v>
      </c>
      <c r="AL338" s="1">
        <v>0.02</v>
      </c>
      <c r="AM338" s="1">
        <v>0.12</v>
      </c>
      <c r="AN338" t="s">
        <v>1541</v>
      </c>
    </row>
    <row r="339" spans="1:40" x14ac:dyDescent="0.25">
      <c r="A339" t="s">
        <v>1583</v>
      </c>
      <c r="B339" t="s">
        <v>57</v>
      </c>
      <c r="C339" s="4" t="s">
        <v>1744</v>
      </c>
      <c r="D339" t="s">
        <v>1745</v>
      </c>
      <c r="E339" t="s">
        <v>172</v>
      </c>
      <c r="F339" t="str">
        <f>LEFT(premier_player_23_24[[#This Row],[Position]],2)</f>
        <v>DF</v>
      </c>
      <c r="G339" s="3">
        <v>23</v>
      </c>
      <c r="H33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39" s="3">
        <v>11</v>
      </c>
      <c r="J339" s="3">
        <v>5</v>
      </c>
      <c r="K339" s="2">
        <v>503</v>
      </c>
      <c r="L339" s="2" t="str">
        <f>IF(premier_player_23_24[[#This Row],[Minutes]]&gt;1000,"More than 1000 minutes","Less than 1000 minutes")</f>
        <v>Less than 1000 minutes</v>
      </c>
      <c r="M339" s="2">
        <v>5.6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2">
        <v>0</v>
      </c>
      <c r="U339" s="2">
        <v>0</v>
      </c>
      <c r="V339" s="2">
        <v>0.1</v>
      </c>
      <c r="W339" s="2">
        <f>premier_player_23_24[[#This Row],[Goals]]-premier_player_23_24[[#This Row],[Expected Goals ]]</f>
        <v>-0.1</v>
      </c>
      <c r="X339" s="2">
        <v>0.1</v>
      </c>
      <c r="Y339" s="2">
        <v>0.2</v>
      </c>
      <c r="Z339" s="2">
        <v>0.3</v>
      </c>
      <c r="AA339" s="3">
        <v>9</v>
      </c>
      <c r="AB339" s="3">
        <v>17</v>
      </c>
      <c r="AC339" s="3">
        <v>30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0.02</v>
      </c>
      <c r="AJ339" s="1">
        <v>0.04</v>
      </c>
      <c r="AK339" s="1">
        <v>0.06</v>
      </c>
      <c r="AL339" s="1">
        <v>0.02</v>
      </c>
      <c r="AM339" s="1">
        <v>0.06</v>
      </c>
      <c r="AN339" t="s">
        <v>1541</v>
      </c>
    </row>
    <row r="340" spans="1:40" x14ac:dyDescent="0.25">
      <c r="A340" t="s">
        <v>1585</v>
      </c>
      <c r="B340" t="s">
        <v>57</v>
      </c>
      <c r="C340" s="4" t="s">
        <v>1744</v>
      </c>
      <c r="D340" t="s">
        <v>1745</v>
      </c>
      <c r="E340" t="s">
        <v>172</v>
      </c>
      <c r="F340" t="str">
        <f>LEFT(premier_player_23_24[[#This Row],[Position]],2)</f>
        <v>DF</v>
      </c>
      <c r="G340" s="3">
        <v>26</v>
      </c>
      <c r="H34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40" s="3">
        <v>8</v>
      </c>
      <c r="J340" s="3">
        <v>4</v>
      </c>
      <c r="K340" s="2">
        <v>407</v>
      </c>
      <c r="L340" s="2" t="str">
        <f>IF(premier_player_23_24[[#This Row],[Minutes]]&gt;1000,"More than 1000 minutes","Less than 1000 minutes")</f>
        <v>Less than 1000 minutes</v>
      </c>
      <c r="M340" s="2">
        <v>4.5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2">
        <v>1</v>
      </c>
      <c r="U340" s="2">
        <v>0</v>
      </c>
      <c r="V340" s="2">
        <v>0.2</v>
      </c>
      <c r="W340" s="2">
        <f>premier_player_23_24[[#This Row],[Goals]]-premier_player_23_24[[#This Row],[Expected Goals ]]</f>
        <v>-0.2</v>
      </c>
      <c r="X340" s="2">
        <v>0.2</v>
      </c>
      <c r="Y340" s="2">
        <v>0.1</v>
      </c>
      <c r="Z340" s="2">
        <v>0.3</v>
      </c>
      <c r="AA340" s="3">
        <v>9</v>
      </c>
      <c r="AB340" s="3">
        <v>6</v>
      </c>
      <c r="AC340" s="3">
        <v>21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>
        <v>0.04</v>
      </c>
      <c r="AJ340" s="1">
        <v>0.02</v>
      </c>
      <c r="AK340" s="1">
        <v>0.06</v>
      </c>
      <c r="AL340" s="1">
        <v>0.04</v>
      </c>
      <c r="AM340" s="1">
        <v>0.06</v>
      </c>
      <c r="AN340" t="s">
        <v>1541</v>
      </c>
    </row>
    <row r="341" spans="1:40" x14ac:dyDescent="0.25">
      <c r="A341" t="s">
        <v>1593</v>
      </c>
      <c r="B341" t="s">
        <v>57</v>
      </c>
      <c r="C341" s="4" t="s">
        <v>1744</v>
      </c>
      <c r="D341" t="s">
        <v>1745</v>
      </c>
      <c r="E341" t="s">
        <v>108</v>
      </c>
      <c r="F341" t="str">
        <f>LEFT(premier_player_23_24[[#This Row],[Position]],2)</f>
        <v>DF</v>
      </c>
      <c r="G341" s="3">
        <v>17</v>
      </c>
      <c r="H34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41" s="3">
        <v>2</v>
      </c>
      <c r="J341" s="3">
        <v>0</v>
      </c>
      <c r="K341" s="2">
        <v>77</v>
      </c>
      <c r="L341" s="2" t="str">
        <f>IF(premier_player_23_24[[#This Row],[Minutes]]&gt;1000,"More than 1000 minutes","Less than 1000 minutes")</f>
        <v>Less than 1000 minutes</v>
      </c>
      <c r="M341" s="2">
        <v>0.9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2">
        <v>1</v>
      </c>
      <c r="U341" s="2">
        <v>0</v>
      </c>
      <c r="V341" s="2">
        <v>0</v>
      </c>
      <c r="W341" s="2">
        <f>premier_player_23_24[[#This Row],[Goals]]-premier_player_23_24[[#This Row],[Expected Goals ]]</f>
        <v>0</v>
      </c>
      <c r="X341" s="2">
        <v>0</v>
      </c>
      <c r="Y341" s="2">
        <v>0</v>
      </c>
      <c r="Z341" s="2">
        <v>0</v>
      </c>
      <c r="AA341" s="3">
        <v>0</v>
      </c>
      <c r="AB341" s="3">
        <v>2</v>
      </c>
      <c r="AC341" s="3">
        <v>1</v>
      </c>
      <c r="AD341" s="1">
        <v>0</v>
      </c>
      <c r="AE341" s="1">
        <v>0</v>
      </c>
      <c r="AF341" s="1">
        <v>0</v>
      </c>
      <c r="AG341" s="1">
        <v>0</v>
      </c>
      <c r="AH341" s="1">
        <v>0</v>
      </c>
      <c r="AI341" s="1">
        <v>0</v>
      </c>
      <c r="AJ341" s="1">
        <v>0</v>
      </c>
      <c r="AK341" s="1">
        <v>0</v>
      </c>
      <c r="AL341" s="1">
        <v>0</v>
      </c>
      <c r="AM341" s="1">
        <v>0</v>
      </c>
      <c r="AN341" t="s">
        <v>1541</v>
      </c>
    </row>
    <row r="342" spans="1:40" x14ac:dyDescent="0.25">
      <c r="A342" t="s">
        <v>1594</v>
      </c>
      <c r="B342" t="s">
        <v>57</v>
      </c>
      <c r="C342" s="4" t="s">
        <v>1744</v>
      </c>
      <c r="D342" t="s">
        <v>1745</v>
      </c>
      <c r="E342" t="s">
        <v>77</v>
      </c>
      <c r="F342" t="str">
        <f>LEFT(premier_player_23_24[[#This Row],[Position]],2)</f>
        <v>GK</v>
      </c>
      <c r="G342" s="3">
        <v>32</v>
      </c>
      <c r="H34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42" s="3">
        <v>1</v>
      </c>
      <c r="J342" s="3">
        <v>0</v>
      </c>
      <c r="K342" s="2">
        <v>15</v>
      </c>
      <c r="L342" s="2" t="str">
        <f>IF(premier_player_23_24[[#This Row],[Minutes]]&gt;1000,"More than 1000 minutes","Less than 1000 minutes")</f>
        <v>Less than 1000 minutes</v>
      </c>
      <c r="M342" s="2">
        <v>0.2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2">
        <v>0</v>
      </c>
      <c r="U342" s="2">
        <v>0</v>
      </c>
      <c r="V342" s="2">
        <v>0</v>
      </c>
      <c r="W342" s="2">
        <f>premier_player_23_24[[#This Row],[Goals]]-premier_player_23_24[[#This Row],[Expected Goals ]]</f>
        <v>0</v>
      </c>
      <c r="X342" s="2">
        <v>0</v>
      </c>
      <c r="Y342" s="2">
        <v>0</v>
      </c>
      <c r="Z342" s="2">
        <v>0</v>
      </c>
      <c r="AA342" s="3">
        <v>0</v>
      </c>
      <c r="AB342" s="3">
        <v>0</v>
      </c>
      <c r="AC342" s="3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  <c r="AM342" s="1">
        <v>0</v>
      </c>
      <c r="AN342" t="s">
        <v>1541</v>
      </c>
    </row>
    <row r="343" spans="1:40" x14ac:dyDescent="0.25">
      <c r="A343" t="s">
        <v>1595</v>
      </c>
      <c r="B343" t="s">
        <v>57</v>
      </c>
      <c r="C343" s="4" t="s">
        <v>1744</v>
      </c>
      <c r="D343" t="s">
        <v>1745</v>
      </c>
      <c r="E343" t="s">
        <v>524</v>
      </c>
      <c r="F343" t="str">
        <f>LEFT(premier_player_23_24[[#This Row],[Position]],2)</f>
        <v>MF</v>
      </c>
      <c r="G343" s="3">
        <v>18</v>
      </c>
      <c r="H34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43" s="3">
        <v>2</v>
      </c>
      <c r="J343" s="3">
        <v>0</v>
      </c>
      <c r="K343" s="2">
        <v>7</v>
      </c>
      <c r="L343" s="2" t="str">
        <f>IF(premier_player_23_24[[#This Row],[Minutes]]&gt;1000,"More than 1000 minutes","Less than 1000 minutes")</f>
        <v>Less than 1000 minutes</v>
      </c>
      <c r="M343" s="2">
        <v>0.1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2">
        <v>0</v>
      </c>
      <c r="U343" s="2">
        <v>0</v>
      </c>
      <c r="V343" s="2">
        <v>0</v>
      </c>
      <c r="W343" s="2">
        <f>premier_player_23_24[[#This Row],[Goals]]-premier_player_23_24[[#This Row],[Expected Goals ]]</f>
        <v>0</v>
      </c>
      <c r="X343" s="2">
        <v>0</v>
      </c>
      <c r="Y343" s="2">
        <v>0</v>
      </c>
      <c r="Z343" s="2">
        <v>0</v>
      </c>
      <c r="AA343" s="3">
        <v>0</v>
      </c>
      <c r="AB343" s="3">
        <v>0</v>
      </c>
      <c r="AC343" s="3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  <c r="AM343" s="1">
        <v>0</v>
      </c>
      <c r="AN343" t="s">
        <v>1541</v>
      </c>
    </row>
    <row r="344" spans="1:40" x14ac:dyDescent="0.25">
      <c r="A344" t="s">
        <v>271</v>
      </c>
      <c r="B344" t="s">
        <v>35</v>
      </c>
      <c r="C344" s="4" t="s">
        <v>1764</v>
      </c>
      <c r="D344" t="s">
        <v>1765</v>
      </c>
      <c r="E344" t="s">
        <v>58</v>
      </c>
      <c r="F344" t="str">
        <f>LEFT(premier_player_23_24[[#This Row],[Position]],2)</f>
        <v>FW</v>
      </c>
      <c r="G344" s="3">
        <v>22</v>
      </c>
      <c r="H34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44" s="3">
        <v>6</v>
      </c>
      <c r="J344" s="3">
        <v>0</v>
      </c>
      <c r="K344" s="2">
        <v>53</v>
      </c>
      <c r="L344" s="2" t="str">
        <f>IF(premier_player_23_24[[#This Row],[Minutes]]&gt;1000,"More than 1000 minutes","Less than 1000 minutes")</f>
        <v>Less than 1000 minutes</v>
      </c>
      <c r="M344" s="2">
        <v>0.6</v>
      </c>
      <c r="N344" s="3">
        <v>0</v>
      </c>
      <c r="O344" s="3">
        <v>1</v>
      </c>
      <c r="P344" s="3">
        <v>1</v>
      </c>
      <c r="Q344" s="3">
        <v>0</v>
      </c>
      <c r="R344" s="3">
        <v>0</v>
      </c>
      <c r="S344" s="3">
        <v>0</v>
      </c>
      <c r="T344" s="3">
        <v>0</v>
      </c>
      <c r="U344" s="2">
        <v>0</v>
      </c>
      <c r="V344" s="2">
        <v>0.2</v>
      </c>
      <c r="W344" s="2">
        <f>premier_player_23_24[[#This Row],[Goals]]-premier_player_23_24[[#This Row],[Expected Goals ]]</f>
        <v>-0.2</v>
      </c>
      <c r="X344" s="2">
        <v>0.2</v>
      </c>
      <c r="Y344" s="2">
        <v>0.2</v>
      </c>
      <c r="Z344" s="2">
        <v>0.4</v>
      </c>
      <c r="AA344" s="3">
        <v>4</v>
      </c>
      <c r="AB344" s="3">
        <v>2</v>
      </c>
      <c r="AC344" s="3">
        <v>4</v>
      </c>
      <c r="AD344" s="1">
        <v>0</v>
      </c>
      <c r="AE344" s="1">
        <v>1.7</v>
      </c>
      <c r="AF344" s="1">
        <v>1.7</v>
      </c>
      <c r="AG344" s="1">
        <v>0</v>
      </c>
      <c r="AH344" s="1">
        <v>1.7</v>
      </c>
      <c r="AI344" s="1">
        <v>0.41</v>
      </c>
      <c r="AJ344" s="1">
        <v>0.31</v>
      </c>
      <c r="AK344" s="1">
        <v>0.73</v>
      </c>
      <c r="AL344" s="1">
        <v>0.41</v>
      </c>
      <c r="AM344" s="1">
        <v>0.73</v>
      </c>
      <c r="AN344" t="s">
        <v>55</v>
      </c>
    </row>
    <row r="345" spans="1:40" x14ac:dyDescent="0.25">
      <c r="A345" t="s">
        <v>135</v>
      </c>
      <c r="B345" t="s">
        <v>136</v>
      </c>
      <c r="C345" s="4" t="s">
        <v>1752</v>
      </c>
      <c r="D345" t="s">
        <v>1753</v>
      </c>
      <c r="E345" t="s">
        <v>137</v>
      </c>
      <c r="F345" t="str">
        <f>LEFT(premier_player_23_24[[#This Row],[Position]],2)</f>
        <v>FW</v>
      </c>
      <c r="G345" s="3">
        <v>23</v>
      </c>
      <c r="H34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45" s="3">
        <v>31</v>
      </c>
      <c r="J345" s="3">
        <v>29</v>
      </c>
      <c r="K345" s="2">
        <v>2552</v>
      </c>
      <c r="L345" s="2" t="str">
        <f>IF(premier_player_23_24[[#This Row],[Minutes]]&gt;1000,"More than 1000 minutes","Less than 1000 minutes")</f>
        <v>More than 1000 minutes</v>
      </c>
      <c r="M345" s="2">
        <v>28.4</v>
      </c>
      <c r="N345" s="3">
        <v>27</v>
      </c>
      <c r="O345" s="3">
        <v>5</v>
      </c>
      <c r="P345" s="3">
        <v>32</v>
      </c>
      <c r="Q345" s="3">
        <v>20</v>
      </c>
      <c r="R345" s="3">
        <v>7</v>
      </c>
      <c r="S345" s="3">
        <v>8</v>
      </c>
      <c r="T345" s="3">
        <v>1</v>
      </c>
      <c r="U345" s="2">
        <v>0</v>
      </c>
      <c r="V345" s="2">
        <v>29.2</v>
      </c>
      <c r="W345" s="2">
        <f>premier_player_23_24[[#This Row],[Goals]]-premier_player_23_24[[#This Row],[Expected Goals ]]</f>
        <v>-2.1999999999999993</v>
      </c>
      <c r="X345" s="2">
        <v>22.9</v>
      </c>
      <c r="Y345" s="2">
        <v>4.3</v>
      </c>
      <c r="Z345" s="2">
        <v>27.2</v>
      </c>
      <c r="AA345" s="3">
        <v>35</v>
      </c>
      <c r="AB345" s="3">
        <v>26</v>
      </c>
      <c r="AC345" s="3">
        <v>126</v>
      </c>
      <c r="AD345" s="1">
        <v>0.95</v>
      </c>
      <c r="AE345" s="1">
        <v>0.18</v>
      </c>
      <c r="AF345" s="1">
        <v>1.1299999999999999</v>
      </c>
      <c r="AG345" s="1">
        <v>0.71</v>
      </c>
      <c r="AH345" s="1">
        <v>0.88</v>
      </c>
      <c r="AI345" s="1">
        <v>1.03</v>
      </c>
      <c r="AJ345" s="1">
        <v>0.15</v>
      </c>
      <c r="AK345" s="1">
        <v>1.18</v>
      </c>
      <c r="AL345" s="1">
        <v>0.81</v>
      </c>
      <c r="AM345" s="1">
        <v>0.96</v>
      </c>
      <c r="AN345" t="s">
        <v>55</v>
      </c>
    </row>
    <row r="346" spans="1:40" x14ac:dyDescent="0.25">
      <c r="A346" t="s">
        <v>228</v>
      </c>
      <c r="B346" t="s">
        <v>207</v>
      </c>
      <c r="C346" s="4" t="s">
        <v>1746</v>
      </c>
      <c r="D346" t="s">
        <v>1747</v>
      </c>
      <c r="E346" t="s">
        <v>36</v>
      </c>
      <c r="F346" t="str">
        <f>LEFT(premier_player_23_24[[#This Row],[Position]],2)</f>
        <v>MF</v>
      </c>
      <c r="G346" s="3">
        <v>32</v>
      </c>
      <c r="H34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46" s="3">
        <v>18</v>
      </c>
      <c r="J346" s="3">
        <v>15</v>
      </c>
      <c r="K346" s="2">
        <v>1221</v>
      </c>
      <c r="L346" s="2" t="str">
        <f>IF(premier_player_23_24[[#This Row],[Minutes]]&gt;1000,"More than 1000 minutes","Less than 1000 minutes")</f>
        <v>More than 1000 minutes</v>
      </c>
      <c r="M346" s="2">
        <v>13.6</v>
      </c>
      <c r="N346" s="3">
        <v>4</v>
      </c>
      <c r="O346" s="3">
        <v>10</v>
      </c>
      <c r="P346" s="3">
        <v>14</v>
      </c>
      <c r="Q346" s="3">
        <v>4</v>
      </c>
      <c r="R346" s="3">
        <v>0</v>
      </c>
      <c r="S346" s="3">
        <v>0</v>
      </c>
      <c r="T346" s="3">
        <v>2</v>
      </c>
      <c r="U346" s="2">
        <v>0</v>
      </c>
      <c r="V346" s="2">
        <v>2.4</v>
      </c>
      <c r="W346" s="2">
        <f>premier_player_23_24[[#This Row],[Goals]]-premier_player_23_24[[#This Row],[Expected Goals ]]</f>
        <v>1.6</v>
      </c>
      <c r="X346" s="2">
        <v>2.4</v>
      </c>
      <c r="Y346" s="2">
        <v>11.5</v>
      </c>
      <c r="Z346" s="2">
        <v>14</v>
      </c>
      <c r="AA346" s="3">
        <v>47</v>
      </c>
      <c r="AB346" s="3">
        <v>111</v>
      </c>
      <c r="AC346" s="3">
        <v>133</v>
      </c>
      <c r="AD346" s="1">
        <v>0.28999999999999998</v>
      </c>
      <c r="AE346" s="1">
        <v>0.74</v>
      </c>
      <c r="AF346" s="1">
        <v>1.03</v>
      </c>
      <c r="AG346" s="1">
        <v>0.28999999999999998</v>
      </c>
      <c r="AH346" s="1">
        <v>1.03</v>
      </c>
      <c r="AI346" s="1">
        <v>0.18</v>
      </c>
      <c r="AJ346" s="1">
        <v>0.85</v>
      </c>
      <c r="AK346" s="1">
        <v>1.03</v>
      </c>
      <c r="AL346" s="1">
        <v>0.18</v>
      </c>
      <c r="AM346" s="1">
        <v>1.03</v>
      </c>
      <c r="AN346" t="s">
        <v>55</v>
      </c>
    </row>
    <row r="347" spans="1:40" x14ac:dyDescent="0.25">
      <c r="A347" t="s">
        <v>56</v>
      </c>
      <c r="B347" t="s">
        <v>57</v>
      </c>
      <c r="C347" s="4" t="s">
        <v>1744</v>
      </c>
      <c r="D347" t="s">
        <v>1745</v>
      </c>
      <c r="E347" t="s">
        <v>58</v>
      </c>
      <c r="F347" t="str">
        <f>LEFT(premier_player_23_24[[#This Row],[Position]],2)</f>
        <v>FW</v>
      </c>
      <c r="G347" s="3">
        <v>23</v>
      </c>
      <c r="H34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47" s="3">
        <v>35</v>
      </c>
      <c r="J347" s="3">
        <v>33</v>
      </c>
      <c r="K347" s="2">
        <v>2857</v>
      </c>
      <c r="L347" s="2" t="str">
        <f>IF(premier_player_23_24[[#This Row],[Minutes]]&gt;1000,"More than 1000 minutes","Less than 1000 minutes")</f>
        <v>More than 1000 minutes</v>
      </c>
      <c r="M347" s="2">
        <v>31.7</v>
      </c>
      <c r="N347" s="3">
        <v>19</v>
      </c>
      <c r="O347" s="3">
        <v>8</v>
      </c>
      <c r="P347" s="3">
        <v>27</v>
      </c>
      <c r="Q347" s="3">
        <v>19</v>
      </c>
      <c r="R347" s="3">
        <v>0</v>
      </c>
      <c r="S347" s="3">
        <v>0</v>
      </c>
      <c r="T347" s="3">
        <v>2</v>
      </c>
      <c r="U347" s="2">
        <v>0</v>
      </c>
      <c r="V347" s="2">
        <v>10.3</v>
      </c>
      <c r="W347" s="2">
        <f>premier_player_23_24[[#This Row],[Goals]]-premier_player_23_24[[#This Row],[Expected Goals ]]</f>
        <v>8.6999999999999993</v>
      </c>
      <c r="X347" s="2">
        <v>10.3</v>
      </c>
      <c r="Y347" s="2">
        <v>8.4</v>
      </c>
      <c r="Z347" s="2">
        <v>18.7</v>
      </c>
      <c r="AA347" s="3">
        <v>93</v>
      </c>
      <c r="AB347" s="3">
        <v>168</v>
      </c>
      <c r="AC347" s="3">
        <v>269</v>
      </c>
      <c r="AD347" s="1">
        <v>0.6</v>
      </c>
      <c r="AE347" s="1">
        <v>0.25</v>
      </c>
      <c r="AF347" s="1">
        <v>0.85</v>
      </c>
      <c r="AG347" s="1">
        <v>0.6</v>
      </c>
      <c r="AH347" s="1">
        <v>0.85</v>
      </c>
      <c r="AI347" s="1">
        <v>0.33</v>
      </c>
      <c r="AJ347" s="1">
        <v>0.26</v>
      </c>
      <c r="AK347" s="1">
        <v>0.59</v>
      </c>
      <c r="AL347" s="1">
        <v>0.33</v>
      </c>
      <c r="AM347" s="1">
        <v>0.59</v>
      </c>
      <c r="AN347" t="s">
        <v>55</v>
      </c>
    </row>
    <row r="348" spans="1:40" x14ac:dyDescent="0.25">
      <c r="A348" t="s">
        <v>84</v>
      </c>
      <c r="B348" t="s">
        <v>85</v>
      </c>
      <c r="C348" s="4" t="s">
        <v>1778</v>
      </c>
      <c r="D348" t="s">
        <v>1779</v>
      </c>
      <c r="E348" t="s">
        <v>86</v>
      </c>
      <c r="F348" t="str">
        <f>LEFT(premier_player_23_24[[#This Row],[Position]],2)</f>
        <v>MF</v>
      </c>
      <c r="G348" s="3">
        <v>23</v>
      </c>
      <c r="H34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48" s="3">
        <v>36</v>
      </c>
      <c r="J348" s="3">
        <v>31</v>
      </c>
      <c r="K348" s="2">
        <v>2647</v>
      </c>
      <c r="L348" s="2" t="str">
        <f>IF(premier_player_23_24[[#This Row],[Minutes]]&gt;1000,"More than 1000 minutes","Less than 1000 minutes")</f>
        <v>More than 1000 minutes</v>
      </c>
      <c r="M348" s="2">
        <v>29.4</v>
      </c>
      <c r="N348" s="3">
        <v>11</v>
      </c>
      <c r="O348" s="3">
        <v>8</v>
      </c>
      <c r="P348" s="3">
        <v>19</v>
      </c>
      <c r="Q348" s="3">
        <v>9</v>
      </c>
      <c r="R348" s="3">
        <v>2</v>
      </c>
      <c r="S348" s="3">
        <v>2</v>
      </c>
      <c r="T348" s="3">
        <v>2</v>
      </c>
      <c r="U348" s="2">
        <v>0</v>
      </c>
      <c r="V348" s="2">
        <v>13</v>
      </c>
      <c r="W348" s="2">
        <f>premier_player_23_24[[#This Row],[Goals]]-premier_player_23_24[[#This Row],[Expected Goals ]]</f>
        <v>-2</v>
      </c>
      <c r="X348" s="2">
        <v>11.5</v>
      </c>
      <c r="Y348" s="2">
        <v>6.4</v>
      </c>
      <c r="Z348" s="2">
        <v>17.899999999999999</v>
      </c>
      <c r="AA348" s="3">
        <v>64</v>
      </c>
      <c r="AB348" s="3">
        <v>103</v>
      </c>
      <c r="AC348" s="3">
        <v>180</v>
      </c>
      <c r="AD348" s="1">
        <v>0.37</v>
      </c>
      <c r="AE348" s="1">
        <v>0.27</v>
      </c>
      <c r="AF348" s="1">
        <v>0.65</v>
      </c>
      <c r="AG348" s="1">
        <v>0.31</v>
      </c>
      <c r="AH348" s="1">
        <v>0.57999999999999996</v>
      </c>
      <c r="AI348" s="1">
        <v>0.44</v>
      </c>
      <c r="AJ348" s="1">
        <v>0.22</v>
      </c>
      <c r="AK348" s="1">
        <v>0.66</v>
      </c>
      <c r="AL348" s="1">
        <v>0.39</v>
      </c>
      <c r="AM348" s="1">
        <v>0.61</v>
      </c>
      <c r="AN348" t="s">
        <v>55</v>
      </c>
    </row>
    <row r="349" spans="1:40" x14ac:dyDescent="0.25">
      <c r="A349" t="s">
        <v>206</v>
      </c>
      <c r="B349" t="s">
        <v>207</v>
      </c>
      <c r="C349" s="4" t="s">
        <v>1746</v>
      </c>
      <c r="D349" t="s">
        <v>1747</v>
      </c>
      <c r="E349" t="s">
        <v>58</v>
      </c>
      <c r="F349" t="str">
        <f>LEFT(premier_player_23_24[[#This Row],[Position]],2)</f>
        <v>FW</v>
      </c>
      <c r="G349" s="3">
        <v>21</v>
      </c>
      <c r="H34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49" s="3">
        <v>29</v>
      </c>
      <c r="J349" s="3">
        <v>18</v>
      </c>
      <c r="K349" s="2">
        <v>1595</v>
      </c>
      <c r="L349" s="2" t="str">
        <f>IF(premier_player_23_24[[#This Row],[Minutes]]&gt;1000,"More than 1000 minutes","Less than 1000 minutes")</f>
        <v>More than 1000 minutes</v>
      </c>
      <c r="M349" s="2">
        <v>17.7</v>
      </c>
      <c r="N349" s="3">
        <v>3</v>
      </c>
      <c r="O349" s="3">
        <v>8</v>
      </c>
      <c r="P349" s="3">
        <v>11</v>
      </c>
      <c r="Q349" s="3">
        <v>3</v>
      </c>
      <c r="R349" s="3">
        <v>0</v>
      </c>
      <c r="S349" s="3">
        <v>0</v>
      </c>
      <c r="T349" s="3">
        <v>3</v>
      </c>
      <c r="U349" s="2">
        <v>0</v>
      </c>
      <c r="V349" s="2">
        <v>2.5</v>
      </c>
      <c r="W349" s="2">
        <f>premier_player_23_24[[#This Row],[Goals]]-premier_player_23_24[[#This Row],[Expected Goals ]]</f>
        <v>0.5</v>
      </c>
      <c r="X349" s="2">
        <v>2.5</v>
      </c>
      <c r="Y349" s="2">
        <v>4.5999999999999996</v>
      </c>
      <c r="Z349" s="2">
        <v>7.1</v>
      </c>
      <c r="AA349" s="3">
        <v>218</v>
      </c>
      <c r="AB349" s="3">
        <v>57</v>
      </c>
      <c r="AC349" s="3">
        <v>295</v>
      </c>
      <c r="AD349" s="1">
        <v>0.17</v>
      </c>
      <c r="AE349" s="1">
        <v>0.45</v>
      </c>
      <c r="AF349" s="1">
        <v>0.62</v>
      </c>
      <c r="AG349" s="1">
        <v>0.17</v>
      </c>
      <c r="AH349" s="1">
        <v>0.62</v>
      </c>
      <c r="AI349" s="1">
        <v>0.14000000000000001</v>
      </c>
      <c r="AJ349" s="1">
        <v>0.26</v>
      </c>
      <c r="AK349" s="1">
        <v>0.4</v>
      </c>
      <c r="AL349" s="1">
        <v>0.14000000000000001</v>
      </c>
      <c r="AM349" s="1">
        <v>0.4</v>
      </c>
      <c r="AN349" t="s">
        <v>55</v>
      </c>
    </row>
    <row r="350" spans="1:40" x14ac:dyDescent="0.25">
      <c r="A350" t="s">
        <v>265</v>
      </c>
      <c r="B350" t="s">
        <v>136</v>
      </c>
      <c r="C350" s="4" t="s">
        <v>1752</v>
      </c>
      <c r="D350" t="s">
        <v>1753</v>
      </c>
      <c r="E350" t="s">
        <v>58</v>
      </c>
      <c r="F350" t="str">
        <f>LEFT(premier_player_23_24[[#This Row],[Position]],2)</f>
        <v>FW</v>
      </c>
      <c r="G350" s="3">
        <v>20</v>
      </c>
      <c r="H35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50" s="3">
        <v>14</v>
      </c>
      <c r="J350" s="3">
        <v>2</v>
      </c>
      <c r="K350" s="2">
        <v>302</v>
      </c>
      <c r="L350" s="2" t="str">
        <f>IF(premier_player_23_24[[#This Row],[Minutes]]&gt;1000,"More than 1000 minutes","Less than 1000 minutes")</f>
        <v>Less than 1000 minutes</v>
      </c>
      <c r="M350" s="2">
        <v>3.4</v>
      </c>
      <c r="N350" s="3">
        <v>1</v>
      </c>
      <c r="O350" s="3">
        <v>1</v>
      </c>
      <c r="P350" s="3">
        <v>2</v>
      </c>
      <c r="Q350" s="3">
        <v>1</v>
      </c>
      <c r="R350" s="3">
        <v>0</v>
      </c>
      <c r="S350" s="3">
        <v>0</v>
      </c>
      <c r="T350" s="3">
        <v>0</v>
      </c>
      <c r="U350" s="2">
        <v>0</v>
      </c>
      <c r="V350" s="2">
        <v>1.4</v>
      </c>
      <c r="W350" s="2">
        <f>premier_player_23_24[[#This Row],[Goals]]-premier_player_23_24[[#This Row],[Expected Goals ]]</f>
        <v>-0.39999999999999991</v>
      </c>
      <c r="X350" s="2">
        <v>1.4</v>
      </c>
      <c r="Y350" s="2">
        <v>1.2</v>
      </c>
      <c r="Z350" s="2">
        <v>2.6</v>
      </c>
      <c r="AA350" s="3">
        <v>13</v>
      </c>
      <c r="AB350" s="3">
        <v>25</v>
      </c>
      <c r="AC350" s="3">
        <v>38</v>
      </c>
      <c r="AD350" s="1">
        <v>0.3</v>
      </c>
      <c r="AE350" s="1">
        <v>0.3</v>
      </c>
      <c r="AF350" s="1">
        <v>0.6</v>
      </c>
      <c r="AG350" s="1">
        <v>0.3</v>
      </c>
      <c r="AH350" s="1">
        <v>0.6</v>
      </c>
      <c r="AI350" s="1">
        <v>0.41</v>
      </c>
      <c r="AJ350" s="1">
        <v>0.37</v>
      </c>
      <c r="AK350" s="1">
        <v>0.78</v>
      </c>
      <c r="AL350" s="1">
        <v>0.41</v>
      </c>
      <c r="AM350" s="1">
        <v>0.78</v>
      </c>
      <c r="AN350" t="s">
        <v>55</v>
      </c>
    </row>
    <row r="351" spans="1:40" x14ac:dyDescent="0.25">
      <c r="A351" t="s">
        <v>34</v>
      </c>
      <c r="B351" t="s">
        <v>35</v>
      </c>
      <c r="C351" s="4" t="s">
        <v>1764</v>
      </c>
      <c r="D351" t="s">
        <v>1765</v>
      </c>
      <c r="E351" t="s">
        <v>36</v>
      </c>
      <c r="F351" t="str">
        <f>LEFT(premier_player_23_24[[#This Row],[Position]],2)</f>
        <v>MF</v>
      </c>
      <c r="G351" s="3">
        <v>27</v>
      </c>
      <c r="H35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51" s="3">
        <v>34</v>
      </c>
      <c r="J351" s="3">
        <v>34</v>
      </c>
      <c r="K351" s="2">
        <v>2931</v>
      </c>
      <c r="L351" s="2" t="str">
        <f>IF(premier_player_23_24[[#This Row],[Minutes]]&gt;1000,"More than 1000 minutes","Less than 1000 minutes")</f>
        <v>More than 1000 minutes</v>
      </c>
      <c r="M351" s="2">
        <v>32.6</v>
      </c>
      <c r="N351" s="3">
        <v>8</v>
      </c>
      <c r="O351" s="3">
        <v>9</v>
      </c>
      <c r="P351" s="3">
        <v>17</v>
      </c>
      <c r="Q351" s="3">
        <v>8</v>
      </c>
      <c r="R351" s="3">
        <v>0</v>
      </c>
      <c r="S351" s="3">
        <v>0</v>
      </c>
      <c r="T351" s="3">
        <v>8</v>
      </c>
      <c r="U351" s="2">
        <v>1</v>
      </c>
      <c r="V351" s="2">
        <v>4.0999999999999996</v>
      </c>
      <c r="W351" s="2">
        <f>premier_player_23_24[[#This Row],[Goals]]-premier_player_23_24[[#This Row],[Expected Goals ]]</f>
        <v>3.9000000000000004</v>
      </c>
      <c r="X351" s="2">
        <v>4.0999999999999996</v>
      </c>
      <c r="Y351" s="2">
        <v>3.9</v>
      </c>
      <c r="Z351" s="2">
        <v>8</v>
      </c>
      <c r="AA351" s="3">
        <v>76</v>
      </c>
      <c r="AB351" s="3">
        <v>376</v>
      </c>
      <c r="AC351" s="3">
        <v>55</v>
      </c>
      <c r="AD351" s="1">
        <v>0.25</v>
      </c>
      <c r="AE351" s="1">
        <v>0.28000000000000003</v>
      </c>
      <c r="AF351" s="1">
        <v>0.52</v>
      </c>
      <c r="AG351" s="1">
        <v>0.25</v>
      </c>
      <c r="AH351" s="1">
        <v>0.52</v>
      </c>
      <c r="AI351" s="1">
        <v>0.12</v>
      </c>
      <c r="AJ351" s="1">
        <v>0.12</v>
      </c>
      <c r="AK351" s="1">
        <v>0.24</v>
      </c>
      <c r="AL351" s="1">
        <v>0.12</v>
      </c>
      <c r="AM351" s="1">
        <v>0.24</v>
      </c>
      <c r="AN351" t="s">
        <v>55</v>
      </c>
    </row>
    <row r="352" spans="1:40" x14ac:dyDescent="0.25">
      <c r="A352" t="s">
        <v>121</v>
      </c>
      <c r="B352" t="s">
        <v>122</v>
      </c>
      <c r="C352" s="4" t="s">
        <v>1742</v>
      </c>
      <c r="D352" t="s">
        <v>1743</v>
      </c>
      <c r="E352" t="s">
        <v>86</v>
      </c>
      <c r="F352" t="str">
        <f>LEFT(premier_player_23_24[[#This Row],[Position]],2)</f>
        <v>MF</v>
      </c>
      <c r="G352" s="3">
        <v>28</v>
      </c>
      <c r="H35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52" s="3">
        <v>33</v>
      </c>
      <c r="J352" s="3">
        <v>29</v>
      </c>
      <c r="K352" s="2">
        <v>2578</v>
      </c>
      <c r="L352" s="2" t="str">
        <f>IF(premier_player_23_24[[#This Row],[Minutes]]&gt;1000,"More than 1000 minutes","Less than 1000 minutes")</f>
        <v>More than 1000 minutes</v>
      </c>
      <c r="M352" s="2">
        <v>28.6</v>
      </c>
      <c r="N352" s="3">
        <v>6</v>
      </c>
      <c r="O352" s="3">
        <v>9</v>
      </c>
      <c r="P352" s="3">
        <v>15</v>
      </c>
      <c r="Q352" s="3">
        <v>6</v>
      </c>
      <c r="R352" s="3">
        <v>0</v>
      </c>
      <c r="S352" s="3">
        <v>0</v>
      </c>
      <c r="T352" s="3">
        <v>8</v>
      </c>
      <c r="U352" s="2">
        <v>0</v>
      </c>
      <c r="V352" s="2">
        <v>3.7</v>
      </c>
      <c r="W352" s="2">
        <f>premier_player_23_24[[#This Row],[Goals]]-premier_player_23_24[[#This Row],[Expected Goals ]]</f>
        <v>2.2999999999999998</v>
      </c>
      <c r="X352" s="2">
        <v>3.7</v>
      </c>
      <c r="Y352" s="2">
        <v>7.6</v>
      </c>
      <c r="Z352" s="2">
        <v>11.3</v>
      </c>
      <c r="AA352" s="3">
        <v>140</v>
      </c>
      <c r="AB352" s="3">
        <v>177</v>
      </c>
      <c r="AC352" s="3">
        <v>260</v>
      </c>
      <c r="AD352" s="1">
        <v>0.21</v>
      </c>
      <c r="AE352" s="1">
        <v>0.31</v>
      </c>
      <c r="AF352" s="1">
        <v>0.52</v>
      </c>
      <c r="AG352" s="1">
        <v>0.21</v>
      </c>
      <c r="AH352" s="1">
        <v>0.52</v>
      </c>
      <c r="AI352" s="1">
        <v>0.13</v>
      </c>
      <c r="AJ352" s="1">
        <v>0.27</v>
      </c>
      <c r="AK352" s="1">
        <v>0.4</v>
      </c>
      <c r="AL352" s="1">
        <v>0.13</v>
      </c>
      <c r="AM352" s="1">
        <v>0.4</v>
      </c>
      <c r="AN352" t="s">
        <v>55</v>
      </c>
    </row>
    <row r="353" spans="1:40" x14ac:dyDescent="0.25">
      <c r="A353" t="s">
        <v>243</v>
      </c>
      <c r="B353" t="s">
        <v>57</v>
      </c>
      <c r="C353" s="4" t="s">
        <v>1744</v>
      </c>
      <c r="D353" t="s">
        <v>1745</v>
      </c>
      <c r="E353" t="s">
        <v>58</v>
      </c>
      <c r="F353" t="str">
        <f>LEFT(premier_player_23_24[[#This Row],[Position]],2)</f>
        <v>FW</v>
      </c>
      <c r="G353" s="3">
        <v>27</v>
      </c>
      <c r="H35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53" s="3">
        <v>20</v>
      </c>
      <c r="J353" s="3">
        <v>10</v>
      </c>
      <c r="K353" s="2">
        <v>1009</v>
      </c>
      <c r="L353" s="2" t="str">
        <f>IF(premier_player_23_24[[#This Row],[Minutes]]&gt;1000,"More than 1000 minutes","Less than 1000 minutes")</f>
        <v>More than 1000 minutes</v>
      </c>
      <c r="M353" s="2">
        <v>11.2</v>
      </c>
      <c r="N353" s="3">
        <v>3</v>
      </c>
      <c r="O353" s="3">
        <v>1</v>
      </c>
      <c r="P353" s="3">
        <v>4</v>
      </c>
      <c r="Q353" s="3">
        <v>3</v>
      </c>
      <c r="R353" s="3">
        <v>0</v>
      </c>
      <c r="S353" s="3">
        <v>0</v>
      </c>
      <c r="T353" s="3">
        <v>6</v>
      </c>
      <c r="U353" s="2">
        <v>0</v>
      </c>
      <c r="V353" s="2">
        <v>2.1</v>
      </c>
      <c r="W353" s="2">
        <f>premier_player_23_24[[#This Row],[Goals]]-premier_player_23_24[[#This Row],[Expected Goals ]]</f>
        <v>0.89999999999999991</v>
      </c>
      <c r="X353" s="2">
        <v>2.1</v>
      </c>
      <c r="Y353" s="2">
        <v>2.5</v>
      </c>
      <c r="Z353" s="2">
        <v>4.5999999999999996</v>
      </c>
      <c r="AA353" s="3">
        <v>87</v>
      </c>
      <c r="AB353" s="3">
        <v>50</v>
      </c>
      <c r="AC353" s="3">
        <v>146</v>
      </c>
      <c r="AD353" s="1">
        <v>0.27</v>
      </c>
      <c r="AE353" s="1">
        <v>0.09</v>
      </c>
      <c r="AF353" s="1">
        <v>0.36</v>
      </c>
      <c r="AG353" s="1">
        <v>0.27</v>
      </c>
      <c r="AH353" s="1">
        <v>0.36</v>
      </c>
      <c r="AI353" s="1">
        <v>0.19</v>
      </c>
      <c r="AJ353" s="1">
        <v>0.22</v>
      </c>
      <c r="AK353" s="1">
        <v>0.41</v>
      </c>
      <c r="AL353" s="1">
        <v>0.19</v>
      </c>
      <c r="AM353" s="1">
        <v>0.41</v>
      </c>
      <c r="AN353" t="s">
        <v>55</v>
      </c>
    </row>
    <row r="354" spans="1:40" x14ac:dyDescent="0.25">
      <c r="A354" t="s">
        <v>256</v>
      </c>
      <c r="B354" t="s">
        <v>122</v>
      </c>
      <c r="C354" s="4" t="s">
        <v>1742</v>
      </c>
      <c r="D354" t="s">
        <v>1743</v>
      </c>
      <c r="E354" t="s">
        <v>36</v>
      </c>
      <c r="F354" t="str">
        <f>LEFT(premier_player_23_24[[#This Row],[Position]],2)</f>
        <v>MF</v>
      </c>
      <c r="G354" s="3">
        <v>24</v>
      </c>
      <c r="H35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54" s="3">
        <v>17</v>
      </c>
      <c r="J354" s="3">
        <v>7</v>
      </c>
      <c r="K354" s="2">
        <v>661</v>
      </c>
      <c r="L354" s="2" t="str">
        <f>IF(premier_player_23_24[[#This Row],[Minutes]]&gt;1000,"More than 1000 minutes","Less than 1000 minutes")</f>
        <v>Less than 1000 minutes</v>
      </c>
      <c r="M354" s="2">
        <v>7.3</v>
      </c>
      <c r="N354" s="3">
        <v>0</v>
      </c>
      <c r="O354" s="3">
        <v>2</v>
      </c>
      <c r="P354" s="3">
        <v>2</v>
      </c>
      <c r="Q354" s="3">
        <v>0</v>
      </c>
      <c r="R354" s="3">
        <v>0</v>
      </c>
      <c r="S354" s="3">
        <v>0</v>
      </c>
      <c r="T354" s="3">
        <v>0</v>
      </c>
      <c r="U354" s="2">
        <v>0</v>
      </c>
      <c r="V354" s="2">
        <v>0.8</v>
      </c>
      <c r="W354" s="2">
        <f>premier_player_23_24[[#This Row],[Goals]]-premier_player_23_24[[#This Row],[Expected Goals ]]</f>
        <v>-0.8</v>
      </c>
      <c r="X354" s="2">
        <v>0.8</v>
      </c>
      <c r="Y354" s="2">
        <v>1.1000000000000001</v>
      </c>
      <c r="Z354" s="2">
        <v>2</v>
      </c>
      <c r="AA354" s="3">
        <v>28</v>
      </c>
      <c r="AB354" s="3">
        <v>34</v>
      </c>
      <c r="AC354" s="3">
        <v>58</v>
      </c>
      <c r="AD354" s="1">
        <v>0</v>
      </c>
      <c r="AE354" s="1">
        <v>0.27</v>
      </c>
      <c r="AF354" s="1">
        <v>0.27</v>
      </c>
      <c r="AG354" s="1">
        <v>0</v>
      </c>
      <c r="AH354" s="1">
        <v>0.27</v>
      </c>
      <c r="AI354" s="1">
        <v>0.11</v>
      </c>
      <c r="AJ354" s="1">
        <v>0.15</v>
      </c>
      <c r="AK354" s="1">
        <v>0.27</v>
      </c>
      <c r="AL354" s="1">
        <v>0.11</v>
      </c>
      <c r="AM354" s="1">
        <v>0.27</v>
      </c>
      <c r="AN354" t="s">
        <v>55</v>
      </c>
    </row>
    <row r="355" spans="1:40" x14ac:dyDescent="0.25">
      <c r="A355" t="s">
        <v>252</v>
      </c>
      <c r="B355" t="s">
        <v>57</v>
      </c>
      <c r="C355" s="4" t="s">
        <v>1744</v>
      </c>
      <c r="D355" t="s">
        <v>1745</v>
      </c>
      <c r="E355" t="s">
        <v>172</v>
      </c>
      <c r="F355" t="str">
        <f>LEFT(premier_player_23_24[[#This Row],[Position]],2)</f>
        <v>DF</v>
      </c>
      <c r="G355" s="3">
        <v>18</v>
      </c>
      <c r="H35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55" s="3">
        <v>16</v>
      </c>
      <c r="J355" s="3">
        <v>8</v>
      </c>
      <c r="K355" s="2">
        <v>809</v>
      </c>
      <c r="L355" s="2" t="str">
        <f>IF(premier_player_23_24[[#This Row],[Minutes]]&gt;1000,"More than 1000 minutes","Less than 1000 minutes")</f>
        <v>Less than 1000 minutes</v>
      </c>
      <c r="M355" s="2">
        <v>9</v>
      </c>
      <c r="N355" s="3">
        <v>2</v>
      </c>
      <c r="O355" s="3">
        <v>0</v>
      </c>
      <c r="P355" s="3">
        <v>2</v>
      </c>
      <c r="Q355" s="3">
        <v>2</v>
      </c>
      <c r="R355" s="3">
        <v>0</v>
      </c>
      <c r="S355" s="3">
        <v>0</v>
      </c>
      <c r="T355" s="3">
        <v>1</v>
      </c>
      <c r="U355" s="2">
        <v>0</v>
      </c>
      <c r="V355" s="2">
        <v>0.6</v>
      </c>
      <c r="W355" s="2">
        <f>premier_player_23_24[[#This Row],[Goals]]-premier_player_23_24[[#This Row],[Expected Goals ]]</f>
        <v>1.4</v>
      </c>
      <c r="X355" s="2">
        <v>0.6</v>
      </c>
      <c r="Y355" s="2">
        <v>1.1000000000000001</v>
      </c>
      <c r="Z355" s="2">
        <v>1.8</v>
      </c>
      <c r="AA355" s="3">
        <v>21</v>
      </c>
      <c r="AB355" s="3">
        <v>33</v>
      </c>
      <c r="AC355" s="3">
        <v>46</v>
      </c>
      <c r="AD355" s="1">
        <v>0.22</v>
      </c>
      <c r="AE355" s="1">
        <v>0</v>
      </c>
      <c r="AF355" s="1">
        <v>0.22</v>
      </c>
      <c r="AG355" s="1">
        <v>0.22</v>
      </c>
      <c r="AH355" s="1">
        <v>0.22</v>
      </c>
      <c r="AI355" s="1">
        <v>7.0000000000000007E-2</v>
      </c>
      <c r="AJ355" s="1">
        <v>0.12</v>
      </c>
      <c r="AK355" s="1">
        <v>0.19</v>
      </c>
      <c r="AL355" s="1">
        <v>7.0000000000000007E-2</v>
      </c>
      <c r="AM355" s="1">
        <v>0.19</v>
      </c>
      <c r="AN355" t="s">
        <v>55</v>
      </c>
    </row>
    <row r="356" spans="1:40" x14ac:dyDescent="0.25">
      <c r="A356" t="s">
        <v>183</v>
      </c>
      <c r="B356" t="s">
        <v>184</v>
      </c>
      <c r="C356" s="4" t="s">
        <v>1848</v>
      </c>
      <c r="D356" t="s">
        <v>1849</v>
      </c>
      <c r="E356" t="s">
        <v>108</v>
      </c>
      <c r="F356" t="str">
        <f>LEFT(premier_player_23_24[[#This Row],[Position]],2)</f>
        <v>DF</v>
      </c>
      <c r="G356" s="3">
        <v>21</v>
      </c>
      <c r="H35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56" s="3">
        <v>28</v>
      </c>
      <c r="J356" s="3">
        <v>26</v>
      </c>
      <c r="K356" s="2">
        <v>2328</v>
      </c>
      <c r="L356" s="2" t="str">
        <f>IF(premier_player_23_24[[#This Row],[Minutes]]&gt;1000,"More than 1000 minutes","Less than 1000 minutes")</f>
        <v>More than 1000 minutes</v>
      </c>
      <c r="M356" s="2">
        <v>25.9</v>
      </c>
      <c r="N356" s="3">
        <v>4</v>
      </c>
      <c r="O356" s="3">
        <v>1</v>
      </c>
      <c r="P356" s="3">
        <v>5</v>
      </c>
      <c r="Q356" s="3">
        <v>4</v>
      </c>
      <c r="R356" s="3">
        <v>0</v>
      </c>
      <c r="S356" s="3">
        <v>0</v>
      </c>
      <c r="T356" s="3">
        <v>3</v>
      </c>
      <c r="U356" s="2">
        <v>0</v>
      </c>
      <c r="V356" s="2">
        <v>3.1</v>
      </c>
      <c r="W356" s="2">
        <f>premier_player_23_24[[#This Row],[Goals]]-premier_player_23_24[[#This Row],[Expected Goals ]]</f>
        <v>0.89999999999999991</v>
      </c>
      <c r="X356" s="2">
        <v>3.1</v>
      </c>
      <c r="Y356" s="2">
        <v>1.4</v>
      </c>
      <c r="Z356" s="2">
        <v>4.5</v>
      </c>
      <c r="AA356" s="3">
        <v>63</v>
      </c>
      <c r="AB356" s="3">
        <v>136</v>
      </c>
      <c r="AC356" s="3">
        <v>115</v>
      </c>
      <c r="AD356" s="1">
        <v>0.15</v>
      </c>
      <c r="AE356" s="1">
        <v>0.04</v>
      </c>
      <c r="AF356" s="1">
        <v>0.19</v>
      </c>
      <c r="AG356" s="1">
        <v>0.15</v>
      </c>
      <c r="AH356" s="1">
        <v>0.19</v>
      </c>
      <c r="AI356" s="1">
        <v>0.12</v>
      </c>
      <c r="AJ356" s="1">
        <v>0.06</v>
      </c>
      <c r="AK356" s="1">
        <v>0.18</v>
      </c>
      <c r="AL356" s="1">
        <v>0.12</v>
      </c>
      <c r="AM356" s="1">
        <v>0.18</v>
      </c>
      <c r="AN356" t="s">
        <v>55</v>
      </c>
    </row>
    <row r="357" spans="1:40" x14ac:dyDescent="0.25">
      <c r="A357" t="s">
        <v>195</v>
      </c>
      <c r="B357" t="s">
        <v>196</v>
      </c>
      <c r="C357" s="4" t="s">
        <v>1768</v>
      </c>
      <c r="D357" t="s">
        <v>1769</v>
      </c>
      <c r="E357" t="s">
        <v>108</v>
      </c>
      <c r="F357" t="str">
        <f>LEFT(premier_player_23_24[[#This Row],[Position]],2)</f>
        <v>DF</v>
      </c>
      <c r="G357" s="3">
        <v>28</v>
      </c>
      <c r="H35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57" s="3">
        <v>29</v>
      </c>
      <c r="J357" s="3">
        <v>24</v>
      </c>
      <c r="K357" s="2">
        <v>2042</v>
      </c>
      <c r="L357" s="2" t="str">
        <f>IF(premier_player_23_24[[#This Row],[Minutes]]&gt;1000,"More than 1000 minutes","Less than 1000 minutes")</f>
        <v>More than 1000 minutes</v>
      </c>
      <c r="M357" s="2">
        <v>22.7</v>
      </c>
      <c r="N357" s="3">
        <v>2</v>
      </c>
      <c r="O357" s="3">
        <v>2</v>
      </c>
      <c r="P357" s="3">
        <v>4</v>
      </c>
      <c r="Q357" s="3">
        <v>2</v>
      </c>
      <c r="R357" s="3">
        <v>0</v>
      </c>
      <c r="S357" s="3">
        <v>0</v>
      </c>
      <c r="T357" s="3">
        <v>0</v>
      </c>
      <c r="U357" s="2">
        <v>0</v>
      </c>
      <c r="V357" s="2">
        <v>2.5</v>
      </c>
      <c r="W357" s="2">
        <f>premier_player_23_24[[#This Row],[Goals]]-premier_player_23_24[[#This Row],[Expected Goals ]]</f>
        <v>-0.5</v>
      </c>
      <c r="X357" s="2">
        <v>2.5</v>
      </c>
      <c r="Y357" s="2">
        <v>1.2</v>
      </c>
      <c r="Z357" s="2">
        <v>3.7</v>
      </c>
      <c r="AA357" s="3">
        <v>24</v>
      </c>
      <c r="AB357" s="3">
        <v>116</v>
      </c>
      <c r="AC357" s="3">
        <v>18</v>
      </c>
      <c r="AD357" s="1">
        <v>0.09</v>
      </c>
      <c r="AE357" s="1">
        <v>0.09</v>
      </c>
      <c r="AF357" s="1">
        <v>0.18</v>
      </c>
      <c r="AG357" s="1">
        <v>0.09</v>
      </c>
      <c r="AH357" s="1">
        <v>0.18</v>
      </c>
      <c r="AI357" s="1">
        <v>0.11</v>
      </c>
      <c r="AJ357" s="1">
        <v>0.05</v>
      </c>
      <c r="AK357" s="1">
        <v>0.16</v>
      </c>
      <c r="AL357" s="1">
        <v>0.11</v>
      </c>
      <c r="AM357" s="1">
        <v>0.16</v>
      </c>
      <c r="AN357" t="s">
        <v>55</v>
      </c>
    </row>
    <row r="358" spans="1:40" x14ac:dyDescent="0.25">
      <c r="A358" t="s">
        <v>107</v>
      </c>
      <c r="B358" t="s">
        <v>57</v>
      </c>
      <c r="C358" s="4" t="s">
        <v>1744</v>
      </c>
      <c r="D358" t="s">
        <v>1745</v>
      </c>
      <c r="E358" t="s">
        <v>108</v>
      </c>
      <c r="F358" t="str">
        <f>LEFT(premier_player_23_24[[#This Row],[Position]],2)</f>
        <v>DF</v>
      </c>
      <c r="G358" s="3">
        <v>33</v>
      </c>
      <c r="H35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58" s="3">
        <v>32</v>
      </c>
      <c r="J358" s="3">
        <v>30</v>
      </c>
      <c r="K358" s="2">
        <v>2767</v>
      </c>
      <c r="L358" s="2" t="str">
        <f>IF(premier_player_23_24[[#This Row],[Minutes]]&gt;1000,"More than 1000 minutes","Less than 1000 minutes")</f>
        <v>More than 1000 minutes</v>
      </c>
      <c r="M358" s="2">
        <v>30.7</v>
      </c>
      <c r="N358" s="3">
        <v>0</v>
      </c>
      <c r="O358" s="3">
        <v>4</v>
      </c>
      <c r="P358" s="3">
        <v>4</v>
      </c>
      <c r="Q358" s="3">
        <v>0</v>
      </c>
      <c r="R358" s="3">
        <v>0</v>
      </c>
      <c r="S358" s="3">
        <v>0</v>
      </c>
      <c r="T358" s="3">
        <v>2</v>
      </c>
      <c r="U358" s="2">
        <v>0</v>
      </c>
      <c r="V358" s="2">
        <v>0.4</v>
      </c>
      <c r="W358" s="2">
        <f>premier_player_23_24[[#This Row],[Goals]]-premier_player_23_24[[#This Row],[Expected Goals ]]</f>
        <v>-0.4</v>
      </c>
      <c r="X358" s="2">
        <v>0.4</v>
      </c>
      <c r="Y358" s="2">
        <v>2.6</v>
      </c>
      <c r="Z358" s="2">
        <v>3</v>
      </c>
      <c r="AA358" s="3">
        <v>74</v>
      </c>
      <c r="AB358" s="3">
        <v>157</v>
      </c>
      <c r="AC358" s="3">
        <v>172</v>
      </c>
      <c r="AD358" s="1">
        <v>0</v>
      </c>
      <c r="AE358" s="1">
        <v>0.13</v>
      </c>
      <c r="AF358" s="1">
        <v>0.13</v>
      </c>
      <c r="AG358" s="1">
        <v>0</v>
      </c>
      <c r="AH358" s="1">
        <v>0.13</v>
      </c>
      <c r="AI358" s="1">
        <v>0.01</v>
      </c>
      <c r="AJ358" s="1">
        <v>0.09</v>
      </c>
      <c r="AK358" s="1">
        <v>0.1</v>
      </c>
      <c r="AL358" s="1">
        <v>0.01</v>
      </c>
      <c r="AM358" s="1">
        <v>0.1</v>
      </c>
      <c r="AN358" t="s">
        <v>55</v>
      </c>
    </row>
    <row r="359" spans="1:40" x14ac:dyDescent="0.25">
      <c r="A359" t="s">
        <v>238</v>
      </c>
      <c r="B359" t="s">
        <v>57</v>
      </c>
      <c r="C359" s="4" t="s">
        <v>1744</v>
      </c>
      <c r="D359" t="s">
        <v>1745</v>
      </c>
      <c r="E359" t="s">
        <v>172</v>
      </c>
      <c r="F359" t="str">
        <f>LEFT(premier_player_23_24[[#This Row],[Position]],2)</f>
        <v>DF</v>
      </c>
      <c r="G359" s="3">
        <v>29</v>
      </c>
      <c r="H35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59" s="3">
        <v>16</v>
      </c>
      <c r="J359" s="3">
        <v>12</v>
      </c>
      <c r="K359" s="2">
        <v>1064</v>
      </c>
      <c r="L359" s="2" t="str">
        <f>IF(premier_player_23_24[[#This Row],[Minutes]]&gt;1000,"More than 1000 minutes","Less than 1000 minutes")</f>
        <v>More than 1000 minutes</v>
      </c>
      <c r="M359" s="2">
        <v>11.8</v>
      </c>
      <c r="N359" s="3">
        <v>1</v>
      </c>
      <c r="O359" s="3">
        <v>0</v>
      </c>
      <c r="P359" s="3">
        <v>1</v>
      </c>
      <c r="Q359" s="3">
        <v>1</v>
      </c>
      <c r="R359" s="3">
        <v>0</v>
      </c>
      <c r="S359" s="3">
        <v>0</v>
      </c>
      <c r="T359" s="3">
        <v>2</v>
      </c>
      <c r="U359" s="2">
        <v>0</v>
      </c>
      <c r="V359" s="2">
        <v>1</v>
      </c>
      <c r="W359" s="2">
        <f>premier_player_23_24[[#This Row],[Goals]]-premier_player_23_24[[#This Row],[Expected Goals ]]</f>
        <v>0</v>
      </c>
      <c r="X359" s="2">
        <v>1</v>
      </c>
      <c r="Y359" s="2">
        <v>0.2</v>
      </c>
      <c r="Z359" s="2">
        <v>1.3</v>
      </c>
      <c r="AA359" s="3">
        <v>16</v>
      </c>
      <c r="AB359" s="3">
        <v>57</v>
      </c>
      <c r="AC359" s="3">
        <v>24</v>
      </c>
      <c r="AD359" s="1">
        <v>0.08</v>
      </c>
      <c r="AE359" s="1">
        <v>0</v>
      </c>
      <c r="AF359" s="1">
        <v>0.08</v>
      </c>
      <c r="AG359" s="1">
        <v>0.08</v>
      </c>
      <c r="AH359" s="1">
        <v>0.08</v>
      </c>
      <c r="AI359" s="1">
        <v>0.09</v>
      </c>
      <c r="AJ359" s="1">
        <v>0.02</v>
      </c>
      <c r="AK359" s="1">
        <v>0.11</v>
      </c>
      <c r="AL359" s="1">
        <v>0.09</v>
      </c>
      <c r="AM359" s="1">
        <v>0.11</v>
      </c>
      <c r="AN359" t="s">
        <v>55</v>
      </c>
    </row>
    <row r="360" spans="1:40" x14ac:dyDescent="0.25">
      <c r="A360" t="s">
        <v>170</v>
      </c>
      <c r="B360" t="s">
        <v>171</v>
      </c>
      <c r="C360" s="4" t="s">
        <v>1820</v>
      </c>
      <c r="D360" t="s">
        <v>1821</v>
      </c>
      <c r="E360" t="s">
        <v>172</v>
      </c>
      <c r="F360" t="str">
        <f>LEFT(premier_player_23_24[[#This Row],[Position]],2)</f>
        <v>DF</v>
      </c>
      <c r="G360" s="3">
        <v>28</v>
      </c>
      <c r="H36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60" s="3">
        <v>30</v>
      </c>
      <c r="J360" s="3">
        <v>28</v>
      </c>
      <c r="K360" s="2">
        <v>2511</v>
      </c>
      <c r="L360" s="2" t="str">
        <f>IF(premier_player_23_24[[#This Row],[Minutes]]&gt;1000,"More than 1000 minutes","Less than 1000 minutes")</f>
        <v>More than 1000 minutes</v>
      </c>
      <c r="M360" s="2">
        <v>27.9</v>
      </c>
      <c r="N360" s="3">
        <v>2</v>
      </c>
      <c r="O360" s="3">
        <v>0</v>
      </c>
      <c r="P360" s="3">
        <v>2</v>
      </c>
      <c r="Q360" s="3">
        <v>2</v>
      </c>
      <c r="R360" s="3">
        <v>0</v>
      </c>
      <c r="S360" s="3">
        <v>0</v>
      </c>
      <c r="T360" s="3">
        <v>4</v>
      </c>
      <c r="U360" s="2">
        <v>1</v>
      </c>
      <c r="V360" s="2">
        <v>1.9</v>
      </c>
      <c r="W360" s="2">
        <f>premier_player_23_24[[#This Row],[Goals]]-premier_player_23_24[[#This Row],[Expected Goals ]]</f>
        <v>0.10000000000000009</v>
      </c>
      <c r="X360" s="2">
        <v>1.9</v>
      </c>
      <c r="Y360" s="2">
        <v>0.5</v>
      </c>
      <c r="Z360" s="2">
        <v>2.4</v>
      </c>
      <c r="AA360" s="3">
        <v>46</v>
      </c>
      <c r="AB360" s="3">
        <v>148</v>
      </c>
      <c r="AC360" s="3">
        <v>36</v>
      </c>
      <c r="AD360" s="1">
        <v>7.0000000000000007E-2</v>
      </c>
      <c r="AE360" s="1">
        <v>0</v>
      </c>
      <c r="AF360" s="1">
        <v>7.0000000000000007E-2</v>
      </c>
      <c r="AG360" s="1">
        <v>7.0000000000000007E-2</v>
      </c>
      <c r="AH360" s="1">
        <v>7.0000000000000007E-2</v>
      </c>
      <c r="AI360" s="1">
        <v>7.0000000000000007E-2</v>
      </c>
      <c r="AJ360" s="1">
        <v>0.02</v>
      </c>
      <c r="AK360" s="1">
        <v>0.09</v>
      </c>
      <c r="AL360" s="1">
        <v>7.0000000000000007E-2</v>
      </c>
      <c r="AM360" s="1">
        <v>0.09</v>
      </c>
      <c r="AN360" t="s">
        <v>55</v>
      </c>
    </row>
    <row r="361" spans="1:40" x14ac:dyDescent="0.25">
      <c r="A361" t="s">
        <v>219</v>
      </c>
      <c r="B361" t="s">
        <v>184</v>
      </c>
      <c r="C361" s="4" t="s">
        <v>1848</v>
      </c>
      <c r="D361" t="s">
        <v>1849</v>
      </c>
      <c r="E361" t="s">
        <v>36</v>
      </c>
      <c r="F361" t="str">
        <f>LEFT(premier_player_23_24[[#This Row],[Position]],2)</f>
        <v>MF</v>
      </c>
      <c r="G361" s="3">
        <v>29</v>
      </c>
      <c r="H36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61" s="3">
        <v>30</v>
      </c>
      <c r="J361" s="3">
        <v>16</v>
      </c>
      <c r="K361" s="2">
        <v>1551</v>
      </c>
      <c r="L361" s="2" t="str">
        <f>IF(premier_player_23_24[[#This Row],[Minutes]]&gt;1000,"More than 1000 minutes","Less than 1000 minutes")</f>
        <v>More than 1000 minutes</v>
      </c>
      <c r="M361" s="2">
        <v>17.2</v>
      </c>
      <c r="N361" s="3">
        <v>1</v>
      </c>
      <c r="O361" s="3">
        <v>0</v>
      </c>
      <c r="P361" s="3">
        <v>1</v>
      </c>
      <c r="Q361" s="3">
        <v>1</v>
      </c>
      <c r="R361" s="3">
        <v>0</v>
      </c>
      <c r="S361" s="3">
        <v>0</v>
      </c>
      <c r="T361" s="3">
        <v>4</v>
      </c>
      <c r="U361" s="2">
        <v>0</v>
      </c>
      <c r="V361" s="2">
        <v>1.3</v>
      </c>
      <c r="W361" s="2">
        <f>premier_player_23_24[[#This Row],[Goals]]-premier_player_23_24[[#This Row],[Expected Goals ]]</f>
        <v>-0.30000000000000004</v>
      </c>
      <c r="X361" s="2">
        <v>1.3</v>
      </c>
      <c r="Y361" s="2">
        <v>1.6</v>
      </c>
      <c r="Z361" s="2">
        <v>2.9</v>
      </c>
      <c r="AA361" s="3">
        <v>37</v>
      </c>
      <c r="AB361" s="3">
        <v>100</v>
      </c>
      <c r="AC361" s="3">
        <v>38</v>
      </c>
      <c r="AD361" s="1">
        <v>0.06</v>
      </c>
      <c r="AE361" s="1">
        <v>0</v>
      </c>
      <c r="AF361" s="1">
        <v>0.06</v>
      </c>
      <c r="AG361" s="1">
        <v>0.06</v>
      </c>
      <c r="AH361" s="1">
        <v>0.06</v>
      </c>
      <c r="AI361" s="1">
        <v>7.0000000000000007E-2</v>
      </c>
      <c r="AJ361" s="1">
        <v>0.09</v>
      </c>
      <c r="AK361" s="1">
        <v>0.17</v>
      </c>
      <c r="AL361" s="1">
        <v>7.0000000000000007E-2</v>
      </c>
      <c r="AM361" s="1">
        <v>0.17</v>
      </c>
      <c r="AN361" t="s">
        <v>55</v>
      </c>
    </row>
    <row r="362" spans="1:40" x14ac:dyDescent="0.25">
      <c r="A362" t="s">
        <v>75</v>
      </c>
      <c r="B362" t="s">
        <v>76</v>
      </c>
      <c r="C362" s="4" t="s">
        <v>1750</v>
      </c>
      <c r="D362" t="s">
        <v>1751</v>
      </c>
      <c r="E362" t="s">
        <v>77</v>
      </c>
      <c r="F362" t="str">
        <f>LEFT(premier_player_23_24[[#This Row],[Position]],2)</f>
        <v>GK</v>
      </c>
      <c r="G362" s="3">
        <v>29</v>
      </c>
      <c r="H36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62" s="3">
        <v>33</v>
      </c>
      <c r="J362" s="3">
        <v>33</v>
      </c>
      <c r="K362" s="2">
        <v>2785</v>
      </c>
      <c r="L362" s="2" t="str">
        <f>IF(premier_player_23_24[[#This Row],[Minutes]]&gt;1000,"More than 1000 minutes","Less than 1000 minutes")</f>
        <v>More than 1000 minutes</v>
      </c>
      <c r="M362" s="2">
        <v>30.9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5</v>
      </c>
      <c r="U362" s="2">
        <v>0</v>
      </c>
      <c r="V362" s="2">
        <v>0</v>
      </c>
      <c r="W362" s="2">
        <f>premier_player_23_24[[#This Row],[Goals]]-premier_player_23_24[[#This Row],[Expected Goals ]]</f>
        <v>0</v>
      </c>
      <c r="X362" s="2">
        <v>0</v>
      </c>
      <c r="Y362" s="2">
        <v>0.1</v>
      </c>
      <c r="Z362" s="2">
        <v>0.1</v>
      </c>
      <c r="AA362" s="3">
        <v>0</v>
      </c>
      <c r="AB362" s="3">
        <v>4</v>
      </c>
      <c r="AC362" s="3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  <c r="AM362" s="1">
        <v>0</v>
      </c>
      <c r="AN362" t="s">
        <v>55</v>
      </c>
    </row>
    <row r="363" spans="1:40" x14ac:dyDescent="0.25">
      <c r="A363" t="s">
        <v>160</v>
      </c>
      <c r="B363" t="s">
        <v>122</v>
      </c>
      <c r="C363" s="4" t="s">
        <v>1742</v>
      </c>
      <c r="D363" t="s">
        <v>1743</v>
      </c>
      <c r="E363" t="s">
        <v>108</v>
      </c>
      <c r="F363" t="str">
        <f>LEFT(premier_player_23_24[[#This Row],[Position]],2)</f>
        <v>DF</v>
      </c>
      <c r="G363" s="3">
        <v>26</v>
      </c>
      <c r="H36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63" s="3">
        <v>30</v>
      </c>
      <c r="J363" s="3">
        <v>28</v>
      </c>
      <c r="K363" s="2">
        <v>2559</v>
      </c>
      <c r="L363" s="2" t="str">
        <f>IF(premier_player_23_24[[#This Row],[Minutes]]&gt;1000,"More than 1000 minutes","Less than 1000 minutes")</f>
        <v>More than 1000 minutes</v>
      </c>
      <c r="M363" s="2">
        <v>28.4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2">
        <v>0</v>
      </c>
      <c r="V363" s="2">
        <v>1.4</v>
      </c>
      <c r="W363" s="2">
        <f>premier_player_23_24[[#This Row],[Goals]]-premier_player_23_24[[#This Row],[Expected Goals ]]</f>
        <v>-1.4</v>
      </c>
      <c r="X363" s="2">
        <v>1.4</v>
      </c>
      <c r="Y363" s="2">
        <v>0.3</v>
      </c>
      <c r="Z363" s="2">
        <v>1.7</v>
      </c>
      <c r="AA363" s="3">
        <v>34</v>
      </c>
      <c r="AB363" s="3">
        <v>173</v>
      </c>
      <c r="AC363" s="3">
        <v>16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0.05</v>
      </c>
      <c r="AJ363" s="1">
        <v>0.01</v>
      </c>
      <c r="AK363" s="1">
        <v>0.06</v>
      </c>
      <c r="AL363" s="1">
        <v>0.05</v>
      </c>
      <c r="AM363" s="1">
        <v>0.06</v>
      </c>
      <c r="AN363" t="s">
        <v>55</v>
      </c>
    </row>
    <row r="364" spans="1:40" x14ac:dyDescent="0.25">
      <c r="A364" t="s">
        <v>261</v>
      </c>
      <c r="B364" t="s">
        <v>262</v>
      </c>
      <c r="C364" s="4" t="s">
        <v>1748</v>
      </c>
      <c r="D364" t="s">
        <v>1749</v>
      </c>
      <c r="E364" t="s">
        <v>77</v>
      </c>
      <c r="F364" t="str">
        <f>LEFT(premier_player_23_24[[#This Row],[Position]],2)</f>
        <v>GK</v>
      </c>
      <c r="G364" s="3">
        <v>30</v>
      </c>
      <c r="H36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64" s="3">
        <v>9</v>
      </c>
      <c r="J364" s="3">
        <v>5</v>
      </c>
      <c r="K364" s="2">
        <v>635</v>
      </c>
      <c r="L364" s="2" t="str">
        <f>IF(premier_player_23_24[[#This Row],[Minutes]]&gt;1000,"More than 1000 minutes","Less than 1000 minutes")</f>
        <v>Less than 1000 minutes</v>
      </c>
      <c r="M364" s="2">
        <v>7.1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2">
        <v>0</v>
      </c>
      <c r="V364" s="2">
        <v>0</v>
      </c>
      <c r="W364" s="2">
        <f>premier_player_23_24[[#This Row],[Goals]]-premier_player_23_24[[#This Row],[Expected Goals ]]</f>
        <v>0</v>
      </c>
      <c r="X364" s="2">
        <v>0</v>
      </c>
      <c r="Y364" s="2">
        <v>0</v>
      </c>
      <c r="Z364" s="2">
        <v>0</v>
      </c>
      <c r="AA364" s="3">
        <v>0</v>
      </c>
      <c r="AB364" s="3">
        <v>0</v>
      </c>
      <c r="AC364" s="3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  <c r="AM364" s="1">
        <v>0</v>
      </c>
      <c r="AN364" t="s">
        <v>55</v>
      </c>
    </row>
    <row r="365" spans="1:40" x14ac:dyDescent="0.25">
      <c r="A365" t="s">
        <v>270</v>
      </c>
      <c r="B365" t="s">
        <v>57</v>
      </c>
      <c r="C365" s="4" t="s">
        <v>1744</v>
      </c>
      <c r="D365" t="s">
        <v>1745</v>
      </c>
      <c r="E365" t="s">
        <v>36</v>
      </c>
      <c r="F365" t="str">
        <f>LEFT(premier_player_23_24[[#This Row],[Position]],2)</f>
        <v>MF</v>
      </c>
      <c r="G365" s="3">
        <v>27</v>
      </c>
      <c r="H36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65" s="3">
        <v>4</v>
      </c>
      <c r="J365" s="3">
        <v>0</v>
      </c>
      <c r="K365" s="2">
        <v>93</v>
      </c>
      <c r="L365" s="2" t="str">
        <f>IF(premier_player_23_24[[#This Row],[Minutes]]&gt;1000,"More than 1000 minutes","Less than 1000 minutes")</f>
        <v>Less than 1000 minutes</v>
      </c>
      <c r="M365" s="2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2">
        <v>0</v>
      </c>
      <c r="V365" s="2">
        <v>0.1</v>
      </c>
      <c r="W365" s="2">
        <f>premier_player_23_24[[#This Row],[Goals]]-premier_player_23_24[[#This Row],[Expected Goals ]]</f>
        <v>-0.1</v>
      </c>
      <c r="X365" s="2">
        <v>0.1</v>
      </c>
      <c r="Y365" s="2">
        <v>0</v>
      </c>
      <c r="Z365" s="2">
        <v>0.1</v>
      </c>
      <c r="AA365" s="3">
        <v>7</v>
      </c>
      <c r="AB365" s="3">
        <v>7</v>
      </c>
      <c r="AC365" s="3">
        <v>3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7.0000000000000007E-2</v>
      </c>
      <c r="AJ365" s="1">
        <v>0</v>
      </c>
      <c r="AK365" s="1">
        <v>7.0000000000000007E-2</v>
      </c>
      <c r="AL365" s="1">
        <v>7.0000000000000007E-2</v>
      </c>
      <c r="AM365" s="1">
        <v>7.0000000000000007E-2</v>
      </c>
      <c r="AN365" t="s">
        <v>55</v>
      </c>
    </row>
    <row r="366" spans="1:40" x14ac:dyDescent="0.25">
      <c r="A366" t="s">
        <v>275</v>
      </c>
      <c r="B366" t="s">
        <v>35</v>
      </c>
      <c r="C366" s="4" t="s">
        <v>1764</v>
      </c>
      <c r="D366" t="s">
        <v>1765</v>
      </c>
      <c r="E366" t="s">
        <v>108</v>
      </c>
      <c r="F366" t="str">
        <f>LEFT(premier_player_23_24[[#This Row],[Position]],2)</f>
        <v>DF</v>
      </c>
      <c r="G366" s="3">
        <v>29</v>
      </c>
      <c r="H36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66" s="3">
        <v>1</v>
      </c>
      <c r="J366" s="3">
        <v>0</v>
      </c>
      <c r="K366" s="2">
        <v>12</v>
      </c>
      <c r="L366" s="2" t="str">
        <f>IF(premier_player_23_24[[#This Row],[Minutes]]&gt;1000,"More than 1000 minutes","Less than 1000 minutes")</f>
        <v>Less than 1000 minutes</v>
      </c>
      <c r="M366" s="2">
        <v>0.1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2">
        <v>0</v>
      </c>
      <c r="V366" s="2">
        <v>0</v>
      </c>
      <c r="W366" s="2">
        <f>premier_player_23_24[[#This Row],[Goals]]-premier_player_23_24[[#This Row],[Expected Goals ]]</f>
        <v>0</v>
      </c>
      <c r="X366" s="2">
        <v>0</v>
      </c>
      <c r="Y366" s="2">
        <v>0</v>
      </c>
      <c r="Z366" s="2">
        <v>0</v>
      </c>
      <c r="AA366" s="3">
        <v>0</v>
      </c>
      <c r="AB366" s="3">
        <v>0</v>
      </c>
      <c r="AC366" s="3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0.27</v>
      </c>
      <c r="AJ366" s="1">
        <v>0</v>
      </c>
      <c r="AK366" s="1">
        <v>0.27</v>
      </c>
      <c r="AL366" s="1">
        <v>0.27</v>
      </c>
      <c r="AM366" s="1">
        <v>0.27</v>
      </c>
      <c r="AN366" t="s">
        <v>55</v>
      </c>
    </row>
    <row r="367" spans="1:40" x14ac:dyDescent="0.25">
      <c r="A367" t="s">
        <v>277</v>
      </c>
      <c r="B367" t="s">
        <v>57</v>
      </c>
      <c r="C367" s="4" t="s">
        <v>1744</v>
      </c>
      <c r="D367" t="s">
        <v>1745</v>
      </c>
      <c r="E367" t="s">
        <v>36</v>
      </c>
      <c r="F367" t="str">
        <f>LEFT(premier_player_23_24[[#This Row],[Position]],2)</f>
        <v>MF</v>
      </c>
      <c r="G367" s="3">
        <v>21</v>
      </c>
      <c r="H36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67" s="3">
        <v>1</v>
      </c>
      <c r="J367" s="3">
        <v>0</v>
      </c>
      <c r="K367" s="2">
        <v>11</v>
      </c>
      <c r="L367" s="2" t="str">
        <f>IF(premier_player_23_24[[#This Row],[Minutes]]&gt;1000,"More than 1000 minutes","Less than 1000 minutes")</f>
        <v>Less than 1000 minutes</v>
      </c>
      <c r="M367" s="2">
        <v>0.1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2">
        <v>0</v>
      </c>
      <c r="V367" s="2">
        <v>0</v>
      </c>
      <c r="W367" s="2">
        <f>premier_player_23_24[[#This Row],[Goals]]-premier_player_23_24[[#This Row],[Expected Goals ]]</f>
        <v>0</v>
      </c>
      <c r="X367" s="2">
        <v>0</v>
      </c>
      <c r="Y367" s="2">
        <v>0</v>
      </c>
      <c r="Z367" s="2">
        <v>0</v>
      </c>
      <c r="AA367" s="3">
        <v>0</v>
      </c>
      <c r="AB367" s="3">
        <v>0</v>
      </c>
      <c r="AC367" s="3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0</v>
      </c>
      <c r="AM367" s="1">
        <v>0</v>
      </c>
      <c r="AN367" t="s">
        <v>55</v>
      </c>
    </row>
    <row r="368" spans="1:40" x14ac:dyDescent="0.25">
      <c r="A368" t="s">
        <v>278</v>
      </c>
      <c r="B368" t="s">
        <v>57</v>
      </c>
      <c r="C368" s="4" t="s">
        <v>1744</v>
      </c>
      <c r="D368" t="s">
        <v>1745</v>
      </c>
      <c r="E368" t="s">
        <v>36</v>
      </c>
      <c r="F368" t="str">
        <f>LEFT(premier_player_23_24[[#This Row],[Position]],2)</f>
        <v>MF</v>
      </c>
      <c r="G368" s="3">
        <v>20</v>
      </c>
      <c r="H36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68" s="3">
        <v>1</v>
      </c>
      <c r="J368" s="3">
        <v>0</v>
      </c>
      <c r="K368" s="2">
        <v>1</v>
      </c>
      <c r="L368" s="2" t="str">
        <f>IF(premier_player_23_24[[#This Row],[Minutes]]&gt;1000,"More than 1000 minutes","Less than 1000 minutes")</f>
        <v>Less than 1000 minutes</v>
      </c>
      <c r="M368" s="2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2">
        <v>0</v>
      </c>
      <c r="V368" s="2">
        <v>0</v>
      </c>
      <c r="W368" s="2">
        <f>premier_player_23_24[[#This Row],[Goals]]-premier_player_23_24[[#This Row],[Expected Goals ]]</f>
        <v>0</v>
      </c>
      <c r="X368" s="2">
        <v>0</v>
      </c>
      <c r="Y368" s="2">
        <v>0</v>
      </c>
      <c r="Z368" s="2">
        <v>0</v>
      </c>
      <c r="AA368" s="3">
        <v>0</v>
      </c>
      <c r="AB368" s="3">
        <v>0</v>
      </c>
      <c r="AC368" s="3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v>0</v>
      </c>
      <c r="AL368" s="1">
        <v>0</v>
      </c>
      <c r="AM368" s="1">
        <v>0</v>
      </c>
      <c r="AN368" t="s">
        <v>55</v>
      </c>
    </row>
    <row r="369" spans="1:40" x14ac:dyDescent="0.25">
      <c r="A369" t="s">
        <v>898</v>
      </c>
      <c r="B369" t="s">
        <v>57</v>
      </c>
      <c r="C369" s="4" t="s">
        <v>1744</v>
      </c>
      <c r="D369" t="s">
        <v>1745</v>
      </c>
      <c r="E369" t="s">
        <v>137</v>
      </c>
      <c r="F369" t="str">
        <f>LEFT(premier_player_23_24[[#This Row],[Position]],2)</f>
        <v>FW</v>
      </c>
      <c r="G369" s="3">
        <v>19</v>
      </c>
      <c r="H36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69" s="3">
        <v>4</v>
      </c>
      <c r="J369" s="3">
        <v>1</v>
      </c>
      <c r="K369" s="2">
        <v>70</v>
      </c>
      <c r="L369" s="2" t="str">
        <f>IF(premier_player_23_24[[#This Row],[Minutes]]&gt;1000,"More than 1000 minutes","Less than 1000 minutes")</f>
        <v>Less than 1000 minutes</v>
      </c>
      <c r="M369" s="2">
        <v>0.8</v>
      </c>
      <c r="N369" s="3">
        <v>0</v>
      </c>
      <c r="O369" s="3">
        <v>1</v>
      </c>
      <c r="P369" s="3">
        <v>1</v>
      </c>
      <c r="Q369" s="3">
        <v>0</v>
      </c>
      <c r="R369" s="3">
        <v>0</v>
      </c>
      <c r="S369" s="3">
        <v>0</v>
      </c>
      <c r="T369" s="2">
        <v>0</v>
      </c>
      <c r="U369" s="2">
        <v>0</v>
      </c>
      <c r="V369" s="2">
        <v>0</v>
      </c>
      <c r="W369" s="2">
        <f>premier_player_23_24[[#This Row],[Goals]]-premier_player_23_24[[#This Row],[Expected Goals ]]</f>
        <v>0</v>
      </c>
      <c r="X369" s="2">
        <v>0</v>
      </c>
      <c r="Y369" s="2">
        <v>0.2</v>
      </c>
      <c r="Z369" s="2">
        <v>0.2</v>
      </c>
      <c r="AA369" s="3">
        <v>1</v>
      </c>
      <c r="AB369" s="3">
        <v>2</v>
      </c>
      <c r="AC369" s="3">
        <v>2</v>
      </c>
      <c r="AD369" s="1">
        <v>0</v>
      </c>
      <c r="AE369" s="1">
        <v>1.29</v>
      </c>
      <c r="AF369" s="1">
        <v>1.29</v>
      </c>
      <c r="AG369" s="1">
        <v>0</v>
      </c>
      <c r="AH369" s="1">
        <v>1.29</v>
      </c>
      <c r="AI369" s="1">
        <v>0.04</v>
      </c>
      <c r="AJ369" s="1">
        <v>0.23</v>
      </c>
      <c r="AK369" s="1">
        <v>0.27</v>
      </c>
      <c r="AL369" s="1">
        <v>0.04</v>
      </c>
      <c r="AM369" s="1">
        <v>0.27</v>
      </c>
      <c r="AN369" t="s">
        <v>829</v>
      </c>
    </row>
    <row r="370" spans="1:40" x14ac:dyDescent="0.25">
      <c r="A370" t="s">
        <v>896</v>
      </c>
      <c r="B370" t="s">
        <v>897</v>
      </c>
      <c r="C370" s="4" t="s">
        <v>1850</v>
      </c>
      <c r="D370" t="s">
        <v>1851</v>
      </c>
      <c r="E370" t="s">
        <v>86</v>
      </c>
      <c r="F370" t="str">
        <f>LEFT(premier_player_23_24[[#This Row],[Position]],2)</f>
        <v>MF</v>
      </c>
      <c r="G370" s="3">
        <v>20</v>
      </c>
      <c r="H37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70" s="3">
        <v>5</v>
      </c>
      <c r="J370" s="3">
        <v>1</v>
      </c>
      <c r="K370" s="2">
        <v>133</v>
      </c>
      <c r="L370" s="2" t="str">
        <f>IF(premier_player_23_24[[#This Row],[Minutes]]&gt;1000,"More than 1000 minutes","Less than 1000 minutes")</f>
        <v>Less than 1000 minutes</v>
      </c>
      <c r="M370" s="2">
        <v>1.5</v>
      </c>
      <c r="N370" s="3">
        <v>1</v>
      </c>
      <c r="O370" s="3">
        <v>0</v>
      </c>
      <c r="P370" s="3">
        <v>1</v>
      </c>
      <c r="Q370" s="3">
        <v>1</v>
      </c>
      <c r="R370" s="3">
        <v>0</v>
      </c>
      <c r="S370" s="3">
        <v>0</v>
      </c>
      <c r="T370" s="2">
        <v>1</v>
      </c>
      <c r="U370" s="2">
        <v>0</v>
      </c>
      <c r="V370" s="2">
        <v>0</v>
      </c>
      <c r="W370" s="2">
        <f>premier_player_23_24[[#This Row],[Goals]]-premier_player_23_24[[#This Row],[Expected Goals ]]</f>
        <v>1</v>
      </c>
      <c r="X370" s="2">
        <v>0</v>
      </c>
      <c r="Y370" s="2">
        <v>0.4</v>
      </c>
      <c r="Z370" s="2">
        <v>0.4</v>
      </c>
      <c r="AA370" s="3">
        <v>2</v>
      </c>
      <c r="AB370" s="3">
        <v>6</v>
      </c>
      <c r="AC370" s="3">
        <v>10</v>
      </c>
      <c r="AD370" s="1">
        <v>0.68</v>
      </c>
      <c r="AE370" s="1">
        <v>0</v>
      </c>
      <c r="AF370" s="1">
        <v>0.68</v>
      </c>
      <c r="AG370" s="1">
        <v>0.68</v>
      </c>
      <c r="AH370" s="1">
        <v>0.68</v>
      </c>
      <c r="AI370" s="1">
        <v>0.02</v>
      </c>
      <c r="AJ370" s="1">
        <v>0.25</v>
      </c>
      <c r="AK370" s="1">
        <v>0.27</v>
      </c>
      <c r="AL370" s="1">
        <v>0.02</v>
      </c>
      <c r="AM370" s="1">
        <v>0.27</v>
      </c>
      <c r="AN370" t="s">
        <v>829</v>
      </c>
    </row>
    <row r="371" spans="1:40" x14ac:dyDescent="0.25">
      <c r="A371" t="s">
        <v>832</v>
      </c>
      <c r="B371" t="s">
        <v>122</v>
      </c>
      <c r="C371" s="4" t="s">
        <v>1742</v>
      </c>
      <c r="D371" t="s">
        <v>1743</v>
      </c>
      <c r="E371" t="s">
        <v>86</v>
      </c>
      <c r="F371" t="str">
        <f>LEFT(premier_player_23_24[[#This Row],[Position]],2)</f>
        <v>MF</v>
      </c>
      <c r="G371" s="3">
        <v>28</v>
      </c>
      <c r="H37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71" s="3">
        <v>35</v>
      </c>
      <c r="J371" s="3">
        <v>35</v>
      </c>
      <c r="K371" s="2">
        <v>3118</v>
      </c>
      <c r="L371" s="2" t="str">
        <f>IF(premier_player_23_24[[#This Row],[Minutes]]&gt;1000,"More than 1000 minutes","Less than 1000 minutes")</f>
        <v>More than 1000 minutes</v>
      </c>
      <c r="M371" s="2">
        <v>34.6</v>
      </c>
      <c r="N371" s="3">
        <v>10</v>
      </c>
      <c r="O371" s="3">
        <v>8</v>
      </c>
      <c r="P371" s="3">
        <v>18</v>
      </c>
      <c r="Q371" s="3">
        <v>6</v>
      </c>
      <c r="R371" s="3">
        <v>4</v>
      </c>
      <c r="S371" s="3">
        <v>5</v>
      </c>
      <c r="T371" s="2">
        <v>9</v>
      </c>
      <c r="U371" s="2">
        <v>0</v>
      </c>
      <c r="V371" s="2">
        <v>10</v>
      </c>
      <c r="W371" s="2">
        <f>premier_player_23_24[[#This Row],[Goals]]-premier_player_23_24[[#This Row],[Expected Goals ]]</f>
        <v>0</v>
      </c>
      <c r="X371" s="2">
        <v>6.1</v>
      </c>
      <c r="Y371" s="2">
        <v>11.8</v>
      </c>
      <c r="Z371" s="2">
        <v>17.8</v>
      </c>
      <c r="AA371" s="3">
        <v>86</v>
      </c>
      <c r="AB371" s="3">
        <v>297</v>
      </c>
      <c r="AC371" s="3">
        <v>182</v>
      </c>
      <c r="AD371" s="1">
        <v>0.28999999999999998</v>
      </c>
      <c r="AE371" s="1">
        <v>0.23</v>
      </c>
      <c r="AF371" s="1">
        <v>0.52</v>
      </c>
      <c r="AG371" s="1">
        <v>0.17</v>
      </c>
      <c r="AH371" s="1">
        <v>0.4</v>
      </c>
      <c r="AI371" s="1">
        <v>0.28999999999999998</v>
      </c>
      <c r="AJ371" s="1">
        <v>0.34</v>
      </c>
      <c r="AK371" s="1">
        <v>0.63</v>
      </c>
      <c r="AL371" s="1">
        <v>0.18</v>
      </c>
      <c r="AM371" s="1">
        <v>0.51</v>
      </c>
      <c r="AN371" t="s">
        <v>829</v>
      </c>
    </row>
    <row r="372" spans="1:40" x14ac:dyDescent="0.25">
      <c r="A372" t="s">
        <v>895</v>
      </c>
      <c r="B372" t="s">
        <v>342</v>
      </c>
      <c r="C372" s="4" t="s">
        <v>1840</v>
      </c>
      <c r="D372" t="s">
        <v>1841</v>
      </c>
      <c r="E372" t="s">
        <v>58</v>
      </c>
      <c r="F372" t="str">
        <f>LEFT(premier_player_23_24[[#This Row],[Position]],2)</f>
        <v>FW</v>
      </c>
      <c r="G372" s="3">
        <v>21</v>
      </c>
      <c r="H37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72" s="3">
        <v>9</v>
      </c>
      <c r="J372" s="3">
        <v>1</v>
      </c>
      <c r="K372" s="2">
        <v>172</v>
      </c>
      <c r="L372" s="2" t="str">
        <f>IF(premier_player_23_24[[#This Row],[Minutes]]&gt;1000,"More than 1000 minutes","Less than 1000 minutes")</f>
        <v>Less than 1000 minutes</v>
      </c>
      <c r="M372" s="2">
        <v>1.9</v>
      </c>
      <c r="N372" s="3">
        <v>0</v>
      </c>
      <c r="O372" s="3">
        <v>1</v>
      </c>
      <c r="P372" s="3">
        <v>1</v>
      </c>
      <c r="Q372" s="3">
        <v>0</v>
      </c>
      <c r="R372" s="3">
        <v>0</v>
      </c>
      <c r="S372" s="3">
        <v>0</v>
      </c>
      <c r="T372" s="2">
        <v>0</v>
      </c>
      <c r="U372" s="2">
        <v>0</v>
      </c>
      <c r="V372" s="2">
        <v>0.7</v>
      </c>
      <c r="W372" s="2">
        <f>premier_player_23_24[[#This Row],[Goals]]-premier_player_23_24[[#This Row],[Expected Goals ]]</f>
        <v>-0.7</v>
      </c>
      <c r="X372" s="2">
        <v>0.7</v>
      </c>
      <c r="Y372" s="2">
        <v>0.1</v>
      </c>
      <c r="Z372" s="2">
        <v>0.8</v>
      </c>
      <c r="AA372" s="3">
        <v>6</v>
      </c>
      <c r="AB372" s="3">
        <v>6</v>
      </c>
      <c r="AC372" s="3">
        <v>31</v>
      </c>
      <c r="AD372" s="1">
        <v>0</v>
      </c>
      <c r="AE372" s="1">
        <v>0.52</v>
      </c>
      <c r="AF372" s="1">
        <v>0.52</v>
      </c>
      <c r="AG372" s="1">
        <v>0</v>
      </c>
      <c r="AH372" s="1">
        <v>0.52</v>
      </c>
      <c r="AI372" s="1">
        <v>0.38</v>
      </c>
      <c r="AJ372" s="1">
        <v>0.05</v>
      </c>
      <c r="AK372" s="1">
        <v>0.43</v>
      </c>
      <c r="AL372" s="1">
        <v>0.38</v>
      </c>
      <c r="AM372" s="1">
        <v>0.43</v>
      </c>
      <c r="AN372" t="s">
        <v>829</v>
      </c>
    </row>
    <row r="373" spans="1:40" x14ac:dyDescent="0.25">
      <c r="A373" t="s">
        <v>849</v>
      </c>
      <c r="B373" t="s">
        <v>804</v>
      </c>
      <c r="C373" s="4" t="s">
        <v>1788</v>
      </c>
      <c r="D373" t="s">
        <v>1789</v>
      </c>
      <c r="E373" t="s">
        <v>137</v>
      </c>
      <c r="F373" t="str">
        <f>LEFT(premier_player_23_24[[#This Row],[Position]],2)</f>
        <v>FW</v>
      </c>
      <c r="G373" s="3">
        <v>20</v>
      </c>
      <c r="H37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73" s="3">
        <v>30</v>
      </c>
      <c r="J373" s="3">
        <v>25</v>
      </c>
      <c r="K373" s="2">
        <v>2158</v>
      </c>
      <c r="L373" s="2" t="str">
        <f>IF(premier_player_23_24[[#This Row],[Minutes]]&gt;1000,"More than 1000 minutes","Less than 1000 minutes")</f>
        <v>More than 1000 minutes</v>
      </c>
      <c r="M373" s="2">
        <v>24</v>
      </c>
      <c r="N373" s="3">
        <v>10</v>
      </c>
      <c r="O373" s="3">
        <v>2</v>
      </c>
      <c r="P373" s="3">
        <v>12</v>
      </c>
      <c r="Q373" s="3">
        <v>10</v>
      </c>
      <c r="R373" s="3">
        <v>0</v>
      </c>
      <c r="S373" s="3">
        <v>0</v>
      </c>
      <c r="T373" s="2">
        <v>2</v>
      </c>
      <c r="U373" s="2">
        <v>0</v>
      </c>
      <c r="V373" s="2">
        <v>7.6</v>
      </c>
      <c r="W373" s="2">
        <f>premier_player_23_24[[#This Row],[Goals]]-premier_player_23_24[[#This Row],[Expected Goals ]]</f>
        <v>2.4000000000000004</v>
      </c>
      <c r="X373" s="2">
        <v>7.6</v>
      </c>
      <c r="Y373" s="2">
        <v>1.6</v>
      </c>
      <c r="Z373" s="2">
        <v>9.1999999999999993</v>
      </c>
      <c r="AA373" s="3">
        <v>36</v>
      </c>
      <c r="AB373" s="3">
        <v>33</v>
      </c>
      <c r="AC373" s="3">
        <v>111</v>
      </c>
      <c r="AD373" s="1">
        <v>0.42</v>
      </c>
      <c r="AE373" s="1">
        <v>0.08</v>
      </c>
      <c r="AF373" s="1">
        <v>0.5</v>
      </c>
      <c r="AG373" s="1">
        <v>0.42</v>
      </c>
      <c r="AH373" s="1">
        <v>0.5</v>
      </c>
      <c r="AI373" s="1">
        <v>0.32</v>
      </c>
      <c r="AJ373" s="1">
        <v>7.0000000000000007E-2</v>
      </c>
      <c r="AK373" s="1">
        <v>0.38</v>
      </c>
      <c r="AL373" s="1">
        <v>0.32</v>
      </c>
      <c r="AM373" s="1">
        <v>0.38</v>
      </c>
      <c r="AN373" t="s">
        <v>829</v>
      </c>
    </row>
    <row r="374" spans="1:40" x14ac:dyDescent="0.25">
      <c r="A374" t="s">
        <v>890</v>
      </c>
      <c r="B374" t="s">
        <v>891</v>
      </c>
      <c r="C374" s="4" t="s">
        <v>1798</v>
      </c>
      <c r="D374" t="s">
        <v>1799</v>
      </c>
      <c r="E374" t="s">
        <v>58</v>
      </c>
      <c r="F374" t="str">
        <f>LEFT(premier_player_23_24[[#This Row],[Position]],2)</f>
        <v>FW</v>
      </c>
      <c r="G374" s="3">
        <v>21</v>
      </c>
      <c r="H37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74" s="3">
        <v>9</v>
      </c>
      <c r="J374" s="3">
        <v>3</v>
      </c>
      <c r="K374" s="2">
        <v>390</v>
      </c>
      <c r="L374" s="2" t="str">
        <f>IF(premier_player_23_24[[#This Row],[Minutes]]&gt;1000,"More than 1000 minutes","Less than 1000 minutes")</f>
        <v>Less than 1000 minutes</v>
      </c>
      <c r="M374" s="2">
        <v>4.3</v>
      </c>
      <c r="N374" s="3">
        <v>1</v>
      </c>
      <c r="O374" s="3">
        <v>1</v>
      </c>
      <c r="P374" s="3">
        <v>2</v>
      </c>
      <c r="Q374" s="3">
        <v>1</v>
      </c>
      <c r="R374" s="3">
        <v>0</v>
      </c>
      <c r="S374" s="3">
        <v>0</v>
      </c>
      <c r="T374" s="2">
        <v>1</v>
      </c>
      <c r="U374" s="2">
        <v>0</v>
      </c>
      <c r="V374" s="2">
        <v>0.5</v>
      </c>
      <c r="W374" s="2">
        <f>premier_player_23_24[[#This Row],[Goals]]-premier_player_23_24[[#This Row],[Expected Goals ]]</f>
        <v>0.5</v>
      </c>
      <c r="X374" s="2">
        <v>0.5</v>
      </c>
      <c r="Y374" s="2">
        <v>1.1000000000000001</v>
      </c>
      <c r="Z374" s="2">
        <v>1.6</v>
      </c>
      <c r="AA374" s="3">
        <v>11</v>
      </c>
      <c r="AB374" s="3">
        <v>10</v>
      </c>
      <c r="AC374" s="3">
        <v>31</v>
      </c>
      <c r="AD374" s="1">
        <v>0.23</v>
      </c>
      <c r="AE374" s="1">
        <v>0.23</v>
      </c>
      <c r="AF374" s="1">
        <v>0.46</v>
      </c>
      <c r="AG374" s="1">
        <v>0.23</v>
      </c>
      <c r="AH374" s="1">
        <v>0.46</v>
      </c>
      <c r="AI374" s="1">
        <v>0.12</v>
      </c>
      <c r="AJ374" s="1">
        <v>0.24</v>
      </c>
      <c r="AK374" s="1">
        <v>0.36</v>
      </c>
      <c r="AL374" s="1">
        <v>0.12</v>
      </c>
      <c r="AM374" s="1">
        <v>0.36</v>
      </c>
      <c r="AN374" t="s">
        <v>829</v>
      </c>
    </row>
    <row r="375" spans="1:40" x14ac:dyDescent="0.25">
      <c r="A375" t="s">
        <v>837</v>
      </c>
      <c r="B375" t="s">
        <v>85</v>
      </c>
      <c r="C375" s="4" t="s">
        <v>1778</v>
      </c>
      <c r="D375" t="s">
        <v>1779</v>
      </c>
      <c r="E375" t="s">
        <v>137</v>
      </c>
      <c r="F375" t="str">
        <f>LEFT(premier_player_23_24[[#This Row],[Position]],2)</f>
        <v>FW</v>
      </c>
      <c r="G375" s="3">
        <v>19</v>
      </c>
      <c r="H37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75" s="3">
        <v>36</v>
      </c>
      <c r="J375" s="3">
        <v>30</v>
      </c>
      <c r="K375" s="2">
        <v>2565</v>
      </c>
      <c r="L375" s="2" t="str">
        <f>IF(premier_player_23_24[[#This Row],[Minutes]]&gt;1000,"More than 1000 minutes","Less than 1000 minutes")</f>
        <v>More than 1000 minutes</v>
      </c>
      <c r="M375" s="2">
        <v>28.5</v>
      </c>
      <c r="N375" s="3">
        <v>7</v>
      </c>
      <c r="O375" s="3">
        <v>4</v>
      </c>
      <c r="P375" s="3">
        <v>11</v>
      </c>
      <c r="Q375" s="3">
        <v>7</v>
      </c>
      <c r="R375" s="3">
        <v>0</v>
      </c>
      <c r="S375" s="3">
        <v>0</v>
      </c>
      <c r="T375" s="2">
        <v>4</v>
      </c>
      <c r="U375" s="2">
        <v>0</v>
      </c>
      <c r="V375" s="2">
        <v>8.4</v>
      </c>
      <c r="W375" s="2">
        <f>premier_player_23_24[[#This Row],[Goals]]-premier_player_23_24[[#This Row],[Expected Goals ]]</f>
        <v>-1.4000000000000004</v>
      </c>
      <c r="X375" s="2">
        <v>8.3000000000000007</v>
      </c>
      <c r="Y375" s="2">
        <v>5.0999999999999996</v>
      </c>
      <c r="Z375" s="2">
        <v>13.4</v>
      </c>
      <c r="AA375" s="3">
        <v>178</v>
      </c>
      <c r="AB375" s="3">
        <v>62</v>
      </c>
      <c r="AC375" s="3">
        <v>281</v>
      </c>
      <c r="AD375" s="1">
        <v>0.25</v>
      </c>
      <c r="AE375" s="1">
        <v>0.14000000000000001</v>
      </c>
      <c r="AF375" s="1">
        <v>0.39</v>
      </c>
      <c r="AG375" s="1">
        <v>0.25</v>
      </c>
      <c r="AH375" s="1">
        <v>0.39</v>
      </c>
      <c r="AI375" s="1">
        <v>0.28999999999999998</v>
      </c>
      <c r="AJ375" s="1">
        <v>0.18</v>
      </c>
      <c r="AK375" s="1">
        <v>0.47</v>
      </c>
      <c r="AL375" s="1">
        <v>0.28999999999999998</v>
      </c>
      <c r="AM375" s="1">
        <v>0.47</v>
      </c>
      <c r="AN375" t="s">
        <v>829</v>
      </c>
    </row>
    <row r="376" spans="1:40" x14ac:dyDescent="0.25">
      <c r="A376" t="s">
        <v>858</v>
      </c>
      <c r="B376" t="s">
        <v>360</v>
      </c>
      <c r="C376" s="4" t="s">
        <v>1776</v>
      </c>
      <c r="D376" t="s">
        <v>1777</v>
      </c>
      <c r="E376" t="s">
        <v>86</v>
      </c>
      <c r="F376" t="str">
        <f>LEFT(premier_player_23_24[[#This Row],[Position]],2)</f>
        <v>MF</v>
      </c>
      <c r="G376" s="3">
        <v>26</v>
      </c>
      <c r="H37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76" s="3">
        <v>32</v>
      </c>
      <c r="J376" s="3">
        <v>18</v>
      </c>
      <c r="K376" s="2">
        <v>1901</v>
      </c>
      <c r="L376" s="2" t="str">
        <f>IF(premier_player_23_24[[#This Row],[Minutes]]&gt;1000,"More than 1000 minutes","Less than 1000 minutes")</f>
        <v>More than 1000 minutes</v>
      </c>
      <c r="M376" s="2">
        <v>21.1</v>
      </c>
      <c r="N376" s="3">
        <v>7</v>
      </c>
      <c r="O376" s="3">
        <v>1</v>
      </c>
      <c r="P376" s="3">
        <v>8</v>
      </c>
      <c r="Q376" s="3">
        <v>7</v>
      </c>
      <c r="R376" s="3">
        <v>0</v>
      </c>
      <c r="S376" s="3">
        <v>0</v>
      </c>
      <c r="T376" s="2">
        <v>2</v>
      </c>
      <c r="U376" s="2">
        <v>0</v>
      </c>
      <c r="V376" s="2">
        <v>5.7</v>
      </c>
      <c r="W376" s="2">
        <f>premier_player_23_24[[#This Row],[Goals]]-premier_player_23_24[[#This Row],[Expected Goals ]]</f>
        <v>1.2999999999999998</v>
      </c>
      <c r="X376" s="2">
        <v>5.7</v>
      </c>
      <c r="Y376" s="2">
        <v>0.8</v>
      </c>
      <c r="Z376" s="2">
        <v>6.6</v>
      </c>
      <c r="AA376" s="3">
        <v>29</v>
      </c>
      <c r="AB376" s="3">
        <v>64</v>
      </c>
      <c r="AC376" s="3">
        <v>47</v>
      </c>
      <c r="AD376" s="1">
        <v>0.33</v>
      </c>
      <c r="AE376" s="1">
        <v>0.05</v>
      </c>
      <c r="AF376" s="1">
        <v>0.38</v>
      </c>
      <c r="AG376" s="1">
        <v>0.33</v>
      </c>
      <c r="AH376" s="1">
        <v>0.38</v>
      </c>
      <c r="AI376" s="1">
        <v>0.27</v>
      </c>
      <c r="AJ376" s="1">
        <v>0.04</v>
      </c>
      <c r="AK376" s="1">
        <v>0.31</v>
      </c>
      <c r="AL376" s="1">
        <v>0.27</v>
      </c>
      <c r="AM376" s="1">
        <v>0.31</v>
      </c>
      <c r="AN376" t="s">
        <v>829</v>
      </c>
    </row>
    <row r="377" spans="1:40" x14ac:dyDescent="0.25">
      <c r="A377" t="s">
        <v>844</v>
      </c>
      <c r="B377" t="s">
        <v>57</v>
      </c>
      <c r="C377" s="4" t="s">
        <v>1744</v>
      </c>
      <c r="D377" t="s">
        <v>1745</v>
      </c>
      <c r="E377" t="s">
        <v>137</v>
      </c>
      <c r="F377" t="str">
        <f>LEFT(premier_player_23_24[[#This Row],[Position]],2)</f>
        <v>FW</v>
      </c>
      <c r="G377" s="3">
        <v>25</v>
      </c>
      <c r="H37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77" s="3">
        <v>33</v>
      </c>
      <c r="J377" s="3">
        <v>26</v>
      </c>
      <c r="K377" s="2">
        <v>2271</v>
      </c>
      <c r="L377" s="2" t="str">
        <f>IF(premier_player_23_24[[#This Row],[Minutes]]&gt;1000,"More than 1000 minutes","Less than 1000 minutes")</f>
        <v>More than 1000 minutes</v>
      </c>
      <c r="M377" s="2">
        <v>25.2</v>
      </c>
      <c r="N377" s="3">
        <v>7</v>
      </c>
      <c r="O377" s="3">
        <v>2</v>
      </c>
      <c r="P377" s="3">
        <v>9</v>
      </c>
      <c r="Q377" s="3">
        <v>5</v>
      </c>
      <c r="R377" s="3">
        <v>2</v>
      </c>
      <c r="S377" s="3">
        <v>2</v>
      </c>
      <c r="T377" s="2">
        <v>2</v>
      </c>
      <c r="U377" s="2">
        <v>0</v>
      </c>
      <c r="V377" s="2">
        <v>7.4</v>
      </c>
      <c r="W377" s="2">
        <f>premier_player_23_24[[#This Row],[Goals]]-premier_player_23_24[[#This Row],[Expected Goals ]]</f>
        <v>-0.40000000000000036</v>
      </c>
      <c r="X377" s="2">
        <v>5.8</v>
      </c>
      <c r="Y377" s="2">
        <v>2.2999999999999998</v>
      </c>
      <c r="Z377" s="2">
        <v>8.1</v>
      </c>
      <c r="AA377" s="3">
        <v>95</v>
      </c>
      <c r="AB377" s="3">
        <v>65</v>
      </c>
      <c r="AC377" s="3">
        <v>184</v>
      </c>
      <c r="AD377" s="1">
        <v>0.28000000000000003</v>
      </c>
      <c r="AE377" s="1">
        <v>0.08</v>
      </c>
      <c r="AF377" s="1">
        <v>0.36</v>
      </c>
      <c r="AG377" s="1">
        <v>0.2</v>
      </c>
      <c r="AH377" s="1">
        <v>0.28000000000000003</v>
      </c>
      <c r="AI377" s="1">
        <v>0.28999999999999998</v>
      </c>
      <c r="AJ377" s="1">
        <v>0.09</v>
      </c>
      <c r="AK377" s="1">
        <v>0.38</v>
      </c>
      <c r="AL377" s="1">
        <v>0.23</v>
      </c>
      <c r="AM377" s="1">
        <v>0.32</v>
      </c>
      <c r="AN377" t="s">
        <v>829</v>
      </c>
    </row>
    <row r="378" spans="1:40" x14ac:dyDescent="0.25">
      <c r="A378" t="s">
        <v>875</v>
      </c>
      <c r="B378" t="s">
        <v>804</v>
      </c>
      <c r="C378" s="4" t="s">
        <v>1788</v>
      </c>
      <c r="D378" t="s">
        <v>1789</v>
      </c>
      <c r="E378" t="s">
        <v>36</v>
      </c>
      <c r="F378" t="str">
        <f>LEFT(premier_player_23_24[[#This Row],[Position]],2)</f>
        <v>MF</v>
      </c>
      <c r="G378" s="3">
        <v>31</v>
      </c>
      <c r="H37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78" s="3">
        <v>22</v>
      </c>
      <c r="J378" s="3">
        <v>12</v>
      </c>
      <c r="K378" s="2">
        <v>1141</v>
      </c>
      <c r="L378" s="2" t="str">
        <f>IF(premier_player_23_24[[#This Row],[Minutes]]&gt;1000,"More than 1000 minutes","Less than 1000 minutes")</f>
        <v>More than 1000 minutes</v>
      </c>
      <c r="M378" s="2">
        <v>12.7</v>
      </c>
      <c r="N378" s="3">
        <v>1</v>
      </c>
      <c r="O378" s="3">
        <v>2</v>
      </c>
      <c r="P378" s="3">
        <v>3</v>
      </c>
      <c r="Q378" s="3">
        <v>1</v>
      </c>
      <c r="R378" s="3">
        <v>0</v>
      </c>
      <c r="S378" s="3">
        <v>0</v>
      </c>
      <c r="T378" s="2">
        <v>1</v>
      </c>
      <c r="U378" s="2">
        <v>0</v>
      </c>
      <c r="V378" s="2">
        <v>1</v>
      </c>
      <c r="W378" s="2">
        <f>premier_player_23_24[[#This Row],[Goals]]-premier_player_23_24[[#This Row],[Expected Goals ]]</f>
        <v>0</v>
      </c>
      <c r="X378" s="2">
        <v>1</v>
      </c>
      <c r="Y378" s="2">
        <v>2.2999999999999998</v>
      </c>
      <c r="Z378" s="2">
        <v>3.3</v>
      </c>
      <c r="AA378" s="3">
        <v>20</v>
      </c>
      <c r="AB378" s="3">
        <v>68</v>
      </c>
      <c r="AC378" s="3">
        <v>23</v>
      </c>
      <c r="AD378" s="1">
        <v>0.08</v>
      </c>
      <c r="AE378" s="1">
        <v>0.16</v>
      </c>
      <c r="AF378" s="1">
        <v>0.24</v>
      </c>
      <c r="AG378" s="1">
        <v>0.08</v>
      </c>
      <c r="AH378" s="1">
        <v>0.24</v>
      </c>
      <c r="AI378" s="1">
        <v>0.08</v>
      </c>
      <c r="AJ378" s="1">
        <v>0.18</v>
      </c>
      <c r="AK378" s="1">
        <v>0.26</v>
      </c>
      <c r="AL378" s="1">
        <v>0.08</v>
      </c>
      <c r="AM378" s="1">
        <v>0.26</v>
      </c>
      <c r="AN378" t="s">
        <v>829</v>
      </c>
    </row>
    <row r="379" spans="1:40" x14ac:dyDescent="0.25">
      <c r="A379" t="s">
        <v>861</v>
      </c>
      <c r="B379" t="s">
        <v>57</v>
      </c>
      <c r="C379" s="4" t="s">
        <v>1744</v>
      </c>
      <c r="D379" t="s">
        <v>1745</v>
      </c>
      <c r="E379" t="s">
        <v>108</v>
      </c>
      <c r="F379" t="str">
        <f>LEFT(premier_player_23_24[[#This Row],[Position]],2)</f>
        <v>DF</v>
      </c>
      <c r="G379" s="3">
        <v>30</v>
      </c>
      <c r="H37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79" s="3">
        <v>22</v>
      </c>
      <c r="J379" s="3">
        <v>18</v>
      </c>
      <c r="K379" s="2">
        <v>1653</v>
      </c>
      <c r="L379" s="2" t="str">
        <f>IF(premier_player_23_24[[#This Row],[Minutes]]&gt;1000,"More than 1000 minutes","Less than 1000 minutes")</f>
        <v>More than 1000 minutes</v>
      </c>
      <c r="M379" s="2">
        <v>18.399999999999999</v>
      </c>
      <c r="N379" s="3">
        <v>2</v>
      </c>
      <c r="O379" s="3">
        <v>2</v>
      </c>
      <c r="P379" s="3">
        <v>4</v>
      </c>
      <c r="Q379" s="3">
        <v>2</v>
      </c>
      <c r="R379" s="3">
        <v>0</v>
      </c>
      <c r="S379" s="3">
        <v>0</v>
      </c>
      <c r="T379" s="2">
        <v>4</v>
      </c>
      <c r="U379" s="2">
        <v>0</v>
      </c>
      <c r="V379" s="2">
        <v>2</v>
      </c>
      <c r="W379" s="2">
        <f>premier_player_23_24[[#This Row],[Goals]]-premier_player_23_24[[#This Row],[Expected Goals ]]</f>
        <v>0</v>
      </c>
      <c r="X379" s="2">
        <v>2</v>
      </c>
      <c r="Y379" s="2">
        <v>1.2</v>
      </c>
      <c r="Z379" s="2">
        <v>3.3</v>
      </c>
      <c r="AA379" s="3">
        <v>20</v>
      </c>
      <c r="AB379" s="3">
        <v>73</v>
      </c>
      <c r="AC379" s="3">
        <v>2</v>
      </c>
      <c r="AD379" s="1">
        <v>0.11</v>
      </c>
      <c r="AE379" s="1">
        <v>0.11</v>
      </c>
      <c r="AF379" s="1">
        <v>0.22</v>
      </c>
      <c r="AG379" s="1">
        <v>0.11</v>
      </c>
      <c r="AH379" s="1">
        <v>0.22</v>
      </c>
      <c r="AI379" s="1">
        <v>0.11</v>
      </c>
      <c r="AJ379" s="1">
        <v>7.0000000000000007E-2</v>
      </c>
      <c r="AK379" s="1">
        <v>0.18</v>
      </c>
      <c r="AL379" s="1">
        <v>0.11</v>
      </c>
      <c r="AM379" s="1">
        <v>0.18</v>
      </c>
      <c r="AN379" t="s">
        <v>829</v>
      </c>
    </row>
    <row r="380" spans="1:40" x14ac:dyDescent="0.25">
      <c r="A380" t="s">
        <v>886</v>
      </c>
      <c r="B380" t="s">
        <v>376</v>
      </c>
      <c r="C380" s="4" t="s">
        <v>1762</v>
      </c>
      <c r="D380" t="s">
        <v>1763</v>
      </c>
      <c r="E380" t="s">
        <v>137</v>
      </c>
      <c r="F380" t="str">
        <f>LEFT(premier_player_23_24[[#This Row],[Position]],2)</f>
        <v>FW</v>
      </c>
      <c r="G380" s="3">
        <v>27</v>
      </c>
      <c r="H38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80" s="3">
        <v>13</v>
      </c>
      <c r="J380" s="3">
        <v>5</v>
      </c>
      <c r="K380" s="2">
        <v>448</v>
      </c>
      <c r="L380" s="2" t="str">
        <f>IF(premier_player_23_24[[#This Row],[Minutes]]&gt;1000,"More than 1000 minutes","Less than 1000 minutes")</f>
        <v>Less than 1000 minutes</v>
      </c>
      <c r="M380" s="2">
        <v>5</v>
      </c>
      <c r="N380" s="3">
        <v>1</v>
      </c>
      <c r="O380" s="3">
        <v>0</v>
      </c>
      <c r="P380" s="3">
        <v>1</v>
      </c>
      <c r="Q380" s="3">
        <v>1</v>
      </c>
      <c r="R380" s="3">
        <v>0</v>
      </c>
      <c r="S380" s="3">
        <v>0</v>
      </c>
      <c r="T380" s="2">
        <v>0</v>
      </c>
      <c r="U380" s="2">
        <v>0</v>
      </c>
      <c r="V380" s="2">
        <v>1.2</v>
      </c>
      <c r="W380" s="2">
        <f>premier_player_23_24[[#This Row],[Goals]]-premier_player_23_24[[#This Row],[Expected Goals ]]</f>
        <v>-0.19999999999999996</v>
      </c>
      <c r="X380" s="2">
        <v>1.2</v>
      </c>
      <c r="Y380" s="2">
        <v>0.2</v>
      </c>
      <c r="Z380" s="2">
        <v>1.5</v>
      </c>
      <c r="AA380" s="3">
        <v>6</v>
      </c>
      <c r="AB380" s="3">
        <v>12</v>
      </c>
      <c r="AC380" s="3">
        <v>36</v>
      </c>
      <c r="AD380" s="1">
        <v>0.2</v>
      </c>
      <c r="AE380" s="1">
        <v>0</v>
      </c>
      <c r="AF380" s="1">
        <v>0.2</v>
      </c>
      <c r="AG380" s="1">
        <v>0.2</v>
      </c>
      <c r="AH380" s="1">
        <v>0.2</v>
      </c>
      <c r="AI380" s="1">
        <v>0.25</v>
      </c>
      <c r="AJ380" s="1">
        <v>0.05</v>
      </c>
      <c r="AK380" s="1">
        <v>0.28999999999999998</v>
      </c>
      <c r="AL380" s="1">
        <v>0.25</v>
      </c>
      <c r="AM380" s="1">
        <v>0.28999999999999998</v>
      </c>
      <c r="AN380" t="s">
        <v>829</v>
      </c>
    </row>
    <row r="381" spans="1:40" x14ac:dyDescent="0.25">
      <c r="A381" t="s">
        <v>853</v>
      </c>
      <c r="B381" t="s">
        <v>57</v>
      </c>
      <c r="C381" s="4" t="s">
        <v>1744</v>
      </c>
      <c r="D381" t="s">
        <v>1745</v>
      </c>
      <c r="E381" t="s">
        <v>36</v>
      </c>
      <c r="F381" t="str">
        <f>LEFT(premier_player_23_24[[#This Row],[Position]],2)</f>
        <v>MF</v>
      </c>
      <c r="G381" s="3">
        <v>18</v>
      </c>
      <c r="H38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81" s="3">
        <v>24</v>
      </c>
      <c r="J381" s="3">
        <v>24</v>
      </c>
      <c r="K381" s="2">
        <v>1924</v>
      </c>
      <c r="L381" s="2" t="str">
        <f>IF(premier_player_23_24[[#This Row],[Minutes]]&gt;1000,"More than 1000 minutes","Less than 1000 minutes")</f>
        <v>More than 1000 minutes</v>
      </c>
      <c r="M381" s="2">
        <v>21.4</v>
      </c>
      <c r="N381" s="3">
        <v>3</v>
      </c>
      <c r="O381" s="3">
        <v>1</v>
      </c>
      <c r="P381" s="3">
        <v>4</v>
      </c>
      <c r="Q381" s="3">
        <v>3</v>
      </c>
      <c r="R381" s="3">
        <v>0</v>
      </c>
      <c r="S381" s="3">
        <v>0</v>
      </c>
      <c r="T381" s="2">
        <v>3</v>
      </c>
      <c r="U381" s="2">
        <v>0</v>
      </c>
      <c r="V381" s="2">
        <v>0.9</v>
      </c>
      <c r="W381" s="2">
        <f>premier_player_23_24[[#This Row],[Goals]]-premier_player_23_24[[#This Row],[Expected Goals ]]</f>
        <v>2.1</v>
      </c>
      <c r="X381" s="2">
        <v>0.9</v>
      </c>
      <c r="Y381" s="2">
        <v>0.7</v>
      </c>
      <c r="Z381" s="2">
        <v>1.6</v>
      </c>
      <c r="AA381" s="3">
        <v>25</v>
      </c>
      <c r="AB381" s="3">
        <v>64</v>
      </c>
      <c r="AC381" s="3">
        <v>36</v>
      </c>
      <c r="AD381" s="1">
        <v>0.14000000000000001</v>
      </c>
      <c r="AE381" s="1">
        <v>0.05</v>
      </c>
      <c r="AF381" s="1">
        <v>0.19</v>
      </c>
      <c r="AG381" s="1">
        <v>0.14000000000000001</v>
      </c>
      <c r="AH381" s="1">
        <v>0.19</v>
      </c>
      <c r="AI381" s="1">
        <v>0.04</v>
      </c>
      <c r="AJ381" s="1">
        <v>0.03</v>
      </c>
      <c r="AK381" s="1">
        <v>7.0000000000000007E-2</v>
      </c>
      <c r="AL381" s="1">
        <v>0.04</v>
      </c>
      <c r="AM381" s="1">
        <v>7.0000000000000007E-2</v>
      </c>
      <c r="AN381" t="s">
        <v>829</v>
      </c>
    </row>
    <row r="382" spans="1:40" x14ac:dyDescent="0.25">
      <c r="A382" t="s">
        <v>884</v>
      </c>
      <c r="B382" t="s">
        <v>57</v>
      </c>
      <c r="C382" s="4" t="s">
        <v>1744</v>
      </c>
      <c r="D382" t="s">
        <v>1745</v>
      </c>
      <c r="E382" t="s">
        <v>86</v>
      </c>
      <c r="F382" t="str">
        <f>LEFT(premier_player_23_24[[#This Row],[Position]],2)</f>
        <v>MF</v>
      </c>
      <c r="G382" s="3">
        <v>24</v>
      </c>
      <c r="H38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82" s="3">
        <v>14</v>
      </c>
      <c r="J382" s="3">
        <v>5</v>
      </c>
      <c r="K382" s="2">
        <v>516</v>
      </c>
      <c r="L382" s="2" t="str">
        <f>IF(premier_player_23_24[[#This Row],[Minutes]]&gt;1000,"More than 1000 minutes","Less than 1000 minutes")</f>
        <v>Less than 1000 minutes</v>
      </c>
      <c r="M382" s="2">
        <v>5.7</v>
      </c>
      <c r="N382" s="3">
        <v>1</v>
      </c>
      <c r="O382" s="3">
        <v>0</v>
      </c>
      <c r="P382" s="3">
        <v>1</v>
      </c>
      <c r="Q382" s="3">
        <v>1</v>
      </c>
      <c r="R382" s="3">
        <v>0</v>
      </c>
      <c r="S382" s="3">
        <v>0</v>
      </c>
      <c r="T382" s="2">
        <v>2</v>
      </c>
      <c r="U382" s="2">
        <v>0</v>
      </c>
      <c r="V382" s="2">
        <v>0.4</v>
      </c>
      <c r="W382" s="2">
        <f>premier_player_23_24[[#This Row],[Goals]]-premier_player_23_24[[#This Row],[Expected Goals ]]</f>
        <v>0.6</v>
      </c>
      <c r="X382" s="2">
        <v>0.4</v>
      </c>
      <c r="Y382" s="2">
        <v>0.3</v>
      </c>
      <c r="Z382" s="2">
        <v>0.7</v>
      </c>
      <c r="AA382" s="3">
        <v>9</v>
      </c>
      <c r="AB382" s="3">
        <v>21</v>
      </c>
      <c r="AC382" s="3">
        <v>34</v>
      </c>
      <c r="AD382" s="1">
        <v>0.17</v>
      </c>
      <c r="AE382" s="1">
        <v>0</v>
      </c>
      <c r="AF382" s="1">
        <v>0.17</v>
      </c>
      <c r="AG382" s="1">
        <v>0.17</v>
      </c>
      <c r="AH382" s="1">
        <v>0.17</v>
      </c>
      <c r="AI382" s="1">
        <v>7.0000000000000007E-2</v>
      </c>
      <c r="AJ382" s="1">
        <v>0.06</v>
      </c>
      <c r="AK382" s="1">
        <v>0.13</v>
      </c>
      <c r="AL382" s="1">
        <v>7.0000000000000007E-2</v>
      </c>
      <c r="AM382" s="1">
        <v>0.13</v>
      </c>
      <c r="AN382" t="s">
        <v>829</v>
      </c>
    </row>
    <row r="383" spans="1:40" x14ac:dyDescent="0.25">
      <c r="A383" t="s">
        <v>830</v>
      </c>
      <c r="B383" t="s">
        <v>122</v>
      </c>
      <c r="C383" s="4" t="s">
        <v>1742</v>
      </c>
      <c r="D383" t="s">
        <v>1743</v>
      </c>
      <c r="E383" t="s">
        <v>108</v>
      </c>
      <c r="F383" t="str">
        <f>LEFT(premier_player_23_24[[#This Row],[Position]],2)</f>
        <v>DF</v>
      </c>
      <c r="G383" s="3">
        <v>24</v>
      </c>
      <c r="H38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83" s="3">
        <v>36</v>
      </c>
      <c r="J383" s="3">
        <v>35</v>
      </c>
      <c r="K383" s="2">
        <v>3174</v>
      </c>
      <c r="L383" s="2" t="str">
        <f>IF(premier_player_23_24[[#This Row],[Minutes]]&gt;1000,"More than 1000 minutes","Less than 1000 minutes")</f>
        <v>More than 1000 minutes</v>
      </c>
      <c r="M383" s="2">
        <v>35.299999999999997</v>
      </c>
      <c r="N383" s="3">
        <v>2</v>
      </c>
      <c r="O383" s="3">
        <v>3</v>
      </c>
      <c r="P383" s="3">
        <v>5</v>
      </c>
      <c r="Q383" s="3">
        <v>2</v>
      </c>
      <c r="R383" s="3">
        <v>0</v>
      </c>
      <c r="S383" s="3">
        <v>0</v>
      </c>
      <c r="T383" s="2">
        <v>6</v>
      </c>
      <c r="U383" s="2">
        <v>1</v>
      </c>
      <c r="V383" s="2">
        <v>1.7</v>
      </c>
      <c r="W383" s="2">
        <f>premier_player_23_24[[#This Row],[Goals]]-premier_player_23_24[[#This Row],[Expected Goals ]]</f>
        <v>0.30000000000000004</v>
      </c>
      <c r="X383" s="2">
        <v>1.7</v>
      </c>
      <c r="Y383" s="2">
        <v>2.9</v>
      </c>
      <c r="Z383" s="2">
        <v>4.5999999999999996</v>
      </c>
      <c r="AA383" s="3">
        <v>52</v>
      </c>
      <c r="AB383" s="3">
        <v>124</v>
      </c>
      <c r="AC383" s="3">
        <v>111</v>
      </c>
      <c r="AD383" s="1">
        <v>0.06</v>
      </c>
      <c r="AE383" s="1">
        <v>0.09</v>
      </c>
      <c r="AF383" s="1">
        <v>0.14000000000000001</v>
      </c>
      <c r="AG383" s="1">
        <v>0.06</v>
      </c>
      <c r="AH383" s="1">
        <v>0.14000000000000001</v>
      </c>
      <c r="AI383" s="1">
        <v>0.05</v>
      </c>
      <c r="AJ383" s="1">
        <v>0.08</v>
      </c>
      <c r="AK383" s="1">
        <v>0.13</v>
      </c>
      <c r="AL383" s="1">
        <v>0.05</v>
      </c>
      <c r="AM383" s="1">
        <v>0.13</v>
      </c>
      <c r="AN383" t="s">
        <v>829</v>
      </c>
    </row>
    <row r="384" spans="1:40" x14ac:dyDescent="0.25">
      <c r="A384" t="s">
        <v>851</v>
      </c>
      <c r="B384" t="s">
        <v>76</v>
      </c>
      <c r="C384" s="4" t="s">
        <v>1750</v>
      </c>
      <c r="D384" t="s">
        <v>1751</v>
      </c>
      <c r="E384" t="s">
        <v>524</v>
      </c>
      <c r="F384" t="str">
        <f>LEFT(premier_player_23_24[[#This Row],[Position]],2)</f>
        <v>MF</v>
      </c>
      <c r="G384" s="3">
        <v>31</v>
      </c>
      <c r="H38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84" s="3">
        <v>25</v>
      </c>
      <c r="J384" s="3">
        <v>24</v>
      </c>
      <c r="K384" s="2">
        <v>1982</v>
      </c>
      <c r="L384" s="2" t="str">
        <f>IF(premier_player_23_24[[#This Row],[Minutes]]&gt;1000,"More than 1000 minutes","Less than 1000 minutes")</f>
        <v>More than 1000 minutes</v>
      </c>
      <c r="M384" s="2">
        <v>22</v>
      </c>
      <c r="N384" s="3">
        <v>1</v>
      </c>
      <c r="O384" s="3">
        <v>2</v>
      </c>
      <c r="P384" s="3">
        <v>3</v>
      </c>
      <c r="Q384" s="3">
        <v>1</v>
      </c>
      <c r="R384" s="3">
        <v>0</v>
      </c>
      <c r="S384" s="3">
        <v>0</v>
      </c>
      <c r="T384" s="2">
        <v>7</v>
      </c>
      <c r="U384" s="2">
        <v>0</v>
      </c>
      <c r="V384" s="2">
        <v>3.5</v>
      </c>
      <c r="W384" s="2">
        <f>premier_player_23_24[[#This Row],[Goals]]-premier_player_23_24[[#This Row],[Expected Goals ]]</f>
        <v>-2.5</v>
      </c>
      <c r="X384" s="2">
        <v>3.5</v>
      </c>
      <c r="Y384" s="2">
        <v>1</v>
      </c>
      <c r="Z384" s="2">
        <v>4.5</v>
      </c>
      <c r="AA384" s="3">
        <v>12</v>
      </c>
      <c r="AB384" s="3">
        <v>112</v>
      </c>
      <c r="AC384" s="3">
        <v>36</v>
      </c>
      <c r="AD384" s="1">
        <v>0.05</v>
      </c>
      <c r="AE384" s="1">
        <v>0.09</v>
      </c>
      <c r="AF384" s="1">
        <v>0.14000000000000001</v>
      </c>
      <c r="AG384" s="1">
        <v>0.05</v>
      </c>
      <c r="AH384" s="1">
        <v>0.14000000000000001</v>
      </c>
      <c r="AI384" s="1">
        <v>0.16</v>
      </c>
      <c r="AJ384" s="1">
        <v>0.05</v>
      </c>
      <c r="AK384" s="1">
        <v>0.2</v>
      </c>
      <c r="AL384" s="1">
        <v>0.16</v>
      </c>
      <c r="AM384" s="1">
        <v>0.2</v>
      </c>
      <c r="AN384" t="s">
        <v>829</v>
      </c>
    </row>
    <row r="385" spans="1:40" x14ac:dyDescent="0.25">
      <c r="A385" t="s">
        <v>868</v>
      </c>
      <c r="B385" t="s">
        <v>76</v>
      </c>
      <c r="C385" s="4" t="s">
        <v>1750</v>
      </c>
      <c r="D385" t="s">
        <v>1751</v>
      </c>
      <c r="E385" t="s">
        <v>137</v>
      </c>
      <c r="F385" t="str">
        <f>LEFT(premier_player_23_24[[#This Row],[Position]],2)</f>
        <v>FW</v>
      </c>
      <c r="G385" s="3">
        <v>23</v>
      </c>
      <c r="H38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85" s="3">
        <v>29</v>
      </c>
      <c r="J385" s="3">
        <v>15</v>
      </c>
      <c r="K385" s="2">
        <v>1324</v>
      </c>
      <c r="L385" s="2" t="str">
        <f>IF(premier_player_23_24[[#This Row],[Minutes]]&gt;1000,"More than 1000 minutes","Less than 1000 minutes")</f>
        <v>More than 1000 minutes</v>
      </c>
      <c r="M385" s="2">
        <v>14.7</v>
      </c>
      <c r="N385" s="3">
        <v>1</v>
      </c>
      <c r="O385" s="3">
        <v>1</v>
      </c>
      <c r="P385" s="3">
        <v>2</v>
      </c>
      <c r="Q385" s="3">
        <v>1</v>
      </c>
      <c r="R385" s="3">
        <v>0</v>
      </c>
      <c r="S385" s="3">
        <v>0</v>
      </c>
      <c r="T385" s="2">
        <v>5</v>
      </c>
      <c r="U385" s="2">
        <v>0</v>
      </c>
      <c r="V385" s="2">
        <v>3.4</v>
      </c>
      <c r="W385" s="2">
        <f>premier_player_23_24[[#This Row],[Goals]]-premier_player_23_24[[#This Row],[Expected Goals ]]</f>
        <v>-2.4</v>
      </c>
      <c r="X385" s="2">
        <v>3.4</v>
      </c>
      <c r="Y385" s="2">
        <v>2.8</v>
      </c>
      <c r="Z385" s="2">
        <v>6.1</v>
      </c>
      <c r="AA385" s="3">
        <v>53</v>
      </c>
      <c r="AB385" s="3">
        <v>64</v>
      </c>
      <c r="AC385" s="3">
        <v>149</v>
      </c>
      <c r="AD385" s="1">
        <v>7.0000000000000007E-2</v>
      </c>
      <c r="AE385" s="1">
        <v>7.0000000000000007E-2</v>
      </c>
      <c r="AF385" s="1">
        <v>0.14000000000000001</v>
      </c>
      <c r="AG385" s="1">
        <v>7.0000000000000007E-2</v>
      </c>
      <c r="AH385" s="1">
        <v>0.14000000000000001</v>
      </c>
      <c r="AI385" s="1">
        <v>0.23</v>
      </c>
      <c r="AJ385" s="1">
        <v>0.19</v>
      </c>
      <c r="AK385" s="1">
        <v>0.42</v>
      </c>
      <c r="AL385" s="1">
        <v>0.23</v>
      </c>
      <c r="AM385" s="1">
        <v>0.42</v>
      </c>
      <c r="AN385" t="s">
        <v>829</v>
      </c>
    </row>
    <row r="386" spans="1:40" x14ac:dyDescent="0.25">
      <c r="A386" t="s">
        <v>872</v>
      </c>
      <c r="B386" t="s">
        <v>675</v>
      </c>
      <c r="C386" s="4" t="s">
        <v>1780</v>
      </c>
      <c r="D386" t="s">
        <v>1781</v>
      </c>
      <c r="E386" t="s">
        <v>108</v>
      </c>
      <c r="F386" t="str">
        <f>LEFT(premier_player_23_24[[#This Row],[Position]],2)</f>
        <v>DF</v>
      </c>
      <c r="G386" s="3">
        <v>29</v>
      </c>
      <c r="H38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86" s="3">
        <v>19</v>
      </c>
      <c r="J386" s="3">
        <v>14</v>
      </c>
      <c r="K386" s="2">
        <v>1328</v>
      </c>
      <c r="L386" s="2" t="str">
        <f>IF(premier_player_23_24[[#This Row],[Minutes]]&gt;1000,"More than 1000 minutes","Less than 1000 minutes")</f>
        <v>More than 1000 minutes</v>
      </c>
      <c r="M386" s="2">
        <v>14.8</v>
      </c>
      <c r="N386" s="3">
        <v>1</v>
      </c>
      <c r="O386" s="3">
        <v>1</v>
      </c>
      <c r="P386" s="3">
        <v>2</v>
      </c>
      <c r="Q386" s="3">
        <v>1</v>
      </c>
      <c r="R386" s="3">
        <v>0</v>
      </c>
      <c r="S386" s="3">
        <v>0</v>
      </c>
      <c r="T386" s="2">
        <v>2</v>
      </c>
      <c r="U386" s="2">
        <v>0</v>
      </c>
      <c r="V386" s="2">
        <v>0.8</v>
      </c>
      <c r="W386" s="2">
        <f>premier_player_23_24[[#This Row],[Goals]]-premier_player_23_24[[#This Row],[Expected Goals ]]</f>
        <v>0.19999999999999996</v>
      </c>
      <c r="X386" s="2">
        <v>0.8</v>
      </c>
      <c r="Y386" s="2">
        <v>0.3</v>
      </c>
      <c r="Z386" s="2">
        <v>1.1000000000000001</v>
      </c>
      <c r="AA386" s="3">
        <v>17</v>
      </c>
      <c r="AB386" s="3">
        <v>40</v>
      </c>
      <c r="AC386" s="3">
        <v>17</v>
      </c>
      <c r="AD386" s="1">
        <v>7.0000000000000007E-2</v>
      </c>
      <c r="AE386" s="1">
        <v>7.0000000000000007E-2</v>
      </c>
      <c r="AF386" s="1">
        <v>0.14000000000000001</v>
      </c>
      <c r="AG386" s="1">
        <v>7.0000000000000007E-2</v>
      </c>
      <c r="AH386" s="1">
        <v>0.14000000000000001</v>
      </c>
      <c r="AI386" s="1">
        <v>0.05</v>
      </c>
      <c r="AJ386" s="1">
        <v>0.02</v>
      </c>
      <c r="AK386" s="1">
        <v>7.0000000000000007E-2</v>
      </c>
      <c r="AL386" s="1">
        <v>0.05</v>
      </c>
      <c r="AM386" s="1">
        <v>7.0000000000000007E-2</v>
      </c>
      <c r="AN386" t="s">
        <v>829</v>
      </c>
    </row>
    <row r="387" spans="1:40" x14ac:dyDescent="0.25">
      <c r="A387" t="s">
        <v>882</v>
      </c>
      <c r="B387" t="s">
        <v>85</v>
      </c>
      <c r="C387" s="4" t="s">
        <v>1778</v>
      </c>
      <c r="D387" t="s">
        <v>1779</v>
      </c>
      <c r="E387" t="s">
        <v>108</v>
      </c>
      <c r="F387" t="str">
        <f>LEFT(premier_player_23_24[[#This Row],[Position]],2)</f>
        <v>DF</v>
      </c>
      <c r="G387" s="3">
        <v>25</v>
      </c>
      <c r="H38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87" s="3">
        <v>11</v>
      </c>
      <c r="J387" s="3">
        <v>8</v>
      </c>
      <c r="K387" s="2">
        <v>646</v>
      </c>
      <c r="L387" s="2" t="str">
        <f>IF(premier_player_23_24[[#This Row],[Minutes]]&gt;1000,"More than 1000 minutes","Less than 1000 minutes")</f>
        <v>Less than 1000 minutes</v>
      </c>
      <c r="M387" s="2">
        <v>7.2</v>
      </c>
      <c r="N387" s="3">
        <v>0</v>
      </c>
      <c r="O387" s="3">
        <v>1</v>
      </c>
      <c r="P387" s="3">
        <v>1</v>
      </c>
      <c r="Q387" s="3">
        <v>0</v>
      </c>
      <c r="R387" s="3">
        <v>0</v>
      </c>
      <c r="S387" s="3">
        <v>0</v>
      </c>
      <c r="T387" s="2">
        <v>3</v>
      </c>
      <c r="U387" s="2">
        <v>0</v>
      </c>
      <c r="V387" s="2">
        <v>0</v>
      </c>
      <c r="W387" s="2">
        <f>premier_player_23_24[[#This Row],[Goals]]-premier_player_23_24[[#This Row],[Expected Goals ]]</f>
        <v>0</v>
      </c>
      <c r="X387" s="2">
        <v>0</v>
      </c>
      <c r="Y387" s="2">
        <v>0.1</v>
      </c>
      <c r="Z387" s="2">
        <v>0.1</v>
      </c>
      <c r="AA387" s="3">
        <v>8</v>
      </c>
      <c r="AB387" s="3">
        <v>28</v>
      </c>
      <c r="AC387" s="3">
        <v>1</v>
      </c>
      <c r="AD387" s="1">
        <v>0</v>
      </c>
      <c r="AE387" s="1">
        <v>0.14000000000000001</v>
      </c>
      <c r="AF387" s="1">
        <v>0.14000000000000001</v>
      </c>
      <c r="AG387" s="1">
        <v>0</v>
      </c>
      <c r="AH387" s="1">
        <v>0.14000000000000001</v>
      </c>
      <c r="AI387" s="1">
        <v>0</v>
      </c>
      <c r="AJ387" s="1">
        <v>0.01</v>
      </c>
      <c r="AK387" s="1">
        <v>0.01</v>
      </c>
      <c r="AL387" s="1">
        <v>0</v>
      </c>
      <c r="AM387" s="1">
        <v>0.01</v>
      </c>
      <c r="AN387" t="s">
        <v>829</v>
      </c>
    </row>
    <row r="388" spans="1:40" x14ac:dyDescent="0.25">
      <c r="A388" t="s">
        <v>856</v>
      </c>
      <c r="B388" t="s">
        <v>57</v>
      </c>
      <c r="C388" s="4" t="s">
        <v>1744</v>
      </c>
      <c r="D388" t="s">
        <v>1745</v>
      </c>
      <c r="E388" t="s">
        <v>108</v>
      </c>
      <c r="F388" t="str">
        <f>LEFT(premier_player_23_24[[#This Row],[Position]],2)</f>
        <v>DF</v>
      </c>
      <c r="G388" s="3">
        <v>25</v>
      </c>
      <c r="H38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88" s="3">
        <v>22</v>
      </c>
      <c r="J388" s="3">
        <v>20</v>
      </c>
      <c r="K388" s="2">
        <v>1780</v>
      </c>
      <c r="L388" s="2" t="str">
        <f>IF(premier_player_23_24[[#This Row],[Minutes]]&gt;1000,"More than 1000 minutes","Less than 1000 minutes")</f>
        <v>More than 1000 minutes</v>
      </c>
      <c r="M388" s="2">
        <v>19.8</v>
      </c>
      <c r="N388" s="3">
        <v>0</v>
      </c>
      <c r="O388" s="3">
        <v>2</v>
      </c>
      <c r="P388" s="3">
        <v>2</v>
      </c>
      <c r="Q388" s="3">
        <v>0</v>
      </c>
      <c r="R388" s="3">
        <v>0</v>
      </c>
      <c r="S388" s="3">
        <v>0</v>
      </c>
      <c r="T388" s="2">
        <v>4</v>
      </c>
      <c r="U388" s="2">
        <v>0</v>
      </c>
      <c r="V388" s="2">
        <v>0.1</v>
      </c>
      <c r="W388" s="2">
        <f>premier_player_23_24[[#This Row],[Goals]]-premier_player_23_24[[#This Row],[Expected Goals ]]</f>
        <v>-0.1</v>
      </c>
      <c r="X388" s="2">
        <v>0.1</v>
      </c>
      <c r="Y388" s="2">
        <v>1.5</v>
      </c>
      <c r="Z388" s="2">
        <v>1.6</v>
      </c>
      <c r="AA388" s="3">
        <v>30</v>
      </c>
      <c r="AB388" s="3">
        <v>77</v>
      </c>
      <c r="AC388" s="3">
        <v>54</v>
      </c>
      <c r="AD388" s="1">
        <v>0</v>
      </c>
      <c r="AE388" s="1">
        <v>0.1</v>
      </c>
      <c r="AF388" s="1">
        <v>0.1</v>
      </c>
      <c r="AG388" s="1">
        <v>0</v>
      </c>
      <c r="AH388" s="1">
        <v>0.1</v>
      </c>
      <c r="AI388" s="1">
        <v>0.01</v>
      </c>
      <c r="AJ388" s="1">
        <v>0.08</v>
      </c>
      <c r="AK388" s="1">
        <v>0.08</v>
      </c>
      <c r="AL388" s="1">
        <v>0.01</v>
      </c>
      <c r="AM388" s="1">
        <v>0.08</v>
      </c>
      <c r="AN388" t="s">
        <v>829</v>
      </c>
    </row>
    <row r="389" spans="1:40" x14ac:dyDescent="0.25">
      <c r="A389" t="s">
        <v>864</v>
      </c>
      <c r="B389" t="s">
        <v>376</v>
      </c>
      <c r="C389" s="4" t="s">
        <v>1762</v>
      </c>
      <c r="D389" t="s">
        <v>1763</v>
      </c>
      <c r="E389" t="s">
        <v>108</v>
      </c>
      <c r="F389" t="str">
        <f>LEFT(premier_player_23_24[[#This Row],[Position]],2)</f>
        <v>DF</v>
      </c>
      <c r="G389" s="3">
        <v>30</v>
      </c>
      <c r="H38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389" s="3">
        <v>22</v>
      </c>
      <c r="J389" s="3">
        <v>16</v>
      </c>
      <c r="K389" s="2">
        <v>1375</v>
      </c>
      <c r="L389" s="2" t="str">
        <f>IF(premier_player_23_24[[#This Row],[Minutes]]&gt;1000,"More than 1000 minutes","Less than 1000 minutes")</f>
        <v>More than 1000 minutes</v>
      </c>
      <c r="M389" s="2">
        <v>15.3</v>
      </c>
      <c r="N389" s="3">
        <v>1</v>
      </c>
      <c r="O389" s="3">
        <v>0</v>
      </c>
      <c r="P389" s="3">
        <v>1</v>
      </c>
      <c r="Q389" s="3">
        <v>1</v>
      </c>
      <c r="R389" s="3">
        <v>0</v>
      </c>
      <c r="S389" s="3">
        <v>0</v>
      </c>
      <c r="T389" s="2">
        <v>2</v>
      </c>
      <c r="U389" s="2">
        <v>0</v>
      </c>
      <c r="V389" s="2">
        <v>1.3</v>
      </c>
      <c r="W389" s="2">
        <f>premier_player_23_24[[#This Row],[Goals]]-premier_player_23_24[[#This Row],[Expected Goals ]]</f>
        <v>-0.30000000000000004</v>
      </c>
      <c r="X389" s="2">
        <v>1.3</v>
      </c>
      <c r="Y389" s="2">
        <v>0.1</v>
      </c>
      <c r="Z389" s="2">
        <v>1.3</v>
      </c>
      <c r="AA389" s="3">
        <v>16</v>
      </c>
      <c r="AB389" s="3">
        <v>59</v>
      </c>
      <c r="AC389" s="3">
        <v>2</v>
      </c>
      <c r="AD389" s="1">
        <v>7.0000000000000007E-2</v>
      </c>
      <c r="AE389" s="1">
        <v>0</v>
      </c>
      <c r="AF389" s="1">
        <v>7.0000000000000007E-2</v>
      </c>
      <c r="AG389" s="1">
        <v>7.0000000000000007E-2</v>
      </c>
      <c r="AH389" s="1">
        <v>7.0000000000000007E-2</v>
      </c>
      <c r="AI389" s="1">
        <v>0.08</v>
      </c>
      <c r="AJ389" s="1">
        <v>0</v>
      </c>
      <c r="AK389" s="1">
        <v>0.09</v>
      </c>
      <c r="AL389" s="1">
        <v>0.08</v>
      </c>
      <c r="AM389" s="1">
        <v>0.09</v>
      </c>
      <c r="AN389" t="s">
        <v>829</v>
      </c>
    </row>
    <row r="390" spans="1:40" x14ac:dyDescent="0.25">
      <c r="A390" t="s">
        <v>866</v>
      </c>
      <c r="B390" t="s">
        <v>414</v>
      </c>
      <c r="C390" s="4" t="s">
        <v>1842</v>
      </c>
      <c r="D390" t="s">
        <v>1843</v>
      </c>
      <c r="E390" t="s">
        <v>108</v>
      </c>
      <c r="F390" t="str">
        <f>LEFT(premier_player_23_24[[#This Row],[Position]],2)</f>
        <v>DF</v>
      </c>
      <c r="G390" s="3">
        <v>35</v>
      </c>
      <c r="H39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Veterans</v>
      </c>
      <c r="I390" s="3">
        <v>23</v>
      </c>
      <c r="J390" s="3">
        <v>15</v>
      </c>
      <c r="K390" s="2">
        <v>1392</v>
      </c>
      <c r="L390" s="2" t="str">
        <f>IF(premier_player_23_24[[#This Row],[Minutes]]&gt;1000,"More than 1000 minutes","Less than 1000 minutes")</f>
        <v>More than 1000 minutes</v>
      </c>
      <c r="M390" s="2">
        <v>15.5</v>
      </c>
      <c r="N390" s="3">
        <v>0</v>
      </c>
      <c r="O390" s="3">
        <v>1</v>
      </c>
      <c r="P390" s="3">
        <v>1</v>
      </c>
      <c r="Q390" s="3">
        <v>0</v>
      </c>
      <c r="R390" s="3">
        <v>0</v>
      </c>
      <c r="S390" s="3">
        <v>0</v>
      </c>
      <c r="T390" s="2">
        <v>2</v>
      </c>
      <c r="U390" s="2">
        <v>0</v>
      </c>
      <c r="V390" s="2">
        <v>0.1</v>
      </c>
      <c r="W390" s="2">
        <f>premier_player_23_24[[#This Row],[Goals]]-premier_player_23_24[[#This Row],[Expected Goals ]]</f>
        <v>-0.1</v>
      </c>
      <c r="X390" s="2">
        <v>0.1</v>
      </c>
      <c r="Y390" s="2">
        <v>1.2</v>
      </c>
      <c r="Z390" s="2">
        <v>1.2</v>
      </c>
      <c r="AA390" s="3">
        <v>7</v>
      </c>
      <c r="AB390" s="3">
        <v>37</v>
      </c>
      <c r="AC390" s="3">
        <v>1</v>
      </c>
      <c r="AD390" s="1">
        <v>0</v>
      </c>
      <c r="AE390" s="1">
        <v>0.06</v>
      </c>
      <c r="AF390" s="1">
        <v>0.06</v>
      </c>
      <c r="AG390" s="1">
        <v>0</v>
      </c>
      <c r="AH390" s="1">
        <v>0.06</v>
      </c>
      <c r="AI390" s="1">
        <v>0</v>
      </c>
      <c r="AJ390" s="1">
        <v>0.08</v>
      </c>
      <c r="AK390" s="1">
        <v>0.08</v>
      </c>
      <c r="AL390" s="1">
        <v>0</v>
      </c>
      <c r="AM390" s="1">
        <v>0.08</v>
      </c>
      <c r="AN390" t="s">
        <v>829</v>
      </c>
    </row>
    <row r="391" spans="1:40" x14ac:dyDescent="0.25">
      <c r="A391" t="s">
        <v>828</v>
      </c>
      <c r="B391" t="s">
        <v>418</v>
      </c>
      <c r="C391" s="4" t="s">
        <v>1802</v>
      </c>
      <c r="D391" t="s">
        <v>1803</v>
      </c>
      <c r="E391" t="s">
        <v>77</v>
      </c>
      <c r="F391" t="str">
        <f>LEFT(premier_player_23_24[[#This Row],[Position]],2)</f>
        <v>GK</v>
      </c>
      <c r="G391" s="3">
        <v>27</v>
      </c>
      <c r="H39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91" s="3">
        <v>38</v>
      </c>
      <c r="J391" s="3">
        <v>38</v>
      </c>
      <c r="K391" s="2">
        <v>3420</v>
      </c>
      <c r="L391" s="2" t="str">
        <f>IF(premier_player_23_24[[#This Row],[Minutes]]&gt;1000,"More than 1000 minutes","Less than 1000 minutes")</f>
        <v>More than 1000 minutes</v>
      </c>
      <c r="M391" s="2">
        <v>38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2">
        <v>5</v>
      </c>
      <c r="U391" s="2">
        <v>0</v>
      </c>
      <c r="V391" s="2">
        <v>0</v>
      </c>
      <c r="W391" s="2">
        <f>premier_player_23_24[[#This Row],[Goals]]-premier_player_23_24[[#This Row],[Expected Goals ]]</f>
        <v>0</v>
      </c>
      <c r="X391" s="2">
        <v>0</v>
      </c>
      <c r="Y391" s="2">
        <v>0.1</v>
      </c>
      <c r="Z391" s="2">
        <v>0.1</v>
      </c>
      <c r="AA391" s="3">
        <v>1</v>
      </c>
      <c r="AB391" s="3">
        <v>5</v>
      </c>
      <c r="AC391" s="3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  <c r="AL391" s="1">
        <v>0</v>
      </c>
      <c r="AM391" s="1">
        <v>0</v>
      </c>
      <c r="AN391" t="s">
        <v>829</v>
      </c>
    </row>
    <row r="392" spans="1:40" x14ac:dyDescent="0.25">
      <c r="A392" t="s">
        <v>877</v>
      </c>
      <c r="B392" t="s">
        <v>57</v>
      </c>
      <c r="C392" s="4" t="s">
        <v>1744</v>
      </c>
      <c r="D392" t="s">
        <v>1745</v>
      </c>
      <c r="E392" t="s">
        <v>108</v>
      </c>
      <c r="F392" t="str">
        <f>LEFT(premier_player_23_24[[#This Row],[Position]],2)</f>
        <v>DF</v>
      </c>
      <c r="G392" s="3">
        <v>28</v>
      </c>
      <c r="H39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92" s="3">
        <v>12</v>
      </c>
      <c r="J392" s="3">
        <v>12</v>
      </c>
      <c r="K392" s="2">
        <v>959</v>
      </c>
      <c r="L392" s="2" t="str">
        <f>IF(premier_player_23_24[[#This Row],[Minutes]]&gt;1000,"More than 1000 minutes","Less than 1000 minutes")</f>
        <v>Less than 1000 minutes</v>
      </c>
      <c r="M392" s="2">
        <v>10.7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2">
        <v>6</v>
      </c>
      <c r="U392" s="2">
        <v>0</v>
      </c>
      <c r="V392" s="2">
        <v>0</v>
      </c>
      <c r="W392" s="2">
        <f>premier_player_23_24[[#This Row],[Goals]]-premier_player_23_24[[#This Row],[Expected Goals ]]</f>
        <v>0</v>
      </c>
      <c r="X392" s="2">
        <v>0</v>
      </c>
      <c r="Y392" s="2">
        <v>1</v>
      </c>
      <c r="Z392" s="2">
        <v>1</v>
      </c>
      <c r="AA392" s="3">
        <v>10</v>
      </c>
      <c r="AB392" s="3">
        <v>45</v>
      </c>
      <c r="AC392" s="3">
        <v>30</v>
      </c>
      <c r="AD392" s="1">
        <v>0</v>
      </c>
      <c r="AE392" s="1">
        <v>0</v>
      </c>
      <c r="AF392" s="1">
        <v>0</v>
      </c>
      <c r="AG392" s="1">
        <v>0</v>
      </c>
      <c r="AH392" s="1">
        <v>0</v>
      </c>
      <c r="AI392" s="1">
        <v>0</v>
      </c>
      <c r="AJ392" s="1">
        <v>0.09</v>
      </c>
      <c r="AK392" s="1">
        <v>0.1</v>
      </c>
      <c r="AL392" s="1">
        <v>0</v>
      </c>
      <c r="AM392" s="1">
        <v>0.1</v>
      </c>
      <c r="AN392" t="s">
        <v>829</v>
      </c>
    </row>
    <row r="393" spans="1:40" x14ac:dyDescent="0.25">
      <c r="A393" t="s">
        <v>879</v>
      </c>
      <c r="B393" t="s">
        <v>880</v>
      </c>
      <c r="C393" s="4" t="s">
        <v>1826</v>
      </c>
      <c r="D393" t="s">
        <v>1827</v>
      </c>
      <c r="E393" t="s">
        <v>524</v>
      </c>
      <c r="F393" t="str">
        <f>LEFT(premier_player_23_24[[#This Row],[Position]],2)</f>
        <v>MF</v>
      </c>
      <c r="G393" s="3">
        <v>26</v>
      </c>
      <c r="H39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93" s="3">
        <v>21</v>
      </c>
      <c r="J393" s="3">
        <v>10</v>
      </c>
      <c r="K393" s="2">
        <v>938</v>
      </c>
      <c r="L393" s="2" t="str">
        <f>IF(premier_player_23_24[[#This Row],[Minutes]]&gt;1000,"More than 1000 minutes","Less than 1000 minutes")</f>
        <v>Less than 1000 minutes</v>
      </c>
      <c r="M393" s="2">
        <v>10.4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2">
        <v>6</v>
      </c>
      <c r="U393" s="2">
        <v>0</v>
      </c>
      <c r="V393" s="2">
        <v>0.1</v>
      </c>
      <c r="W393" s="2">
        <f>premier_player_23_24[[#This Row],[Goals]]-premier_player_23_24[[#This Row],[Expected Goals ]]</f>
        <v>-0.1</v>
      </c>
      <c r="X393" s="2">
        <v>0.1</v>
      </c>
      <c r="Y393" s="2">
        <v>0.3</v>
      </c>
      <c r="Z393" s="2">
        <v>0.4</v>
      </c>
      <c r="AA393" s="3">
        <v>6</v>
      </c>
      <c r="AB393" s="3">
        <v>66</v>
      </c>
      <c r="AC393" s="3">
        <v>10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0.01</v>
      </c>
      <c r="AJ393" s="1">
        <v>0.03</v>
      </c>
      <c r="AK393" s="1">
        <v>0.04</v>
      </c>
      <c r="AL393" s="1">
        <v>0.01</v>
      </c>
      <c r="AM393" s="1">
        <v>0.04</v>
      </c>
      <c r="AN393" t="s">
        <v>829</v>
      </c>
    </row>
    <row r="394" spans="1:40" x14ac:dyDescent="0.25">
      <c r="A394" t="s">
        <v>888</v>
      </c>
      <c r="B394" t="s">
        <v>35</v>
      </c>
      <c r="C394" s="4" t="s">
        <v>1764</v>
      </c>
      <c r="D394" t="s">
        <v>1765</v>
      </c>
      <c r="E394" t="s">
        <v>108</v>
      </c>
      <c r="F394" t="str">
        <f>LEFT(premier_player_23_24[[#This Row],[Position]],2)</f>
        <v>DF</v>
      </c>
      <c r="G394" s="3">
        <v>26</v>
      </c>
      <c r="H39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94" s="3">
        <v>9</v>
      </c>
      <c r="J394" s="3">
        <v>4</v>
      </c>
      <c r="K394" s="2">
        <v>412</v>
      </c>
      <c r="L394" s="2" t="str">
        <f>IF(premier_player_23_24[[#This Row],[Minutes]]&gt;1000,"More than 1000 minutes","Less than 1000 minutes")</f>
        <v>Less than 1000 minutes</v>
      </c>
      <c r="M394" s="2">
        <v>4.5999999999999996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2">
        <v>3</v>
      </c>
      <c r="U394" s="2">
        <v>0</v>
      </c>
      <c r="V394" s="2">
        <v>0.2</v>
      </c>
      <c r="W394" s="2">
        <f>premier_player_23_24[[#This Row],[Goals]]-premier_player_23_24[[#This Row],[Expected Goals ]]</f>
        <v>-0.2</v>
      </c>
      <c r="X394" s="2">
        <v>0.2</v>
      </c>
      <c r="Y394" s="2">
        <v>0.7</v>
      </c>
      <c r="Z394" s="2">
        <v>0.9</v>
      </c>
      <c r="AA394" s="3">
        <v>11</v>
      </c>
      <c r="AB394" s="3">
        <v>27</v>
      </c>
      <c r="AC394" s="3">
        <v>38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0.04</v>
      </c>
      <c r="AJ394" s="1">
        <v>0.16</v>
      </c>
      <c r="AK394" s="1">
        <v>0.2</v>
      </c>
      <c r="AL394" s="1">
        <v>0.04</v>
      </c>
      <c r="AM394" s="1">
        <v>0.2</v>
      </c>
      <c r="AN394" t="s">
        <v>829</v>
      </c>
    </row>
    <row r="395" spans="1:40" x14ac:dyDescent="0.25">
      <c r="A395" t="s">
        <v>893</v>
      </c>
      <c r="B395" t="s">
        <v>376</v>
      </c>
      <c r="C395" s="4" t="s">
        <v>1762</v>
      </c>
      <c r="D395" t="s">
        <v>1763</v>
      </c>
      <c r="E395" t="s">
        <v>108</v>
      </c>
      <c r="F395" t="str">
        <f>LEFT(premier_player_23_24[[#This Row],[Position]],2)</f>
        <v>DF</v>
      </c>
      <c r="G395" s="3">
        <v>18</v>
      </c>
      <c r="H39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95" s="3">
        <v>8</v>
      </c>
      <c r="J395" s="3">
        <v>3</v>
      </c>
      <c r="K395" s="2">
        <v>330</v>
      </c>
      <c r="L395" s="2" t="str">
        <f>IF(premier_player_23_24[[#This Row],[Minutes]]&gt;1000,"More than 1000 minutes","Less than 1000 minutes")</f>
        <v>Less than 1000 minutes</v>
      </c>
      <c r="M395" s="2">
        <v>3.7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2">
        <v>1</v>
      </c>
      <c r="U395" s="2">
        <v>0</v>
      </c>
      <c r="V395" s="2">
        <v>0</v>
      </c>
      <c r="W395" s="2">
        <f>premier_player_23_24[[#This Row],[Goals]]-premier_player_23_24[[#This Row],[Expected Goals ]]</f>
        <v>0</v>
      </c>
      <c r="X395" s="2">
        <v>0</v>
      </c>
      <c r="Y395" s="2">
        <v>0</v>
      </c>
      <c r="Z395" s="2">
        <v>0</v>
      </c>
      <c r="AA395" s="3">
        <v>2</v>
      </c>
      <c r="AB395" s="3">
        <v>8</v>
      </c>
      <c r="AC395" s="3">
        <v>1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  <c r="AM395" s="1">
        <v>0</v>
      </c>
      <c r="AN395" t="s">
        <v>829</v>
      </c>
    </row>
    <row r="396" spans="1:40" x14ac:dyDescent="0.25">
      <c r="A396" t="s">
        <v>900</v>
      </c>
      <c r="B396" t="s">
        <v>57</v>
      </c>
      <c r="C396" s="4" t="s">
        <v>1744</v>
      </c>
      <c r="D396" t="s">
        <v>1745</v>
      </c>
      <c r="E396" t="s">
        <v>58</v>
      </c>
      <c r="F396" t="str">
        <f>LEFT(premier_player_23_24[[#This Row],[Position]],2)</f>
        <v>FW</v>
      </c>
      <c r="G396" s="3">
        <v>23</v>
      </c>
      <c r="H39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396" s="3">
        <v>3</v>
      </c>
      <c r="J396" s="3">
        <v>0</v>
      </c>
      <c r="K396" s="2">
        <v>79</v>
      </c>
      <c r="L396" s="2" t="str">
        <f>IF(premier_player_23_24[[#This Row],[Minutes]]&gt;1000,"More than 1000 minutes","Less than 1000 minutes")</f>
        <v>Less than 1000 minutes</v>
      </c>
      <c r="M396" s="2">
        <v>0.9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2">
        <v>0</v>
      </c>
      <c r="U396" s="2">
        <v>0</v>
      </c>
      <c r="V396" s="2">
        <v>0</v>
      </c>
      <c r="W396" s="2">
        <f>premier_player_23_24[[#This Row],[Goals]]-premier_player_23_24[[#This Row],[Expected Goals ]]</f>
        <v>0</v>
      </c>
      <c r="X396" s="2">
        <v>0</v>
      </c>
      <c r="Y396" s="2">
        <v>0.1</v>
      </c>
      <c r="Z396" s="2">
        <v>0.1</v>
      </c>
      <c r="AA396" s="3">
        <v>10</v>
      </c>
      <c r="AB396" s="3">
        <v>4</v>
      </c>
      <c r="AC396" s="3">
        <v>5</v>
      </c>
      <c r="AD396" s="1">
        <v>0</v>
      </c>
      <c r="AE396" s="1">
        <v>0</v>
      </c>
      <c r="AF396" s="1">
        <v>0</v>
      </c>
      <c r="AG396" s="1">
        <v>0</v>
      </c>
      <c r="AH396" s="1">
        <v>0</v>
      </c>
      <c r="AI396" s="1">
        <v>0</v>
      </c>
      <c r="AJ396" s="1">
        <v>0.06</v>
      </c>
      <c r="AK396" s="1">
        <v>0.06</v>
      </c>
      <c r="AL396" s="1">
        <v>0</v>
      </c>
      <c r="AM396" s="1">
        <v>0.06</v>
      </c>
      <c r="AN396" t="s">
        <v>829</v>
      </c>
    </row>
    <row r="397" spans="1:40" x14ac:dyDescent="0.25">
      <c r="A397" t="s">
        <v>901</v>
      </c>
      <c r="B397" t="s">
        <v>57</v>
      </c>
      <c r="C397" s="4" t="s">
        <v>1744</v>
      </c>
      <c r="D397" t="s">
        <v>1745</v>
      </c>
      <c r="E397" t="s">
        <v>137</v>
      </c>
      <c r="F397" t="str">
        <f>LEFT(premier_player_23_24[[#This Row],[Position]],2)</f>
        <v>FW</v>
      </c>
      <c r="G397" s="3">
        <v>17</v>
      </c>
      <c r="H39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97" s="3">
        <v>3</v>
      </c>
      <c r="J397" s="3">
        <v>0</v>
      </c>
      <c r="K397" s="2">
        <v>16</v>
      </c>
      <c r="L397" s="2" t="str">
        <f>IF(premier_player_23_24[[#This Row],[Minutes]]&gt;1000,"More than 1000 minutes","Less than 1000 minutes")</f>
        <v>Less than 1000 minutes</v>
      </c>
      <c r="M397" s="2">
        <v>0.2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2">
        <v>0</v>
      </c>
      <c r="U397" s="2">
        <v>0</v>
      </c>
      <c r="V397" s="2">
        <v>0</v>
      </c>
      <c r="W397" s="2">
        <f>premier_player_23_24[[#This Row],[Goals]]-premier_player_23_24[[#This Row],[Expected Goals ]]</f>
        <v>0</v>
      </c>
      <c r="X397" s="2">
        <v>0</v>
      </c>
      <c r="Y397" s="2">
        <v>0</v>
      </c>
      <c r="Z397" s="2">
        <v>0</v>
      </c>
      <c r="AA397" s="3">
        <v>0</v>
      </c>
      <c r="AB397" s="3">
        <v>0</v>
      </c>
      <c r="AC397" s="3">
        <v>1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  <c r="AL397" s="1">
        <v>0</v>
      </c>
      <c r="AM397" s="1">
        <v>0</v>
      </c>
      <c r="AN397" t="s">
        <v>829</v>
      </c>
    </row>
    <row r="398" spans="1:40" x14ac:dyDescent="0.25">
      <c r="A398" t="s">
        <v>902</v>
      </c>
      <c r="B398" t="s">
        <v>196</v>
      </c>
      <c r="C398" s="4" t="s">
        <v>1768</v>
      </c>
      <c r="D398" t="s">
        <v>1769</v>
      </c>
      <c r="E398" t="s">
        <v>108</v>
      </c>
      <c r="F398" t="str">
        <f>LEFT(premier_player_23_24[[#This Row],[Position]],2)</f>
        <v>DF</v>
      </c>
      <c r="G398" s="3">
        <v>26</v>
      </c>
      <c r="H39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398" s="3">
        <v>1</v>
      </c>
      <c r="J398" s="3">
        <v>0</v>
      </c>
      <c r="K398" s="2">
        <v>3</v>
      </c>
      <c r="L398" s="2" t="str">
        <f>IF(premier_player_23_24[[#This Row],[Minutes]]&gt;1000,"More than 1000 minutes","Less than 1000 minutes")</f>
        <v>Less than 1000 minutes</v>
      </c>
      <c r="M398" s="2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2">
        <v>0</v>
      </c>
      <c r="U398" s="2">
        <v>0</v>
      </c>
      <c r="V398" s="2">
        <v>0</v>
      </c>
      <c r="W398" s="2">
        <f>premier_player_23_24[[#This Row],[Goals]]-premier_player_23_24[[#This Row],[Expected Goals ]]</f>
        <v>0</v>
      </c>
      <c r="X398" s="2">
        <v>0</v>
      </c>
      <c r="Y398" s="2">
        <v>0.1</v>
      </c>
      <c r="Z398" s="2">
        <v>0.2</v>
      </c>
      <c r="AA398" s="3">
        <v>0</v>
      </c>
      <c r="AB398" s="3">
        <v>0</v>
      </c>
      <c r="AC398" s="3">
        <v>1</v>
      </c>
      <c r="AD398" s="1">
        <v>0</v>
      </c>
      <c r="AE398" s="1">
        <v>0</v>
      </c>
      <c r="AF398" s="1">
        <v>0</v>
      </c>
      <c r="AG398" s="1">
        <v>0</v>
      </c>
      <c r="AH398" s="1">
        <v>0</v>
      </c>
      <c r="AI398" s="1">
        <v>1.0900000000000001</v>
      </c>
      <c r="AJ398" s="1">
        <v>4.4400000000000004</v>
      </c>
      <c r="AK398" s="1">
        <v>5.54</v>
      </c>
      <c r="AL398" s="1">
        <v>1.0900000000000001</v>
      </c>
      <c r="AM398" s="1">
        <v>5.54</v>
      </c>
      <c r="AN398" t="s">
        <v>829</v>
      </c>
    </row>
    <row r="399" spans="1:40" x14ac:dyDescent="0.25">
      <c r="A399" t="s">
        <v>906</v>
      </c>
      <c r="B399" t="s">
        <v>57</v>
      </c>
      <c r="C399" s="4" t="s">
        <v>1744</v>
      </c>
      <c r="D399" t="s">
        <v>1745</v>
      </c>
      <c r="E399" t="s">
        <v>36</v>
      </c>
      <c r="F399" t="str">
        <f>LEFT(premier_player_23_24[[#This Row],[Position]],2)</f>
        <v>MF</v>
      </c>
      <c r="G399" s="3">
        <v>18</v>
      </c>
      <c r="H39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399" s="3">
        <v>1</v>
      </c>
      <c r="J399" s="3">
        <v>0</v>
      </c>
      <c r="K399" s="2">
        <v>1</v>
      </c>
      <c r="L399" s="2" t="str">
        <f>IF(premier_player_23_24[[#This Row],[Minutes]]&gt;1000,"More than 1000 minutes","Less than 1000 minutes")</f>
        <v>Less than 1000 minutes</v>
      </c>
      <c r="M399" s="2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2">
        <v>0</v>
      </c>
      <c r="U399" s="2">
        <v>0</v>
      </c>
      <c r="V399" s="2">
        <v>0</v>
      </c>
      <c r="W399" s="2">
        <f>premier_player_23_24[[#This Row],[Goals]]-premier_player_23_24[[#This Row],[Expected Goals ]]</f>
        <v>0</v>
      </c>
      <c r="X399" s="2">
        <v>0</v>
      </c>
      <c r="Y399" s="2">
        <v>0</v>
      </c>
      <c r="Z399" s="2">
        <v>0</v>
      </c>
      <c r="AA399" s="3">
        <v>0</v>
      </c>
      <c r="AB399" s="3">
        <v>0</v>
      </c>
      <c r="AC399" s="3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v>0</v>
      </c>
      <c r="AL399" s="1">
        <v>0</v>
      </c>
      <c r="AM399" s="1">
        <v>0</v>
      </c>
      <c r="AN399" t="s">
        <v>829</v>
      </c>
    </row>
    <row r="400" spans="1:40" x14ac:dyDescent="0.25">
      <c r="A400" t="s">
        <v>674</v>
      </c>
      <c r="B400" t="s">
        <v>675</v>
      </c>
      <c r="C400" s="4" t="s">
        <v>1780</v>
      </c>
      <c r="D400" t="s">
        <v>1781</v>
      </c>
      <c r="E400" t="s">
        <v>137</v>
      </c>
      <c r="F400" t="str">
        <f>LEFT(premier_player_23_24[[#This Row],[Position]],2)</f>
        <v>FW</v>
      </c>
      <c r="G400" s="3">
        <v>23</v>
      </c>
      <c r="H40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00" s="3">
        <v>30</v>
      </c>
      <c r="J400" s="3">
        <v>27</v>
      </c>
      <c r="K400" s="2">
        <v>2255</v>
      </c>
      <c r="L400" s="2" t="str">
        <f>IF(premier_player_23_24[[#This Row],[Minutes]]&gt;1000,"More than 1000 minutes","Less than 1000 minutes")</f>
        <v>More than 1000 minutes</v>
      </c>
      <c r="M400" s="2">
        <v>25.1</v>
      </c>
      <c r="N400" s="3">
        <v>21</v>
      </c>
      <c r="O400" s="3">
        <v>2</v>
      </c>
      <c r="P400" s="3">
        <v>23</v>
      </c>
      <c r="Q400" s="3">
        <v>16</v>
      </c>
      <c r="R400" s="3">
        <v>5</v>
      </c>
      <c r="S400" s="3">
        <v>6</v>
      </c>
      <c r="T400" s="2">
        <v>1</v>
      </c>
      <c r="U400" s="2">
        <v>0</v>
      </c>
      <c r="V400" s="2">
        <v>20.3</v>
      </c>
      <c r="W400" s="2">
        <f>premier_player_23_24[[#This Row],[Goals]]-premier_player_23_24[[#This Row],[Expected Goals ]]</f>
        <v>0.69999999999999929</v>
      </c>
      <c r="X400" s="2">
        <v>15.6</v>
      </c>
      <c r="Y400" s="2">
        <v>3.7</v>
      </c>
      <c r="Z400" s="2">
        <v>19.3</v>
      </c>
      <c r="AA400" s="3">
        <v>68</v>
      </c>
      <c r="AB400" s="3">
        <v>71</v>
      </c>
      <c r="AC400" s="3">
        <v>129</v>
      </c>
      <c r="AD400" s="1">
        <v>0.84</v>
      </c>
      <c r="AE400" s="1">
        <v>0.08</v>
      </c>
      <c r="AF400" s="1">
        <v>0.92</v>
      </c>
      <c r="AG400" s="1">
        <v>0.64</v>
      </c>
      <c r="AH400" s="1">
        <v>0.72</v>
      </c>
      <c r="AI400" s="1">
        <v>0.81</v>
      </c>
      <c r="AJ400" s="1">
        <v>0.15</v>
      </c>
      <c r="AK400" s="1">
        <v>0.96</v>
      </c>
      <c r="AL400" s="1">
        <v>0.62</v>
      </c>
      <c r="AM400" s="1">
        <v>0.77</v>
      </c>
      <c r="AN400" t="s">
        <v>655</v>
      </c>
    </row>
    <row r="401" spans="1:40" x14ac:dyDescent="0.25">
      <c r="A401" t="s">
        <v>721</v>
      </c>
      <c r="B401" t="s">
        <v>57</v>
      </c>
      <c r="C401" s="4" t="s">
        <v>1744</v>
      </c>
      <c r="D401" t="s">
        <v>1745</v>
      </c>
      <c r="E401" t="s">
        <v>137</v>
      </c>
      <c r="F401" t="str">
        <f>LEFT(premier_player_23_24[[#This Row],[Position]],2)</f>
        <v>FW</v>
      </c>
      <c r="G401" s="3">
        <v>31</v>
      </c>
      <c r="H40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01" s="3">
        <v>20</v>
      </c>
      <c r="J401" s="3">
        <v>9</v>
      </c>
      <c r="K401" s="2">
        <v>991</v>
      </c>
      <c r="L401" s="2" t="str">
        <f>IF(premier_player_23_24[[#This Row],[Minutes]]&gt;1000,"More than 1000 minutes","Less than 1000 minutes")</f>
        <v>Less than 1000 minutes</v>
      </c>
      <c r="M401" s="2">
        <v>11</v>
      </c>
      <c r="N401" s="3">
        <v>9</v>
      </c>
      <c r="O401" s="3">
        <v>1</v>
      </c>
      <c r="P401" s="3">
        <v>10</v>
      </c>
      <c r="Q401" s="3">
        <v>7</v>
      </c>
      <c r="R401" s="3">
        <v>2</v>
      </c>
      <c r="S401" s="3">
        <v>2</v>
      </c>
      <c r="T401" s="2">
        <v>3</v>
      </c>
      <c r="U401" s="2">
        <v>0</v>
      </c>
      <c r="V401" s="2">
        <v>8.8000000000000007</v>
      </c>
      <c r="W401" s="2">
        <f>premier_player_23_24[[#This Row],[Goals]]-premier_player_23_24[[#This Row],[Expected Goals ]]</f>
        <v>0.19999999999999929</v>
      </c>
      <c r="X401" s="2">
        <v>7.2</v>
      </c>
      <c r="Y401" s="2">
        <v>0.6</v>
      </c>
      <c r="Z401" s="2">
        <v>7.8</v>
      </c>
      <c r="AA401" s="3">
        <v>11</v>
      </c>
      <c r="AB401" s="3">
        <v>9</v>
      </c>
      <c r="AC401" s="3">
        <v>77</v>
      </c>
      <c r="AD401" s="1">
        <v>0.82</v>
      </c>
      <c r="AE401" s="1">
        <v>0.09</v>
      </c>
      <c r="AF401" s="1">
        <v>0.91</v>
      </c>
      <c r="AG401" s="1">
        <v>0.64</v>
      </c>
      <c r="AH401" s="1">
        <v>0.73</v>
      </c>
      <c r="AI401" s="1">
        <v>0.8</v>
      </c>
      <c r="AJ401" s="1">
        <v>0.05</v>
      </c>
      <c r="AK401" s="1">
        <v>0.85</v>
      </c>
      <c r="AL401" s="1">
        <v>0.65</v>
      </c>
      <c r="AM401" s="1">
        <v>0.71</v>
      </c>
      <c r="AN401" t="s">
        <v>655</v>
      </c>
    </row>
    <row r="402" spans="1:40" x14ac:dyDescent="0.25">
      <c r="A402" t="s">
        <v>727</v>
      </c>
      <c r="B402" t="s">
        <v>57</v>
      </c>
      <c r="C402" s="4" t="s">
        <v>1744</v>
      </c>
      <c r="D402" t="s">
        <v>1745</v>
      </c>
      <c r="E402" t="s">
        <v>58</v>
      </c>
      <c r="F402" t="str">
        <f>LEFT(premier_player_23_24[[#This Row],[Position]],2)</f>
        <v>FW</v>
      </c>
      <c r="G402" s="3">
        <v>25</v>
      </c>
      <c r="H40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02" s="3">
        <v>21</v>
      </c>
      <c r="J402" s="3">
        <v>7</v>
      </c>
      <c r="K402" s="2">
        <v>802</v>
      </c>
      <c r="L402" s="2" t="str">
        <f>IF(premier_player_23_24[[#This Row],[Minutes]]&gt;1000,"More than 1000 minutes","Less than 1000 minutes")</f>
        <v>Less than 1000 minutes</v>
      </c>
      <c r="M402" s="2">
        <v>8.9</v>
      </c>
      <c r="N402" s="3">
        <v>5</v>
      </c>
      <c r="O402" s="3">
        <v>3</v>
      </c>
      <c r="P402" s="3">
        <v>8</v>
      </c>
      <c r="Q402" s="3">
        <v>5</v>
      </c>
      <c r="R402" s="3">
        <v>0</v>
      </c>
      <c r="S402" s="3">
        <v>0</v>
      </c>
      <c r="T402" s="2">
        <v>2</v>
      </c>
      <c r="U402" s="2">
        <v>0</v>
      </c>
      <c r="V402" s="2">
        <v>3.6</v>
      </c>
      <c r="W402" s="2">
        <f>premier_player_23_24[[#This Row],[Goals]]-premier_player_23_24[[#This Row],[Expected Goals ]]</f>
        <v>1.4</v>
      </c>
      <c r="X402" s="2">
        <v>3.6</v>
      </c>
      <c r="Y402" s="2">
        <v>3.2</v>
      </c>
      <c r="Z402" s="2">
        <v>6.8</v>
      </c>
      <c r="AA402" s="3">
        <v>45</v>
      </c>
      <c r="AB402" s="3">
        <v>34</v>
      </c>
      <c r="AC402" s="3">
        <v>79</v>
      </c>
      <c r="AD402" s="1">
        <v>0.56000000000000005</v>
      </c>
      <c r="AE402" s="1">
        <v>0.34</v>
      </c>
      <c r="AF402" s="1">
        <v>0.9</v>
      </c>
      <c r="AG402" s="1">
        <v>0.56000000000000005</v>
      </c>
      <c r="AH402" s="1">
        <v>0.9</v>
      </c>
      <c r="AI402" s="1">
        <v>0.4</v>
      </c>
      <c r="AJ402" s="1">
        <v>0.36</v>
      </c>
      <c r="AK402" s="1">
        <v>0.76</v>
      </c>
      <c r="AL402" s="1">
        <v>0.4</v>
      </c>
      <c r="AM402" s="1">
        <v>0.76</v>
      </c>
      <c r="AN402" t="s">
        <v>655</v>
      </c>
    </row>
    <row r="403" spans="1:40" x14ac:dyDescent="0.25">
      <c r="A403" t="s">
        <v>708</v>
      </c>
      <c r="B403" t="s">
        <v>57</v>
      </c>
      <c r="C403" s="4" t="s">
        <v>1744</v>
      </c>
      <c r="D403" t="s">
        <v>1745</v>
      </c>
      <c r="E403" t="s">
        <v>709</v>
      </c>
      <c r="F403" t="str">
        <f>LEFT(premier_player_23_24[[#This Row],[Position]],2)</f>
        <v>FW</v>
      </c>
      <c r="G403" s="3">
        <v>28</v>
      </c>
      <c r="H40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03" s="3">
        <v>21</v>
      </c>
      <c r="J403" s="3">
        <v>14</v>
      </c>
      <c r="K403" s="2">
        <v>1189</v>
      </c>
      <c r="L403" s="2" t="str">
        <f>IF(premier_player_23_24[[#This Row],[Minutes]]&gt;1000,"More than 1000 minutes","Less than 1000 minutes")</f>
        <v>More than 1000 minutes</v>
      </c>
      <c r="M403" s="2">
        <v>13.2</v>
      </c>
      <c r="N403" s="3">
        <v>3</v>
      </c>
      <c r="O403" s="3">
        <v>7</v>
      </c>
      <c r="P403" s="3">
        <v>10</v>
      </c>
      <c r="Q403" s="3">
        <v>3</v>
      </c>
      <c r="R403" s="3">
        <v>0</v>
      </c>
      <c r="S403" s="3">
        <v>0</v>
      </c>
      <c r="T403" s="2">
        <v>1</v>
      </c>
      <c r="U403" s="2">
        <v>0</v>
      </c>
      <c r="V403" s="2">
        <v>2.1</v>
      </c>
      <c r="W403" s="2">
        <f>premier_player_23_24[[#This Row],[Goals]]-premier_player_23_24[[#This Row],[Expected Goals ]]</f>
        <v>0.89999999999999991</v>
      </c>
      <c r="X403" s="2">
        <v>2.1</v>
      </c>
      <c r="Y403" s="2">
        <v>5</v>
      </c>
      <c r="Z403" s="2">
        <v>7.1</v>
      </c>
      <c r="AA403" s="3">
        <v>33</v>
      </c>
      <c r="AB403" s="3">
        <v>52</v>
      </c>
      <c r="AC403" s="3">
        <v>113</v>
      </c>
      <c r="AD403" s="1">
        <v>0.23</v>
      </c>
      <c r="AE403" s="1">
        <v>0.53</v>
      </c>
      <c r="AF403" s="1">
        <v>0.76</v>
      </c>
      <c r="AG403" s="1">
        <v>0.23</v>
      </c>
      <c r="AH403" s="1">
        <v>0.76</v>
      </c>
      <c r="AI403" s="1">
        <v>0.16</v>
      </c>
      <c r="AJ403" s="1">
        <v>0.37</v>
      </c>
      <c r="AK403" s="1">
        <v>0.54</v>
      </c>
      <c r="AL403" s="1">
        <v>0.16</v>
      </c>
      <c r="AM403" s="1">
        <v>0.54</v>
      </c>
      <c r="AN403" t="s">
        <v>655</v>
      </c>
    </row>
    <row r="404" spans="1:40" x14ac:dyDescent="0.25">
      <c r="A404" t="s">
        <v>737</v>
      </c>
      <c r="B404" t="s">
        <v>360</v>
      </c>
      <c r="C404" s="4" t="s">
        <v>1776</v>
      </c>
      <c r="D404" t="s">
        <v>1777</v>
      </c>
      <c r="E404" t="s">
        <v>58</v>
      </c>
      <c r="F404" t="str">
        <f>LEFT(premier_player_23_24[[#This Row],[Position]],2)</f>
        <v>FW</v>
      </c>
      <c r="G404" s="3">
        <v>33</v>
      </c>
      <c r="H40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04" s="3">
        <v>13</v>
      </c>
      <c r="J404" s="3">
        <v>0</v>
      </c>
      <c r="K404" s="2">
        <v>128</v>
      </c>
      <c r="L404" s="2" t="str">
        <f>IF(premier_player_23_24[[#This Row],[Minutes]]&gt;1000,"More than 1000 minutes","Less than 1000 minutes")</f>
        <v>Less than 1000 minutes</v>
      </c>
      <c r="M404" s="2">
        <v>1.4</v>
      </c>
      <c r="N404" s="3">
        <v>1</v>
      </c>
      <c r="O404" s="3">
        <v>0</v>
      </c>
      <c r="P404" s="3">
        <v>1</v>
      </c>
      <c r="Q404" s="3">
        <v>1</v>
      </c>
      <c r="R404" s="3">
        <v>0</v>
      </c>
      <c r="S404" s="3">
        <v>0</v>
      </c>
      <c r="T404" s="2">
        <v>1</v>
      </c>
      <c r="U404" s="2">
        <v>0</v>
      </c>
      <c r="V404" s="2">
        <v>1</v>
      </c>
      <c r="W404" s="2">
        <f>premier_player_23_24[[#This Row],[Goals]]-premier_player_23_24[[#This Row],[Expected Goals ]]</f>
        <v>0</v>
      </c>
      <c r="X404" s="2">
        <v>1</v>
      </c>
      <c r="Y404" s="2">
        <v>0</v>
      </c>
      <c r="Z404" s="2">
        <v>1</v>
      </c>
      <c r="AA404" s="3">
        <v>5</v>
      </c>
      <c r="AB404" s="3">
        <v>8</v>
      </c>
      <c r="AC404" s="3">
        <v>13</v>
      </c>
      <c r="AD404" s="1">
        <v>0.7</v>
      </c>
      <c r="AE404" s="1">
        <v>0</v>
      </c>
      <c r="AF404" s="1">
        <v>0.7</v>
      </c>
      <c r="AG404" s="1">
        <v>0.7</v>
      </c>
      <c r="AH404" s="1">
        <v>0.7</v>
      </c>
      <c r="AI404" s="1">
        <v>0.68</v>
      </c>
      <c r="AJ404" s="1">
        <v>0</v>
      </c>
      <c r="AK404" s="1">
        <v>0.68</v>
      </c>
      <c r="AL404" s="1">
        <v>0.68</v>
      </c>
      <c r="AM404" s="1">
        <v>0.68</v>
      </c>
      <c r="AN404" t="s">
        <v>655</v>
      </c>
    </row>
    <row r="405" spans="1:40" x14ac:dyDescent="0.25">
      <c r="A405" t="s">
        <v>659</v>
      </c>
      <c r="B405" t="s">
        <v>57</v>
      </c>
      <c r="C405" s="4" t="s">
        <v>1744</v>
      </c>
      <c r="D405" t="s">
        <v>1745</v>
      </c>
      <c r="E405" t="s">
        <v>137</v>
      </c>
      <c r="F405" t="str">
        <f>LEFT(premier_player_23_24[[#This Row],[Position]],2)</f>
        <v>FW</v>
      </c>
      <c r="G405" s="3">
        <v>22</v>
      </c>
      <c r="H40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05" s="3">
        <v>35</v>
      </c>
      <c r="J405" s="3">
        <v>34</v>
      </c>
      <c r="K405" s="2">
        <v>2890</v>
      </c>
      <c r="L405" s="2" t="str">
        <f>IF(premier_player_23_24[[#This Row],[Minutes]]&gt;1000,"More than 1000 minutes","Less than 1000 minutes")</f>
        <v>More than 1000 minutes</v>
      </c>
      <c r="M405" s="2">
        <v>32.1</v>
      </c>
      <c r="N405" s="3">
        <v>11</v>
      </c>
      <c r="O405" s="3">
        <v>10</v>
      </c>
      <c r="P405" s="3">
        <v>21</v>
      </c>
      <c r="Q405" s="3">
        <v>10</v>
      </c>
      <c r="R405" s="3">
        <v>1</v>
      </c>
      <c r="S405" s="3">
        <v>1</v>
      </c>
      <c r="T405" s="2">
        <v>12</v>
      </c>
      <c r="U405" s="2">
        <v>1</v>
      </c>
      <c r="V405" s="2">
        <v>10.199999999999999</v>
      </c>
      <c r="W405" s="2">
        <f>premier_player_23_24[[#This Row],[Goals]]-premier_player_23_24[[#This Row],[Expected Goals ]]</f>
        <v>0.80000000000000071</v>
      </c>
      <c r="X405" s="2">
        <v>9.4</v>
      </c>
      <c r="Y405" s="2">
        <v>8</v>
      </c>
      <c r="Z405" s="2">
        <v>17.399999999999999</v>
      </c>
      <c r="AA405" s="3">
        <v>138</v>
      </c>
      <c r="AB405" s="3">
        <v>101</v>
      </c>
      <c r="AC405" s="3">
        <v>232</v>
      </c>
      <c r="AD405" s="1">
        <v>0.34</v>
      </c>
      <c r="AE405" s="1">
        <v>0.31</v>
      </c>
      <c r="AF405" s="1">
        <v>0.65</v>
      </c>
      <c r="AG405" s="1">
        <v>0.31</v>
      </c>
      <c r="AH405" s="1">
        <v>0.62</v>
      </c>
      <c r="AI405" s="1">
        <v>0.32</v>
      </c>
      <c r="AJ405" s="1">
        <v>0.25</v>
      </c>
      <c r="AK405" s="1">
        <v>0.56999999999999995</v>
      </c>
      <c r="AL405" s="1">
        <v>0.28999999999999998</v>
      </c>
      <c r="AM405" s="1">
        <v>0.54</v>
      </c>
      <c r="AN405" t="s">
        <v>655</v>
      </c>
    </row>
    <row r="406" spans="1:40" x14ac:dyDescent="0.25">
      <c r="A406" t="s">
        <v>684</v>
      </c>
      <c r="B406" t="s">
        <v>57</v>
      </c>
      <c r="C406" s="4" t="s">
        <v>1744</v>
      </c>
      <c r="D406" t="s">
        <v>1745</v>
      </c>
      <c r="E406" t="s">
        <v>108</v>
      </c>
      <c r="F406" t="str">
        <f>LEFT(premier_player_23_24[[#This Row],[Position]],2)</f>
        <v>DF</v>
      </c>
      <c r="G406" s="3">
        <v>32</v>
      </c>
      <c r="H40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06" s="3">
        <v>28</v>
      </c>
      <c r="J406" s="3">
        <v>26</v>
      </c>
      <c r="K406" s="2">
        <v>2236</v>
      </c>
      <c r="L406" s="2" t="str">
        <f>IF(premier_player_23_24[[#This Row],[Minutes]]&gt;1000,"More than 1000 minutes","Less than 1000 minutes")</f>
        <v>More than 1000 minutes</v>
      </c>
      <c r="M406" s="2">
        <v>24.8</v>
      </c>
      <c r="N406" s="3">
        <v>1</v>
      </c>
      <c r="O406" s="3">
        <v>10</v>
      </c>
      <c r="P406" s="3">
        <v>11</v>
      </c>
      <c r="Q406" s="3">
        <v>1</v>
      </c>
      <c r="R406" s="3">
        <v>0</v>
      </c>
      <c r="S406" s="3">
        <v>0</v>
      </c>
      <c r="T406" s="2">
        <v>5</v>
      </c>
      <c r="U406" s="2">
        <v>0</v>
      </c>
      <c r="V406" s="2">
        <v>0.7</v>
      </c>
      <c r="W406" s="2">
        <f>premier_player_23_24[[#This Row],[Goals]]-premier_player_23_24[[#This Row],[Expected Goals ]]</f>
        <v>0.30000000000000004</v>
      </c>
      <c r="X406" s="2">
        <v>0.7</v>
      </c>
      <c r="Y406" s="2">
        <v>7.5</v>
      </c>
      <c r="Z406" s="2">
        <v>8.1999999999999993</v>
      </c>
      <c r="AA406" s="3">
        <v>34</v>
      </c>
      <c r="AB406" s="3">
        <v>157</v>
      </c>
      <c r="AC406" s="3">
        <v>128</v>
      </c>
      <c r="AD406" s="1">
        <v>0.04</v>
      </c>
      <c r="AE406" s="1">
        <v>0.4</v>
      </c>
      <c r="AF406" s="1">
        <v>0.44</v>
      </c>
      <c r="AG406" s="1">
        <v>0.04</v>
      </c>
      <c r="AH406" s="1">
        <v>0.44</v>
      </c>
      <c r="AI406" s="1">
        <v>0.03</v>
      </c>
      <c r="AJ406" s="1">
        <v>0.3</v>
      </c>
      <c r="AK406" s="1">
        <v>0.33</v>
      </c>
      <c r="AL406" s="1">
        <v>0.03</v>
      </c>
      <c r="AM406" s="1">
        <v>0.33</v>
      </c>
      <c r="AN406" t="s">
        <v>655</v>
      </c>
    </row>
    <row r="407" spans="1:40" x14ac:dyDescent="0.25">
      <c r="A407" t="s">
        <v>650</v>
      </c>
      <c r="B407" t="s">
        <v>76</v>
      </c>
      <c r="C407" s="4" t="s">
        <v>1750</v>
      </c>
      <c r="D407" t="s">
        <v>1751</v>
      </c>
      <c r="E407" t="s">
        <v>36</v>
      </c>
      <c r="F407" t="str">
        <f>LEFT(premier_player_23_24[[#This Row],[Position]],2)</f>
        <v>MF</v>
      </c>
      <c r="G407" s="3">
        <v>25</v>
      </c>
      <c r="H40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07" s="3">
        <v>37</v>
      </c>
      <c r="J407" s="3">
        <v>37</v>
      </c>
      <c r="K407" s="2">
        <v>3263</v>
      </c>
      <c r="L407" s="2" t="str">
        <f>IF(premier_player_23_24[[#This Row],[Minutes]]&gt;1000,"More than 1000 minutes","Less than 1000 minutes")</f>
        <v>More than 1000 minutes</v>
      </c>
      <c r="M407" s="2">
        <v>36.299999999999997</v>
      </c>
      <c r="N407" s="3">
        <v>7</v>
      </c>
      <c r="O407" s="3">
        <v>8</v>
      </c>
      <c r="P407" s="3">
        <v>15</v>
      </c>
      <c r="Q407" s="3">
        <v>7</v>
      </c>
      <c r="R407" s="3">
        <v>0</v>
      </c>
      <c r="S407" s="3">
        <v>0</v>
      </c>
      <c r="T407" s="2">
        <v>9</v>
      </c>
      <c r="U407" s="2">
        <v>0</v>
      </c>
      <c r="V407" s="2">
        <v>4.8</v>
      </c>
      <c r="W407" s="2">
        <f>premier_player_23_24[[#This Row],[Goals]]-premier_player_23_24[[#This Row],[Expected Goals ]]</f>
        <v>2.2000000000000002</v>
      </c>
      <c r="X407" s="2">
        <v>4.8</v>
      </c>
      <c r="Y407" s="2">
        <v>6.4</v>
      </c>
      <c r="Z407" s="2">
        <v>11.2</v>
      </c>
      <c r="AA407" s="3">
        <v>65</v>
      </c>
      <c r="AB407" s="3">
        <v>283</v>
      </c>
      <c r="AC407" s="3">
        <v>73</v>
      </c>
      <c r="AD407" s="1">
        <v>0.19</v>
      </c>
      <c r="AE407" s="1">
        <v>0.22</v>
      </c>
      <c r="AF407" s="1">
        <v>0.41</v>
      </c>
      <c r="AG407" s="1">
        <v>0.19</v>
      </c>
      <c r="AH407" s="1">
        <v>0.41</v>
      </c>
      <c r="AI407" s="1">
        <v>0.13</v>
      </c>
      <c r="AJ407" s="1">
        <v>0.18</v>
      </c>
      <c r="AK407" s="1">
        <v>0.31</v>
      </c>
      <c r="AL407" s="1">
        <v>0.13</v>
      </c>
      <c r="AM407" s="1">
        <v>0.31</v>
      </c>
      <c r="AN407" t="s">
        <v>655</v>
      </c>
    </row>
    <row r="408" spans="1:40" x14ac:dyDescent="0.25">
      <c r="A408" t="s">
        <v>705</v>
      </c>
      <c r="B408" t="s">
        <v>57</v>
      </c>
      <c r="C408" s="4" t="s">
        <v>1744</v>
      </c>
      <c r="D408" t="s">
        <v>1745</v>
      </c>
      <c r="E408" t="s">
        <v>36</v>
      </c>
      <c r="F408" t="str">
        <f>LEFT(premier_player_23_24[[#This Row],[Position]],2)</f>
        <v>MF</v>
      </c>
      <c r="G408" s="3">
        <v>17</v>
      </c>
      <c r="H40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08" s="3">
        <v>17</v>
      </c>
      <c r="J408" s="3">
        <v>14</v>
      </c>
      <c r="K408" s="2">
        <v>1202</v>
      </c>
      <c r="L408" s="2" t="str">
        <f>IF(premier_player_23_24[[#This Row],[Minutes]]&gt;1000,"More than 1000 minutes","Less than 1000 minutes")</f>
        <v>More than 1000 minutes</v>
      </c>
      <c r="M408" s="2">
        <v>13.4</v>
      </c>
      <c r="N408" s="3">
        <v>1</v>
      </c>
      <c r="O408" s="3">
        <v>3</v>
      </c>
      <c r="P408" s="3">
        <v>4</v>
      </c>
      <c r="Q408" s="3">
        <v>1</v>
      </c>
      <c r="R408" s="3">
        <v>0</v>
      </c>
      <c r="S408" s="3">
        <v>0</v>
      </c>
      <c r="T408" s="2">
        <v>1</v>
      </c>
      <c r="U408" s="2">
        <v>0</v>
      </c>
      <c r="V408" s="2">
        <v>1.2</v>
      </c>
      <c r="W408" s="2">
        <f>premier_player_23_24[[#This Row],[Goals]]-premier_player_23_24[[#This Row],[Expected Goals ]]</f>
        <v>-0.19999999999999996</v>
      </c>
      <c r="X408" s="2">
        <v>1.2</v>
      </c>
      <c r="Y408" s="2">
        <v>1.7</v>
      </c>
      <c r="Z408" s="2">
        <v>2.9</v>
      </c>
      <c r="AA408" s="3">
        <v>14</v>
      </c>
      <c r="AB408" s="3">
        <v>53</v>
      </c>
      <c r="AC408" s="3">
        <v>54</v>
      </c>
      <c r="AD408" s="1">
        <v>7.0000000000000007E-2</v>
      </c>
      <c r="AE408" s="1">
        <v>0.22</v>
      </c>
      <c r="AF408" s="1">
        <v>0.3</v>
      </c>
      <c r="AG408" s="1">
        <v>7.0000000000000007E-2</v>
      </c>
      <c r="AH408" s="1">
        <v>0.3</v>
      </c>
      <c r="AI408" s="1">
        <v>0.09</v>
      </c>
      <c r="AJ408" s="1">
        <v>0.13</v>
      </c>
      <c r="AK408" s="1">
        <v>0.22</v>
      </c>
      <c r="AL408" s="1">
        <v>0.09</v>
      </c>
      <c r="AM408" s="1">
        <v>0.22</v>
      </c>
      <c r="AN408" t="s">
        <v>655</v>
      </c>
    </row>
    <row r="409" spans="1:40" x14ac:dyDescent="0.25">
      <c r="A409" t="s">
        <v>669</v>
      </c>
      <c r="B409" t="s">
        <v>57</v>
      </c>
      <c r="C409" s="4" t="s">
        <v>1744</v>
      </c>
      <c r="D409" t="s">
        <v>1745</v>
      </c>
      <c r="E409" t="s">
        <v>36</v>
      </c>
      <c r="F409" t="str">
        <f>LEFT(premier_player_23_24[[#This Row],[Position]],2)</f>
        <v>MF</v>
      </c>
      <c r="G409" s="3">
        <v>25</v>
      </c>
      <c r="H40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09" s="3">
        <v>35</v>
      </c>
      <c r="J409" s="3">
        <v>30</v>
      </c>
      <c r="K409" s="2">
        <v>2747</v>
      </c>
      <c r="L409" s="2" t="str">
        <f>IF(premier_player_23_24[[#This Row],[Minutes]]&gt;1000,"More than 1000 minutes","Less than 1000 minutes")</f>
        <v>More than 1000 minutes</v>
      </c>
      <c r="M409" s="2">
        <v>30.5</v>
      </c>
      <c r="N409" s="3">
        <v>6</v>
      </c>
      <c r="O409" s="3">
        <v>2</v>
      </c>
      <c r="P409" s="3">
        <v>8</v>
      </c>
      <c r="Q409" s="3">
        <v>6</v>
      </c>
      <c r="R409" s="3">
        <v>0</v>
      </c>
      <c r="S409" s="3">
        <v>0</v>
      </c>
      <c r="T409" s="2">
        <v>7</v>
      </c>
      <c r="U409" s="2">
        <v>0</v>
      </c>
      <c r="V409" s="2">
        <v>6.6</v>
      </c>
      <c r="W409" s="2">
        <f>premier_player_23_24[[#This Row],[Goals]]-premier_player_23_24[[#This Row],[Expected Goals ]]</f>
        <v>-0.59999999999999964</v>
      </c>
      <c r="X409" s="2">
        <v>6.6</v>
      </c>
      <c r="Y409" s="2">
        <v>2.2999999999999998</v>
      </c>
      <c r="Z409" s="2">
        <v>8.8000000000000007</v>
      </c>
      <c r="AA409" s="3">
        <v>24</v>
      </c>
      <c r="AB409" s="3">
        <v>145</v>
      </c>
      <c r="AC409" s="3">
        <v>116</v>
      </c>
      <c r="AD409" s="1">
        <v>0.2</v>
      </c>
      <c r="AE409" s="1">
        <v>7.0000000000000007E-2</v>
      </c>
      <c r="AF409" s="1">
        <v>0.26</v>
      </c>
      <c r="AG409" s="1">
        <v>0.2</v>
      </c>
      <c r="AH409" s="1">
        <v>0.26</v>
      </c>
      <c r="AI409" s="1">
        <v>0.22</v>
      </c>
      <c r="AJ409" s="1">
        <v>7.0000000000000007E-2</v>
      </c>
      <c r="AK409" s="1">
        <v>0.28999999999999998</v>
      </c>
      <c r="AL409" s="1">
        <v>0.22</v>
      </c>
      <c r="AM409" s="1">
        <v>0.28999999999999998</v>
      </c>
      <c r="AN409" t="s">
        <v>655</v>
      </c>
    </row>
    <row r="410" spans="1:40" x14ac:dyDescent="0.25">
      <c r="A410" t="s">
        <v>694</v>
      </c>
      <c r="B410" t="s">
        <v>196</v>
      </c>
      <c r="C410" s="4" t="s">
        <v>1768</v>
      </c>
      <c r="D410" t="s">
        <v>1769</v>
      </c>
      <c r="E410" t="s">
        <v>108</v>
      </c>
      <c r="F410" t="str">
        <f>LEFT(premier_player_23_24[[#This Row],[Position]],2)</f>
        <v>DF</v>
      </c>
      <c r="G410" s="3">
        <v>23</v>
      </c>
      <c r="H41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10" s="3">
        <v>17</v>
      </c>
      <c r="J410" s="3">
        <v>15</v>
      </c>
      <c r="K410" s="2">
        <v>1377</v>
      </c>
      <c r="L410" s="2" t="str">
        <f>IF(premier_player_23_24[[#This Row],[Minutes]]&gt;1000,"More than 1000 minutes","Less than 1000 minutes")</f>
        <v>More than 1000 minutes</v>
      </c>
      <c r="M410" s="2">
        <v>15.3</v>
      </c>
      <c r="N410" s="3">
        <v>2</v>
      </c>
      <c r="O410" s="3">
        <v>2</v>
      </c>
      <c r="P410" s="3">
        <v>4</v>
      </c>
      <c r="Q410" s="3">
        <v>2</v>
      </c>
      <c r="R410" s="3">
        <v>0</v>
      </c>
      <c r="S410" s="3">
        <v>0</v>
      </c>
      <c r="T410" s="2">
        <v>2</v>
      </c>
      <c r="U410" s="2">
        <v>0</v>
      </c>
      <c r="V410" s="2">
        <v>0.6</v>
      </c>
      <c r="W410" s="2">
        <f>premier_player_23_24[[#This Row],[Goals]]-premier_player_23_24[[#This Row],[Expected Goals ]]</f>
        <v>1.4</v>
      </c>
      <c r="X410" s="2">
        <v>0.6</v>
      </c>
      <c r="Y410" s="2">
        <v>1</v>
      </c>
      <c r="Z410" s="2">
        <v>1.6</v>
      </c>
      <c r="AA410" s="3">
        <v>0</v>
      </c>
      <c r="AB410" s="3">
        <v>35</v>
      </c>
      <c r="AC410" s="3">
        <v>5</v>
      </c>
      <c r="AD410" s="1">
        <v>0.13</v>
      </c>
      <c r="AE410" s="1">
        <v>0.13</v>
      </c>
      <c r="AF410" s="1">
        <v>0.26</v>
      </c>
      <c r="AG410" s="1">
        <v>0.13</v>
      </c>
      <c r="AH410" s="1">
        <v>0.26</v>
      </c>
      <c r="AI410" s="1">
        <v>0.04</v>
      </c>
      <c r="AJ410" s="1">
        <v>7.0000000000000007E-2</v>
      </c>
      <c r="AK410" s="1">
        <v>0.11</v>
      </c>
      <c r="AL410" s="1">
        <v>0.04</v>
      </c>
      <c r="AM410" s="1">
        <v>0.11</v>
      </c>
      <c r="AN410" t="s">
        <v>655</v>
      </c>
    </row>
    <row r="411" spans="1:40" x14ac:dyDescent="0.25">
      <c r="A411" t="s">
        <v>699</v>
      </c>
      <c r="B411" t="s">
        <v>76</v>
      </c>
      <c r="C411" s="4" t="s">
        <v>1750</v>
      </c>
      <c r="D411" t="s">
        <v>1751</v>
      </c>
      <c r="E411" t="s">
        <v>86</v>
      </c>
      <c r="F411" t="str">
        <f>LEFT(premier_player_23_24[[#This Row],[Position]],2)</f>
        <v>MF</v>
      </c>
      <c r="G411" s="3">
        <v>26</v>
      </c>
      <c r="H41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11" s="3">
        <v>20</v>
      </c>
      <c r="J411" s="3">
        <v>15</v>
      </c>
      <c r="K411" s="2">
        <v>1279</v>
      </c>
      <c r="L411" s="2" t="str">
        <f>IF(premier_player_23_24[[#This Row],[Minutes]]&gt;1000,"More than 1000 minutes","Less than 1000 minutes")</f>
        <v>More than 1000 minutes</v>
      </c>
      <c r="M411" s="2">
        <v>14.2</v>
      </c>
      <c r="N411" s="3">
        <v>2</v>
      </c>
      <c r="O411" s="3">
        <v>1</v>
      </c>
      <c r="P411" s="3">
        <v>3</v>
      </c>
      <c r="Q411" s="3">
        <v>2</v>
      </c>
      <c r="R411" s="3">
        <v>0</v>
      </c>
      <c r="S411" s="3">
        <v>0</v>
      </c>
      <c r="T411" s="2">
        <v>6</v>
      </c>
      <c r="U411" s="2">
        <v>0</v>
      </c>
      <c r="V411" s="2">
        <v>3.1</v>
      </c>
      <c r="W411" s="2">
        <f>premier_player_23_24[[#This Row],[Goals]]-premier_player_23_24[[#This Row],[Expected Goals ]]</f>
        <v>-1.1000000000000001</v>
      </c>
      <c r="X411" s="2">
        <v>3.1</v>
      </c>
      <c r="Y411" s="2">
        <v>2.8</v>
      </c>
      <c r="Z411" s="2">
        <v>5.9</v>
      </c>
      <c r="AA411" s="3">
        <v>29</v>
      </c>
      <c r="AB411" s="3">
        <v>56</v>
      </c>
      <c r="AC411" s="3">
        <v>60</v>
      </c>
      <c r="AD411" s="1">
        <v>0.14000000000000001</v>
      </c>
      <c r="AE411" s="1">
        <v>7.0000000000000007E-2</v>
      </c>
      <c r="AF411" s="1">
        <v>0.21</v>
      </c>
      <c r="AG411" s="1">
        <v>0.14000000000000001</v>
      </c>
      <c r="AH411" s="1">
        <v>0.21</v>
      </c>
      <c r="AI411" s="1">
        <v>0.22</v>
      </c>
      <c r="AJ411" s="1">
        <v>0.2</v>
      </c>
      <c r="AK411" s="1">
        <v>0.41</v>
      </c>
      <c r="AL411" s="1">
        <v>0.22</v>
      </c>
      <c r="AM411" s="1">
        <v>0.41</v>
      </c>
      <c r="AN411" t="s">
        <v>655</v>
      </c>
    </row>
    <row r="412" spans="1:40" x14ac:dyDescent="0.25">
      <c r="A412" t="s">
        <v>731</v>
      </c>
      <c r="B412" t="s">
        <v>519</v>
      </c>
      <c r="C412" s="4" t="s">
        <v>1758</v>
      </c>
      <c r="D412" t="s">
        <v>1759</v>
      </c>
      <c r="E412" t="s">
        <v>36</v>
      </c>
      <c r="F412" t="str">
        <f>LEFT(premier_player_23_24[[#This Row],[Position]],2)</f>
        <v>MF</v>
      </c>
      <c r="G412" s="3">
        <v>23</v>
      </c>
      <c r="H41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12" s="3">
        <v>8</v>
      </c>
      <c r="J412" s="3">
        <v>5</v>
      </c>
      <c r="K412" s="2">
        <v>438</v>
      </c>
      <c r="L412" s="2" t="str">
        <f>IF(premier_player_23_24[[#This Row],[Minutes]]&gt;1000,"More than 1000 minutes","Less than 1000 minutes")</f>
        <v>Less than 1000 minutes</v>
      </c>
      <c r="M412" s="2">
        <v>4.9000000000000004</v>
      </c>
      <c r="N412" s="3">
        <v>1</v>
      </c>
      <c r="O412" s="3">
        <v>0</v>
      </c>
      <c r="P412" s="3">
        <v>1</v>
      </c>
      <c r="Q412" s="3">
        <v>1</v>
      </c>
      <c r="R412" s="3">
        <v>0</v>
      </c>
      <c r="S412" s="3">
        <v>0</v>
      </c>
      <c r="T412" s="2">
        <v>2</v>
      </c>
      <c r="U412" s="2">
        <v>0</v>
      </c>
      <c r="V412" s="2">
        <v>0.7</v>
      </c>
      <c r="W412" s="2">
        <f>premier_player_23_24[[#This Row],[Goals]]-premier_player_23_24[[#This Row],[Expected Goals ]]</f>
        <v>0.30000000000000004</v>
      </c>
      <c r="X412" s="2">
        <v>0.7</v>
      </c>
      <c r="Y412" s="2">
        <v>0.6</v>
      </c>
      <c r="Z412" s="2">
        <v>1.3</v>
      </c>
      <c r="AA412" s="3">
        <v>11</v>
      </c>
      <c r="AB412" s="3">
        <v>19</v>
      </c>
      <c r="AC412" s="3">
        <v>21</v>
      </c>
      <c r="AD412" s="1">
        <v>0.21</v>
      </c>
      <c r="AE412" s="1">
        <v>0</v>
      </c>
      <c r="AF412" s="1">
        <v>0.21</v>
      </c>
      <c r="AG412" s="1">
        <v>0.21</v>
      </c>
      <c r="AH412" s="1">
        <v>0.21</v>
      </c>
      <c r="AI412" s="1">
        <v>0.13</v>
      </c>
      <c r="AJ412" s="1">
        <v>0.13</v>
      </c>
      <c r="AK412" s="1">
        <v>0.26</v>
      </c>
      <c r="AL412" s="1">
        <v>0.13</v>
      </c>
      <c r="AM412" s="1">
        <v>0.26</v>
      </c>
      <c r="AN412" t="s">
        <v>655</v>
      </c>
    </row>
    <row r="413" spans="1:40" x14ac:dyDescent="0.25">
      <c r="A413" t="s">
        <v>733</v>
      </c>
      <c r="B413" t="s">
        <v>57</v>
      </c>
      <c r="C413" s="4" t="s">
        <v>1744</v>
      </c>
      <c r="D413" t="s">
        <v>1745</v>
      </c>
      <c r="E413" t="s">
        <v>36</v>
      </c>
      <c r="F413" t="str">
        <f>LEFT(premier_player_23_24[[#This Row],[Position]],2)</f>
        <v>MF</v>
      </c>
      <c r="G413" s="3">
        <v>23</v>
      </c>
      <c r="H41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13" s="3">
        <v>9</v>
      </c>
      <c r="J413" s="3">
        <v>5</v>
      </c>
      <c r="K413" s="2">
        <v>419</v>
      </c>
      <c r="L413" s="2" t="str">
        <f>IF(premier_player_23_24[[#This Row],[Minutes]]&gt;1000,"More than 1000 minutes","Less than 1000 minutes")</f>
        <v>Less than 1000 minutes</v>
      </c>
      <c r="M413" s="2">
        <v>4.7</v>
      </c>
      <c r="N413" s="3">
        <v>1</v>
      </c>
      <c r="O413" s="3">
        <v>0</v>
      </c>
      <c r="P413" s="3">
        <v>1</v>
      </c>
      <c r="Q413" s="3">
        <v>1</v>
      </c>
      <c r="R413" s="3">
        <v>0</v>
      </c>
      <c r="S413" s="3">
        <v>0</v>
      </c>
      <c r="T413" s="2">
        <v>0</v>
      </c>
      <c r="U413" s="2">
        <v>0</v>
      </c>
      <c r="V413" s="2">
        <v>0.8</v>
      </c>
      <c r="W413" s="2">
        <f>premier_player_23_24[[#This Row],[Goals]]-premier_player_23_24[[#This Row],[Expected Goals ]]</f>
        <v>0.19999999999999996</v>
      </c>
      <c r="X413" s="2">
        <v>0.8</v>
      </c>
      <c r="Y413" s="2">
        <v>0.6</v>
      </c>
      <c r="Z413" s="2">
        <v>1.4</v>
      </c>
      <c r="AA413" s="3">
        <v>16</v>
      </c>
      <c r="AB413" s="3">
        <v>17</v>
      </c>
      <c r="AC413" s="3">
        <v>26</v>
      </c>
      <c r="AD413" s="1">
        <v>0.21</v>
      </c>
      <c r="AE413" s="1">
        <v>0</v>
      </c>
      <c r="AF413" s="1">
        <v>0.21</v>
      </c>
      <c r="AG413" s="1">
        <v>0.21</v>
      </c>
      <c r="AH413" s="1">
        <v>0.21</v>
      </c>
      <c r="AI413" s="1">
        <v>0.17</v>
      </c>
      <c r="AJ413" s="1">
        <v>0.12</v>
      </c>
      <c r="AK413" s="1">
        <v>0.3</v>
      </c>
      <c r="AL413" s="1">
        <v>0.17</v>
      </c>
      <c r="AM413" s="1">
        <v>0.3</v>
      </c>
      <c r="AN413" t="s">
        <v>655</v>
      </c>
    </row>
    <row r="414" spans="1:40" x14ac:dyDescent="0.25">
      <c r="A414" t="s">
        <v>688</v>
      </c>
      <c r="B414" t="s">
        <v>689</v>
      </c>
      <c r="C414" s="4" t="s">
        <v>1812</v>
      </c>
      <c r="D414" t="s">
        <v>1813</v>
      </c>
      <c r="E414" t="s">
        <v>137</v>
      </c>
      <c r="F414" t="str">
        <f>LEFT(premier_player_23_24[[#This Row],[Position]],2)</f>
        <v>FW</v>
      </c>
      <c r="G414" s="3">
        <v>29</v>
      </c>
      <c r="H41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14" s="3">
        <v>33</v>
      </c>
      <c r="J414" s="3">
        <v>23</v>
      </c>
      <c r="K414" s="2">
        <v>1937</v>
      </c>
      <c r="L414" s="2" t="str">
        <f>IF(premier_player_23_24[[#This Row],[Minutes]]&gt;1000,"More than 1000 minutes","Less than 1000 minutes")</f>
        <v>More than 1000 minutes</v>
      </c>
      <c r="M414" s="2">
        <v>21.5</v>
      </c>
      <c r="N414" s="3">
        <v>3</v>
      </c>
      <c r="O414" s="3">
        <v>1</v>
      </c>
      <c r="P414" s="3">
        <v>4</v>
      </c>
      <c r="Q414" s="3">
        <v>3</v>
      </c>
      <c r="R414" s="3">
        <v>0</v>
      </c>
      <c r="S414" s="3">
        <v>0</v>
      </c>
      <c r="T414" s="2">
        <v>2</v>
      </c>
      <c r="U414" s="2">
        <v>0</v>
      </c>
      <c r="V414" s="2">
        <v>4.5</v>
      </c>
      <c r="W414" s="2">
        <f>premier_player_23_24[[#This Row],[Goals]]-premier_player_23_24[[#This Row],[Expected Goals ]]</f>
        <v>-1.5</v>
      </c>
      <c r="X414" s="2">
        <v>4.5</v>
      </c>
      <c r="Y414" s="2">
        <v>2.6</v>
      </c>
      <c r="Z414" s="2">
        <v>7.2</v>
      </c>
      <c r="AA414" s="3">
        <v>78</v>
      </c>
      <c r="AB414" s="3">
        <v>78</v>
      </c>
      <c r="AC414" s="3">
        <v>162</v>
      </c>
      <c r="AD414" s="1">
        <v>0.14000000000000001</v>
      </c>
      <c r="AE414" s="1">
        <v>0.05</v>
      </c>
      <c r="AF414" s="1">
        <v>0.19</v>
      </c>
      <c r="AG414" s="1">
        <v>0.14000000000000001</v>
      </c>
      <c r="AH414" s="1">
        <v>0.19</v>
      </c>
      <c r="AI414" s="1">
        <v>0.21</v>
      </c>
      <c r="AJ414" s="1">
        <v>0.12</v>
      </c>
      <c r="AK414" s="1">
        <v>0.33</v>
      </c>
      <c r="AL414" s="1">
        <v>0.21</v>
      </c>
      <c r="AM414" s="1">
        <v>0.33</v>
      </c>
      <c r="AN414" t="s">
        <v>655</v>
      </c>
    </row>
    <row r="415" spans="1:40" x14ac:dyDescent="0.25">
      <c r="A415" t="s">
        <v>718</v>
      </c>
      <c r="B415" t="s">
        <v>360</v>
      </c>
      <c r="C415" s="4" t="s">
        <v>1776</v>
      </c>
      <c r="D415" t="s">
        <v>1777</v>
      </c>
      <c r="E415" t="s">
        <v>86</v>
      </c>
      <c r="F415" t="str">
        <f>LEFT(premier_player_23_24[[#This Row],[Position]],2)</f>
        <v>MF</v>
      </c>
      <c r="G415" s="3">
        <v>20</v>
      </c>
      <c r="H41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15" s="3">
        <v>21</v>
      </c>
      <c r="J415" s="3">
        <v>10</v>
      </c>
      <c r="K415" s="2">
        <v>1027</v>
      </c>
      <c r="L415" s="2" t="str">
        <f>IF(premier_player_23_24[[#This Row],[Minutes]]&gt;1000,"More than 1000 minutes","Less than 1000 minutes")</f>
        <v>More than 1000 minutes</v>
      </c>
      <c r="M415" s="2">
        <v>11.4</v>
      </c>
      <c r="N415" s="3">
        <v>0</v>
      </c>
      <c r="O415" s="3">
        <v>2</v>
      </c>
      <c r="P415" s="3">
        <v>2</v>
      </c>
      <c r="Q415" s="3">
        <v>0</v>
      </c>
      <c r="R415" s="3">
        <v>0</v>
      </c>
      <c r="S415" s="3">
        <v>0</v>
      </c>
      <c r="T415" s="2">
        <v>3</v>
      </c>
      <c r="U415" s="2">
        <v>0</v>
      </c>
      <c r="V415" s="2">
        <v>1.5</v>
      </c>
      <c r="W415" s="2">
        <f>premier_player_23_24[[#This Row],[Goals]]-premier_player_23_24[[#This Row],[Expected Goals ]]</f>
        <v>-1.5</v>
      </c>
      <c r="X415" s="2">
        <v>1.5</v>
      </c>
      <c r="Y415" s="2">
        <v>1.9</v>
      </c>
      <c r="Z415" s="2">
        <v>3.5</v>
      </c>
      <c r="AA415" s="3">
        <v>37</v>
      </c>
      <c r="AB415" s="3">
        <v>57</v>
      </c>
      <c r="AC415" s="3">
        <v>70</v>
      </c>
      <c r="AD415" s="1">
        <v>0</v>
      </c>
      <c r="AE415" s="1">
        <v>0.18</v>
      </c>
      <c r="AF415" s="1">
        <v>0.18</v>
      </c>
      <c r="AG415" s="1">
        <v>0</v>
      </c>
      <c r="AH415" s="1">
        <v>0.18</v>
      </c>
      <c r="AI415" s="1">
        <v>0.13</v>
      </c>
      <c r="AJ415" s="1">
        <v>0.17</v>
      </c>
      <c r="AK415" s="1">
        <v>0.3</v>
      </c>
      <c r="AL415" s="1">
        <v>0.13</v>
      </c>
      <c r="AM415" s="1">
        <v>0.3</v>
      </c>
      <c r="AN415" t="s">
        <v>655</v>
      </c>
    </row>
    <row r="416" spans="1:40" x14ac:dyDescent="0.25">
      <c r="A416" t="s">
        <v>656</v>
      </c>
      <c r="B416" t="s">
        <v>171</v>
      </c>
      <c r="C416" s="4" t="s">
        <v>1820</v>
      </c>
      <c r="D416" t="s">
        <v>1821</v>
      </c>
      <c r="E416" t="s">
        <v>108</v>
      </c>
      <c r="F416" t="str">
        <f>LEFT(premier_player_23_24[[#This Row],[Position]],2)</f>
        <v>DF</v>
      </c>
      <c r="G416" s="3">
        <v>31</v>
      </c>
      <c r="H41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16" s="3">
        <v>36</v>
      </c>
      <c r="J416" s="3">
        <v>35</v>
      </c>
      <c r="K416" s="2">
        <v>3054</v>
      </c>
      <c r="L416" s="2" t="str">
        <f>IF(premier_player_23_24[[#This Row],[Minutes]]&gt;1000,"More than 1000 minutes","Less than 1000 minutes")</f>
        <v>More than 1000 minutes</v>
      </c>
      <c r="M416" s="2">
        <v>33.9</v>
      </c>
      <c r="N416" s="3">
        <v>4</v>
      </c>
      <c r="O416" s="3">
        <v>1</v>
      </c>
      <c r="P416" s="3">
        <v>5</v>
      </c>
      <c r="Q416" s="3">
        <v>4</v>
      </c>
      <c r="R416" s="3">
        <v>0</v>
      </c>
      <c r="S416" s="3">
        <v>0</v>
      </c>
      <c r="T416" s="2">
        <v>5</v>
      </c>
      <c r="U416" s="2">
        <v>0</v>
      </c>
      <c r="V416" s="2">
        <v>2.5</v>
      </c>
      <c r="W416" s="2">
        <f>premier_player_23_24[[#This Row],[Goals]]-premier_player_23_24[[#This Row],[Expected Goals ]]</f>
        <v>1.5</v>
      </c>
      <c r="X416" s="2">
        <v>2.5</v>
      </c>
      <c r="Y416" s="2">
        <v>0.7</v>
      </c>
      <c r="Z416" s="2">
        <v>3.3</v>
      </c>
      <c r="AA416" s="3">
        <v>28</v>
      </c>
      <c r="AB416" s="3">
        <v>133</v>
      </c>
      <c r="AC416" s="3">
        <v>20</v>
      </c>
      <c r="AD416" s="1">
        <v>0.12</v>
      </c>
      <c r="AE416" s="1">
        <v>0.03</v>
      </c>
      <c r="AF416" s="1">
        <v>0.15</v>
      </c>
      <c r="AG416" s="1">
        <v>0.12</v>
      </c>
      <c r="AH416" s="1">
        <v>0.15</v>
      </c>
      <c r="AI416" s="1">
        <v>7.0000000000000007E-2</v>
      </c>
      <c r="AJ416" s="1">
        <v>0.02</v>
      </c>
      <c r="AK416" s="1">
        <v>0.1</v>
      </c>
      <c r="AL416" s="1">
        <v>7.0000000000000007E-2</v>
      </c>
      <c r="AM416" s="1">
        <v>0.1</v>
      </c>
      <c r="AN416" t="s">
        <v>655</v>
      </c>
    </row>
    <row r="417" spans="1:40" x14ac:dyDescent="0.25">
      <c r="A417" t="s">
        <v>666</v>
      </c>
      <c r="B417" t="s">
        <v>57</v>
      </c>
      <c r="C417" s="4" t="s">
        <v>1744</v>
      </c>
      <c r="D417" t="s">
        <v>1745</v>
      </c>
      <c r="E417" t="s">
        <v>108</v>
      </c>
      <c r="F417" t="str">
        <f>LEFT(premier_player_23_24[[#This Row],[Position]],2)</f>
        <v>DF</v>
      </c>
      <c r="G417" s="3">
        <v>31</v>
      </c>
      <c r="H41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17" s="3">
        <v>33</v>
      </c>
      <c r="J417" s="3">
        <v>32</v>
      </c>
      <c r="K417" s="2">
        <v>2726</v>
      </c>
      <c r="L417" s="2" t="str">
        <f>IF(premier_player_23_24[[#This Row],[Minutes]]&gt;1000,"More than 1000 minutes","Less than 1000 minutes")</f>
        <v>More than 1000 minutes</v>
      </c>
      <c r="M417" s="2">
        <v>30.3</v>
      </c>
      <c r="N417" s="3">
        <v>2</v>
      </c>
      <c r="O417" s="3">
        <v>2</v>
      </c>
      <c r="P417" s="3">
        <v>4</v>
      </c>
      <c r="Q417" s="3">
        <v>2</v>
      </c>
      <c r="R417" s="3">
        <v>0</v>
      </c>
      <c r="S417" s="3">
        <v>0</v>
      </c>
      <c r="T417" s="2">
        <v>4</v>
      </c>
      <c r="U417" s="2">
        <v>0</v>
      </c>
      <c r="V417" s="2">
        <v>3.1</v>
      </c>
      <c r="W417" s="2">
        <f>premier_player_23_24[[#This Row],[Goals]]-premier_player_23_24[[#This Row],[Expected Goals ]]</f>
        <v>-1.1000000000000001</v>
      </c>
      <c r="X417" s="2">
        <v>3.1</v>
      </c>
      <c r="Y417" s="2">
        <v>1.1000000000000001</v>
      </c>
      <c r="Z417" s="2">
        <v>4.2</v>
      </c>
      <c r="AA417" s="3">
        <v>14</v>
      </c>
      <c r="AB417" s="3">
        <v>75</v>
      </c>
      <c r="AC417" s="3">
        <v>25</v>
      </c>
      <c r="AD417" s="1">
        <v>7.0000000000000007E-2</v>
      </c>
      <c r="AE417" s="1">
        <v>7.0000000000000007E-2</v>
      </c>
      <c r="AF417" s="1">
        <v>0.13</v>
      </c>
      <c r="AG417" s="1">
        <v>7.0000000000000007E-2</v>
      </c>
      <c r="AH417" s="1">
        <v>0.13</v>
      </c>
      <c r="AI417" s="1">
        <v>0.1</v>
      </c>
      <c r="AJ417" s="1">
        <v>0.04</v>
      </c>
      <c r="AK417" s="1">
        <v>0.14000000000000001</v>
      </c>
      <c r="AL417" s="1">
        <v>0.1</v>
      </c>
      <c r="AM417" s="1">
        <v>0.14000000000000001</v>
      </c>
      <c r="AN417" t="s">
        <v>655</v>
      </c>
    </row>
    <row r="418" spans="1:40" x14ac:dyDescent="0.25">
      <c r="A418" t="s">
        <v>726</v>
      </c>
      <c r="B418" t="s">
        <v>57</v>
      </c>
      <c r="C418" s="4" t="s">
        <v>1744</v>
      </c>
      <c r="D418" t="s">
        <v>1745</v>
      </c>
      <c r="E418" t="s">
        <v>108</v>
      </c>
      <c r="F418" t="str">
        <f>LEFT(premier_player_23_24[[#This Row],[Position]],2)</f>
        <v>DF</v>
      </c>
      <c r="G418" s="3">
        <v>18</v>
      </c>
      <c r="H41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18" s="3">
        <v>18</v>
      </c>
      <c r="J418" s="3">
        <v>8</v>
      </c>
      <c r="K418" s="2">
        <v>781</v>
      </c>
      <c r="L418" s="2" t="str">
        <f>IF(premier_player_23_24[[#This Row],[Minutes]]&gt;1000,"More than 1000 minutes","Less than 1000 minutes")</f>
        <v>Less than 1000 minutes</v>
      </c>
      <c r="M418" s="2">
        <v>8.6999999999999993</v>
      </c>
      <c r="N418" s="3">
        <v>1</v>
      </c>
      <c r="O418" s="3">
        <v>0</v>
      </c>
      <c r="P418" s="3">
        <v>1</v>
      </c>
      <c r="Q418" s="3">
        <v>1</v>
      </c>
      <c r="R418" s="3">
        <v>0</v>
      </c>
      <c r="S418" s="3">
        <v>0</v>
      </c>
      <c r="T418" s="2">
        <v>2</v>
      </c>
      <c r="U418" s="2">
        <v>0</v>
      </c>
      <c r="V418" s="2">
        <v>0.3</v>
      </c>
      <c r="W418" s="2">
        <f>premier_player_23_24[[#This Row],[Goals]]-premier_player_23_24[[#This Row],[Expected Goals ]]</f>
        <v>0.7</v>
      </c>
      <c r="X418" s="2">
        <v>0.3</v>
      </c>
      <c r="Y418" s="2">
        <v>0.3</v>
      </c>
      <c r="Z418" s="2">
        <v>0.6</v>
      </c>
      <c r="AA418" s="3">
        <v>19</v>
      </c>
      <c r="AB418" s="3">
        <v>46</v>
      </c>
      <c r="AC418" s="3">
        <v>27</v>
      </c>
      <c r="AD418" s="1">
        <v>0.12</v>
      </c>
      <c r="AE418" s="1">
        <v>0</v>
      </c>
      <c r="AF418" s="1">
        <v>0.12</v>
      </c>
      <c r="AG418" s="1">
        <v>0.12</v>
      </c>
      <c r="AH418" s="1">
        <v>0.12</v>
      </c>
      <c r="AI418" s="1">
        <v>0.04</v>
      </c>
      <c r="AJ418" s="1">
        <v>0.03</v>
      </c>
      <c r="AK418" s="1">
        <v>7.0000000000000007E-2</v>
      </c>
      <c r="AL418" s="1">
        <v>0.04</v>
      </c>
      <c r="AM418" s="1">
        <v>7.0000000000000007E-2</v>
      </c>
      <c r="AN418" t="s">
        <v>655</v>
      </c>
    </row>
    <row r="419" spans="1:40" x14ac:dyDescent="0.25">
      <c r="A419" t="s">
        <v>712</v>
      </c>
      <c r="B419" t="s">
        <v>57</v>
      </c>
      <c r="C419" s="4" t="s">
        <v>1744</v>
      </c>
      <c r="D419" t="s">
        <v>1745</v>
      </c>
      <c r="E419" t="s">
        <v>108</v>
      </c>
      <c r="F419" t="str">
        <f>LEFT(premier_player_23_24[[#This Row],[Position]],2)</f>
        <v>DF</v>
      </c>
      <c r="G419" s="3">
        <v>29</v>
      </c>
      <c r="H41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19" s="3">
        <v>16</v>
      </c>
      <c r="J419" s="3">
        <v>13</v>
      </c>
      <c r="K419" s="2">
        <v>1080</v>
      </c>
      <c r="L419" s="2" t="str">
        <f>IF(premier_player_23_24[[#This Row],[Minutes]]&gt;1000,"More than 1000 minutes","Less than 1000 minutes")</f>
        <v>More than 1000 minutes</v>
      </c>
      <c r="M419" s="2">
        <v>12</v>
      </c>
      <c r="N419" s="3">
        <v>1</v>
      </c>
      <c r="O419" s="3">
        <v>0</v>
      </c>
      <c r="P419" s="3">
        <v>1</v>
      </c>
      <c r="Q419" s="3">
        <v>1</v>
      </c>
      <c r="R419" s="3">
        <v>0</v>
      </c>
      <c r="S419" s="3">
        <v>0</v>
      </c>
      <c r="T419" s="2">
        <v>4</v>
      </c>
      <c r="U419" s="2">
        <v>0</v>
      </c>
      <c r="V419" s="2">
        <v>0.7</v>
      </c>
      <c r="W419" s="2">
        <f>premier_player_23_24[[#This Row],[Goals]]-premier_player_23_24[[#This Row],[Expected Goals ]]</f>
        <v>0.30000000000000004</v>
      </c>
      <c r="X419" s="2">
        <v>0.7</v>
      </c>
      <c r="Y419" s="2">
        <v>0.1</v>
      </c>
      <c r="Z419" s="2">
        <v>0.8</v>
      </c>
      <c r="AA419" s="3">
        <v>8</v>
      </c>
      <c r="AB419" s="3">
        <v>31</v>
      </c>
      <c r="AC419" s="3">
        <v>3</v>
      </c>
      <c r="AD419" s="1">
        <v>0.08</v>
      </c>
      <c r="AE419" s="1">
        <v>0</v>
      </c>
      <c r="AF419" s="1">
        <v>0.08</v>
      </c>
      <c r="AG419" s="1">
        <v>0.08</v>
      </c>
      <c r="AH419" s="1">
        <v>0.08</v>
      </c>
      <c r="AI419" s="1">
        <v>0.06</v>
      </c>
      <c r="AJ419" s="1">
        <v>0.01</v>
      </c>
      <c r="AK419" s="1">
        <v>7.0000000000000007E-2</v>
      </c>
      <c r="AL419" s="1">
        <v>0.06</v>
      </c>
      <c r="AM419" s="1">
        <v>7.0000000000000007E-2</v>
      </c>
      <c r="AN419" t="s">
        <v>655</v>
      </c>
    </row>
    <row r="420" spans="1:40" x14ac:dyDescent="0.25">
      <c r="A420" t="s">
        <v>714</v>
      </c>
      <c r="B420" t="s">
        <v>57</v>
      </c>
      <c r="C420" s="4" t="s">
        <v>1744</v>
      </c>
      <c r="D420" t="s">
        <v>1745</v>
      </c>
      <c r="E420" t="s">
        <v>108</v>
      </c>
      <c r="F420" t="str">
        <f>LEFT(premier_player_23_24[[#This Row],[Position]],2)</f>
        <v>DF</v>
      </c>
      <c r="G420" s="3">
        <v>20</v>
      </c>
      <c r="H42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20" s="3">
        <v>26</v>
      </c>
      <c r="J420" s="3">
        <v>12</v>
      </c>
      <c r="K420" s="2">
        <v>1314</v>
      </c>
      <c r="L420" s="2" t="str">
        <f>IF(premier_player_23_24[[#This Row],[Minutes]]&gt;1000,"More than 1000 minutes","Less than 1000 minutes")</f>
        <v>More than 1000 minutes</v>
      </c>
      <c r="M420" s="2">
        <v>14.6</v>
      </c>
      <c r="N420" s="3">
        <v>1</v>
      </c>
      <c r="O420" s="3">
        <v>0</v>
      </c>
      <c r="P420" s="3">
        <v>1</v>
      </c>
      <c r="Q420" s="3">
        <v>1</v>
      </c>
      <c r="R420" s="3">
        <v>0</v>
      </c>
      <c r="S420" s="3">
        <v>0</v>
      </c>
      <c r="T420" s="2">
        <v>1</v>
      </c>
      <c r="U420" s="2">
        <v>0</v>
      </c>
      <c r="V420" s="2">
        <v>0.4</v>
      </c>
      <c r="W420" s="2">
        <f>premier_player_23_24[[#This Row],[Goals]]-premier_player_23_24[[#This Row],[Expected Goals ]]</f>
        <v>0.6</v>
      </c>
      <c r="X420" s="2">
        <v>0.4</v>
      </c>
      <c r="Y420" s="2">
        <v>0.8</v>
      </c>
      <c r="Z420" s="2">
        <v>1.2</v>
      </c>
      <c r="AA420" s="3">
        <v>44</v>
      </c>
      <c r="AB420" s="3">
        <v>61</v>
      </c>
      <c r="AC420" s="3">
        <v>76</v>
      </c>
      <c r="AD420" s="1">
        <v>7.0000000000000007E-2</v>
      </c>
      <c r="AE420" s="1">
        <v>0</v>
      </c>
      <c r="AF420" s="1">
        <v>7.0000000000000007E-2</v>
      </c>
      <c r="AG420" s="1">
        <v>7.0000000000000007E-2</v>
      </c>
      <c r="AH420" s="1">
        <v>7.0000000000000007E-2</v>
      </c>
      <c r="AI420" s="1">
        <v>0.03</v>
      </c>
      <c r="AJ420" s="1">
        <v>0.05</v>
      </c>
      <c r="AK420" s="1">
        <v>0.08</v>
      </c>
      <c r="AL420" s="1">
        <v>0.03</v>
      </c>
      <c r="AM420" s="1">
        <v>0.08</v>
      </c>
      <c r="AN420" t="s">
        <v>655</v>
      </c>
    </row>
    <row r="421" spans="1:40" x14ac:dyDescent="0.25">
      <c r="A421" t="s">
        <v>691</v>
      </c>
      <c r="B421" t="s">
        <v>692</v>
      </c>
      <c r="C421" s="4" t="s">
        <v>1852</v>
      </c>
      <c r="D421" t="s">
        <v>1853</v>
      </c>
      <c r="E421" t="s">
        <v>77</v>
      </c>
      <c r="F421" t="str">
        <f>LEFT(premier_player_23_24[[#This Row],[Position]],2)</f>
        <v>GK</v>
      </c>
      <c r="G421" s="3">
        <v>34</v>
      </c>
      <c r="H42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21" s="3">
        <v>23</v>
      </c>
      <c r="J421" s="3">
        <v>22</v>
      </c>
      <c r="K421" s="2">
        <v>1985</v>
      </c>
      <c r="L421" s="2" t="str">
        <f>IF(premier_player_23_24[[#This Row],[Minutes]]&gt;1000,"More than 1000 minutes","Less than 1000 minutes")</f>
        <v>More than 1000 minutes</v>
      </c>
      <c r="M421" s="2">
        <v>22.1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2">
        <v>1</v>
      </c>
      <c r="U421" s="2">
        <v>0</v>
      </c>
      <c r="V421" s="2">
        <v>0</v>
      </c>
      <c r="W421" s="2">
        <f>premier_player_23_24[[#This Row],[Goals]]-premier_player_23_24[[#This Row],[Expected Goals ]]</f>
        <v>0</v>
      </c>
      <c r="X421" s="2">
        <v>0</v>
      </c>
      <c r="Y421" s="2">
        <v>0.1</v>
      </c>
      <c r="Z421" s="2">
        <v>0.1</v>
      </c>
      <c r="AA421" s="3">
        <v>0</v>
      </c>
      <c r="AB421" s="3">
        <v>0</v>
      </c>
      <c r="AC421" s="3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0</v>
      </c>
      <c r="AK421" s="1">
        <v>0</v>
      </c>
      <c r="AL421" s="1">
        <v>0</v>
      </c>
      <c r="AM421" s="1">
        <v>0</v>
      </c>
      <c r="AN421" t="s">
        <v>655</v>
      </c>
    </row>
    <row r="422" spans="1:40" x14ac:dyDescent="0.25">
      <c r="A422" t="s">
        <v>697</v>
      </c>
      <c r="B422" t="s">
        <v>57</v>
      </c>
      <c r="C422" s="4" t="s">
        <v>1744</v>
      </c>
      <c r="D422" t="s">
        <v>1745</v>
      </c>
      <c r="E422" t="s">
        <v>77</v>
      </c>
      <c r="F422" t="str">
        <f>LEFT(premier_player_23_24[[#This Row],[Position]],2)</f>
        <v>GK</v>
      </c>
      <c r="G422" s="3">
        <v>31</v>
      </c>
      <c r="H42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22" s="3">
        <v>15</v>
      </c>
      <c r="J422" s="3">
        <v>15</v>
      </c>
      <c r="K422" s="2">
        <v>1345</v>
      </c>
      <c r="L422" s="2" t="str">
        <f>IF(premier_player_23_24[[#This Row],[Minutes]]&gt;1000,"More than 1000 minutes","Less than 1000 minutes")</f>
        <v>More than 1000 minutes</v>
      </c>
      <c r="M422" s="2">
        <v>14.9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2">
        <v>1</v>
      </c>
      <c r="U422" s="2">
        <v>0</v>
      </c>
      <c r="V422" s="2">
        <v>0</v>
      </c>
      <c r="W422" s="2">
        <f>premier_player_23_24[[#This Row],[Goals]]-premier_player_23_24[[#This Row],[Expected Goals ]]</f>
        <v>0</v>
      </c>
      <c r="X422" s="2">
        <v>0</v>
      </c>
      <c r="Y422" s="2">
        <v>0</v>
      </c>
      <c r="Z422" s="2">
        <v>0</v>
      </c>
      <c r="AA422" s="3">
        <v>0</v>
      </c>
      <c r="AB422" s="3">
        <v>0</v>
      </c>
      <c r="AC422" s="3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0</v>
      </c>
      <c r="AM422" s="1">
        <v>0</v>
      </c>
      <c r="AN422" t="s">
        <v>655</v>
      </c>
    </row>
    <row r="423" spans="1:40" x14ac:dyDescent="0.25">
      <c r="A423" t="s">
        <v>724</v>
      </c>
      <c r="B423" t="s">
        <v>675</v>
      </c>
      <c r="C423" s="4" t="s">
        <v>1780</v>
      </c>
      <c r="D423" t="s">
        <v>1781</v>
      </c>
      <c r="E423" t="s">
        <v>108</v>
      </c>
      <c r="F423" t="str">
        <f>LEFT(premier_player_23_24[[#This Row],[Position]],2)</f>
        <v>DF</v>
      </c>
      <c r="G423" s="3">
        <v>28</v>
      </c>
      <c r="H42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23" s="3">
        <v>17</v>
      </c>
      <c r="J423" s="3">
        <v>8</v>
      </c>
      <c r="K423" s="2">
        <v>913</v>
      </c>
      <c r="L423" s="2" t="str">
        <f>IF(premier_player_23_24[[#This Row],[Minutes]]&gt;1000,"More than 1000 minutes","Less than 1000 minutes")</f>
        <v>Less than 1000 minutes</v>
      </c>
      <c r="M423" s="2">
        <v>10.1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2">
        <v>2</v>
      </c>
      <c r="U423" s="2">
        <v>0</v>
      </c>
      <c r="V423" s="2">
        <v>0.2</v>
      </c>
      <c r="W423" s="2">
        <f>premier_player_23_24[[#This Row],[Goals]]-premier_player_23_24[[#This Row],[Expected Goals ]]</f>
        <v>-0.2</v>
      </c>
      <c r="X423" s="2">
        <v>0.2</v>
      </c>
      <c r="Y423" s="2">
        <v>1</v>
      </c>
      <c r="Z423" s="2">
        <v>1.2</v>
      </c>
      <c r="AA423" s="3">
        <v>12</v>
      </c>
      <c r="AB423" s="3">
        <v>29</v>
      </c>
      <c r="AC423" s="3">
        <v>33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0.02</v>
      </c>
      <c r="AJ423" s="1">
        <v>0.1</v>
      </c>
      <c r="AK423" s="1">
        <v>0.12</v>
      </c>
      <c r="AL423" s="1">
        <v>0.02</v>
      </c>
      <c r="AM423" s="1">
        <v>0.12</v>
      </c>
      <c r="AN423" t="s">
        <v>655</v>
      </c>
    </row>
    <row r="424" spans="1:40" x14ac:dyDescent="0.25">
      <c r="A424" t="s">
        <v>734</v>
      </c>
      <c r="B424" t="s">
        <v>262</v>
      </c>
      <c r="C424" s="4" t="s">
        <v>1748</v>
      </c>
      <c r="D424" t="s">
        <v>1749</v>
      </c>
      <c r="E424" t="s">
        <v>77</v>
      </c>
      <c r="F424" t="str">
        <f>LEFT(premier_player_23_24[[#This Row],[Position]],2)</f>
        <v>GK</v>
      </c>
      <c r="G424" s="3">
        <v>30</v>
      </c>
      <c r="H42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24" s="3">
        <v>1</v>
      </c>
      <c r="J424" s="3">
        <v>1</v>
      </c>
      <c r="K424" s="2">
        <v>90</v>
      </c>
      <c r="L424" s="2" t="str">
        <f>IF(premier_player_23_24[[#This Row],[Minutes]]&gt;1000,"More than 1000 minutes","Less than 1000 minutes")</f>
        <v>Less than 1000 minutes</v>
      </c>
      <c r="M424" s="2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2">
        <v>0</v>
      </c>
      <c r="U424" s="2">
        <v>0</v>
      </c>
      <c r="V424" s="2">
        <v>0</v>
      </c>
      <c r="W424" s="2">
        <f>premier_player_23_24[[#This Row],[Goals]]-premier_player_23_24[[#This Row],[Expected Goals ]]</f>
        <v>0</v>
      </c>
      <c r="X424" s="2">
        <v>0</v>
      </c>
      <c r="Y424" s="2">
        <v>0</v>
      </c>
      <c r="Z424" s="2">
        <v>0</v>
      </c>
      <c r="AA424" s="3">
        <v>0</v>
      </c>
      <c r="AB424" s="3">
        <v>0</v>
      </c>
      <c r="AC424" s="3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v>0</v>
      </c>
      <c r="AL424" s="1">
        <v>0</v>
      </c>
      <c r="AM424" s="1">
        <v>0</v>
      </c>
      <c r="AN424" t="s">
        <v>655</v>
      </c>
    </row>
    <row r="425" spans="1:40" x14ac:dyDescent="0.25">
      <c r="A425" t="s">
        <v>736</v>
      </c>
      <c r="B425" t="s">
        <v>57</v>
      </c>
      <c r="C425" s="4" t="s">
        <v>1744</v>
      </c>
      <c r="D425" t="s">
        <v>1745</v>
      </c>
      <c r="E425" t="s">
        <v>108</v>
      </c>
      <c r="F425" t="str">
        <f>LEFT(premier_player_23_24[[#This Row],[Position]],2)</f>
        <v>DF</v>
      </c>
      <c r="G425" s="3">
        <v>27</v>
      </c>
      <c r="H42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25" s="3">
        <v>3</v>
      </c>
      <c r="J425" s="3">
        <v>1</v>
      </c>
      <c r="K425" s="2">
        <v>78</v>
      </c>
      <c r="L425" s="2" t="str">
        <f>IF(premier_player_23_24[[#This Row],[Minutes]]&gt;1000,"More than 1000 minutes","Less than 1000 minutes")</f>
        <v>Less than 1000 minutes</v>
      </c>
      <c r="M425" s="2">
        <v>0.9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2">
        <v>1</v>
      </c>
      <c r="U425" s="2">
        <v>0</v>
      </c>
      <c r="V425" s="2">
        <v>0</v>
      </c>
      <c r="W425" s="2">
        <f>premier_player_23_24[[#This Row],[Goals]]-premier_player_23_24[[#This Row],[Expected Goals ]]</f>
        <v>0</v>
      </c>
      <c r="X425" s="2">
        <v>0</v>
      </c>
      <c r="Y425" s="2">
        <v>0</v>
      </c>
      <c r="Z425" s="2">
        <v>0</v>
      </c>
      <c r="AA425" s="3">
        <v>1</v>
      </c>
      <c r="AB425" s="3">
        <v>2</v>
      </c>
      <c r="AC425" s="3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0.03</v>
      </c>
      <c r="AK425" s="1">
        <v>0.03</v>
      </c>
      <c r="AL425" s="1">
        <v>0</v>
      </c>
      <c r="AM425" s="1">
        <v>0.03</v>
      </c>
      <c r="AN425" t="s">
        <v>655</v>
      </c>
    </row>
    <row r="426" spans="1:40" x14ac:dyDescent="0.25">
      <c r="A426" t="s">
        <v>738</v>
      </c>
      <c r="B426" t="s">
        <v>57</v>
      </c>
      <c r="C426" s="4" t="s">
        <v>1744</v>
      </c>
      <c r="D426" t="s">
        <v>1745</v>
      </c>
      <c r="E426" t="s">
        <v>137</v>
      </c>
      <c r="F426" t="str">
        <f>LEFT(premier_player_23_24[[#This Row],[Position]],2)</f>
        <v>FW</v>
      </c>
      <c r="G426" s="3">
        <v>18</v>
      </c>
      <c r="H42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26" s="3">
        <v>1</v>
      </c>
      <c r="J426" s="3">
        <v>0</v>
      </c>
      <c r="K426" s="2">
        <v>25</v>
      </c>
      <c r="L426" s="2" t="str">
        <f>IF(premier_player_23_24[[#This Row],[Minutes]]&gt;1000,"More than 1000 minutes","Less than 1000 minutes")</f>
        <v>Less than 1000 minutes</v>
      </c>
      <c r="M426" s="2">
        <v>0.3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2">
        <v>0</v>
      </c>
      <c r="U426" s="2">
        <v>0</v>
      </c>
      <c r="V426" s="2">
        <v>0</v>
      </c>
      <c r="W426" s="2">
        <f>premier_player_23_24[[#This Row],[Goals]]-premier_player_23_24[[#This Row],[Expected Goals ]]</f>
        <v>0</v>
      </c>
      <c r="X426" s="2">
        <v>0</v>
      </c>
      <c r="Y426" s="2">
        <v>0</v>
      </c>
      <c r="Z426" s="2">
        <v>0</v>
      </c>
      <c r="AA426" s="3">
        <v>0</v>
      </c>
      <c r="AB426" s="3">
        <v>0</v>
      </c>
      <c r="AC426" s="3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0</v>
      </c>
      <c r="AM426" s="1">
        <v>0</v>
      </c>
      <c r="AN426" t="s">
        <v>655</v>
      </c>
    </row>
    <row r="427" spans="1:40" x14ac:dyDescent="0.25">
      <c r="A427" t="s">
        <v>739</v>
      </c>
      <c r="B427" t="s">
        <v>432</v>
      </c>
      <c r="C427" s="4" t="s">
        <v>1786</v>
      </c>
      <c r="D427" t="s">
        <v>1787</v>
      </c>
      <c r="E427" t="s">
        <v>108</v>
      </c>
      <c r="F427" t="str">
        <f>LEFT(premier_player_23_24[[#This Row],[Position]],2)</f>
        <v>DF</v>
      </c>
      <c r="G427" s="3">
        <v>31</v>
      </c>
      <c r="H42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27" s="3">
        <v>5</v>
      </c>
      <c r="J427" s="3">
        <v>0</v>
      </c>
      <c r="K427" s="2">
        <v>20</v>
      </c>
      <c r="L427" s="2" t="str">
        <f>IF(premier_player_23_24[[#This Row],[Minutes]]&gt;1000,"More than 1000 minutes","Less than 1000 minutes")</f>
        <v>Less than 1000 minutes</v>
      </c>
      <c r="M427" s="2">
        <v>0.2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2">
        <v>0</v>
      </c>
      <c r="U427" s="2">
        <v>0</v>
      </c>
      <c r="V427" s="2">
        <v>0</v>
      </c>
      <c r="W427" s="2">
        <f>premier_player_23_24[[#This Row],[Goals]]-premier_player_23_24[[#This Row],[Expected Goals ]]</f>
        <v>0</v>
      </c>
      <c r="X427" s="2">
        <v>0</v>
      </c>
      <c r="Y427" s="2">
        <v>0</v>
      </c>
      <c r="Z427" s="2">
        <v>0</v>
      </c>
      <c r="AA427" s="3">
        <v>1</v>
      </c>
      <c r="AB427" s="3">
        <v>1</v>
      </c>
      <c r="AC427" s="3">
        <v>0</v>
      </c>
      <c r="AD427" s="1">
        <v>0</v>
      </c>
      <c r="AE427" s="1">
        <v>0</v>
      </c>
      <c r="AF427" s="1">
        <v>0</v>
      </c>
      <c r="AG427" s="1">
        <v>0</v>
      </c>
      <c r="AH427" s="1">
        <v>0</v>
      </c>
      <c r="AI427" s="1">
        <v>0.11</v>
      </c>
      <c r="AJ427" s="1">
        <v>0</v>
      </c>
      <c r="AK427" s="1">
        <v>0.11</v>
      </c>
      <c r="AL427" s="1">
        <v>0.11</v>
      </c>
      <c r="AM427" s="1">
        <v>0.11</v>
      </c>
      <c r="AN427" t="s">
        <v>655</v>
      </c>
    </row>
    <row r="428" spans="1:40" x14ac:dyDescent="0.25">
      <c r="A428" t="s">
        <v>740</v>
      </c>
      <c r="B428" t="s">
        <v>411</v>
      </c>
      <c r="C428" s="4" t="s">
        <v>1792</v>
      </c>
      <c r="D428" t="s">
        <v>1793</v>
      </c>
      <c r="E428" t="s">
        <v>644</v>
      </c>
      <c r="F428" t="str">
        <f>LEFT(premier_player_23_24[[#This Row],[Position]],2)</f>
        <v>DF</v>
      </c>
      <c r="G428" s="3">
        <v>19</v>
      </c>
      <c r="H42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28" s="3">
        <v>2</v>
      </c>
      <c r="J428" s="3">
        <v>0</v>
      </c>
      <c r="K428" s="2">
        <v>13</v>
      </c>
      <c r="L428" s="2" t="str">
        <f>IF(premier_player_23_24[[#This Row],[Minutes]]&gt;1000,"More than 1000 minutes","Less than 1000 minutes")</f>
        <v>Less than 1000 minutes</v>
      </c>
      <c r="M428" s="2">
        <v>0.1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2">
        <v>0</v>
      </c>
      <c r="U428" s="2">
        <v>0</v>
      </c>
      <c r="V428" s="2">
        <v>0</v>
      </c>
      <c r="W428" s="2">
        <f>premier_player_23_24[[#This Row],[Goals]]-premier_player_23_24[[#This Row],[Expected Goals ]]</f>
        <v>0</v>
      </c>
      <c r="X428" s="2">
        <v>0</v>
      </c>
      <c r="Y428" s="2">
        <v>0</v>
      </c>
      <c r="Z428" s="2">
        <v>0</v>
      </c>
      <c r="AA428" s="3">
        <v>0</v>
      </c>
      <c r="AB428" s="3">
        <v>1</v>
      </c>
      <c r="AC428" s="3">
        <v>0</v>
      </c>
      <c r="AD428" s="1">
        <v>0</v>
      </c>
      <c r="AE428" s="1">
        <v>0</v>
      </c>
      <c r="AF428" s="1">
        <v>0</v>
      </c>
      <c r="AG428" s="1">
        <v>0</v>
      </c>
      <c r="AH428" s="1">
        <v>0</v>
      </c>
      <c r="AI428" s="1">
        <v>0</v>
      </c>
      <c r="AJ428" s="1">
        <v>0</v>
      </c>
      <c r="AK428" s="1">
        <v>0</v>
      </c>
      <c r="AL428" s="1">
        <v>0</v>
      </c>
      <c r="AM428" s="1">
        <v>0</v>
      </c>
      <c r="AN428" t="s">
        <v>655</v>
      </c>
    </row>
    <row r="429" spans="1:40" x14ac:dyDescent="0.25">
      <c r="A429" t="s">
        <v>741</v>
      </c>
      <c r="B429" t="s">
        <v>57</v>
      </c>
      <c r="C429" s="4" t="s">
        <v>1744</v>
      </c>
      <c r="D429" t="s">
        <v>1745</v>
      </c>
      <c r="E429" t="s">
        <v>36</v>
      </c>
      <c r="F429" t="str">
        <f>LEFT(premier_player_23_24[[#This Row],[Position]],2)</f>
        <v>MF</v>
      </c>
      <c r="G429" s="3">
        <v>20</v>
      </c>
      <c r="H42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29" s="3">
        <v>4</v>
      </c>
      <c r="J429" s="3">
        <v>0</v>
      </c>
      <c r="K429" s="2">
        <v>13</v>
      </c>
      <c r="L429" s="2" t="str">
        <f>IF(premier_player_23_24[[#This Row],[Minutes]]&gt;1000,"More than 1000 minutes","Less than 1000 minutes")</f>
        <v>Less than 1000 minutes</v>
      </c>
      <c r="M429" s="2">
        <v>0.1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2">
        <v>1</v>
      </c>
      <c r="U429" s="2">
        <v>0</v>
      </c>
      <c r="V429" s="2">
        <v>0</v>
      </c>
      <c r="W429" s="2">
        <f>premier_player_23_24[[#This Row],[Goals]]-premier_player_23_24[[#This Row],[Expected Goals ]]</f>
        <v>0</v>
      </c>
      <c r="X429" s="2">
        <v>0</v>
      </c>
      <c r="Y429" s="2">
        <v>0</v>
      </c>
      <c r="Z429" s="2">
        <v>0</v>
      </c>
      <c r="AA429" s="3">
        <v>2</v>
      </c>
      <c r="AB429" s="3">
        <v>3</v>
      </c>
      <c r="AC429" s="3">
        <v>3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  <c r="AL429" s="1">
        <v>0</v>
      </c>
      <c r="AM429" s="1">
        <v>0</v>
      </c>
      <c r="AN429" t="s">
        <v>655</v>
      </c>
    </row>
    <row r="430" spans="1:40" x14ac:dyDescent="0.25">
      <c r="A430" t="s">
        <v>742</v>
      </c>
      <c r="B430" t="s">
        <v>57</v>
      </c>
      <c r="C430" s="4" t="s">
        <v>1744</v>
      </c>
      <c r="D430" t="s">
        <v>1745</v>
      </c>
      <c r="E430" t="s">
        <v>36</v>
      </c>
      <c r="F430" t="str">
        <f>LEFT(premier_player_23_24[[#This Row],[Position]],2)</f>
        <v>MF</v>
      </c>
      <c r="G430" s="3">
        <v>20</v>
      </c>
      <c r="H43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30" s="3">
        <v>1</v>
      </c>
      <c r="J430" s="3">
        <v>0</v>
      </c>
      <c r="K430" s="2">
        <v>1</v>
      </c>
      <c r="L430" s="2" t="str">
        <f>IF(premier_player_23_24[[#This Row],[Minutes]]&gt;1000,"More than 1000 minutes","Less than 1000 minutes")</f>
        <v>Less than 1000 minutes</v>
      </c>
      <c r="M430" s="2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2">
        <v>0</v>
      </c>
      <c r="U430" s="2">
        <v>0</v>
      </c>
      <c r="V430" s="2">
        <v>0</v>
      </c>
      <c r="W430" s="2">
        <f>premier_player_23_24[[#This Row],[Goals]]-premier_player_23_24[[#This Row],[Expected Goals ]]</f>
        <v>0</v>
      </c>
      <c r="X430" s="2">
        <v>0</v>
      </c>
      <c r="Y430" s="2">
        <v>0</v>
      </c>
      <c r="Z430" s="2">
        <v>0</v>
      </c>
      <c r="AA430" s="3">
        <v>0</v>
      </c>
      <c r="AB430" s="3">
        <v>0</v>
      </c>
      <c r="AC430" s="3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v>0</v>
      </c>
      <c r="AL430" s="1">
        <v>0</v>
      </c>
      <c r="AM430" s="1">
        <v>0</v>
      </c>
      <c r="AN430" t="s">
        <v>655</v>
      </c>
    </row>
    <row r="431" spans="1:40" x14ac:dyDescent="0.25">
      <c r="A431" t="s">
        <v>743</v>
      </c>
      <c r="B431" t="s">
        <v>57</v>
      </c>
      <c r="C431" s="4" t="s">
        <v>1744</v>
      </c>
      <c r="D431" t="s">
        <v>1745</v>
      </c>
      <c r="E431" t="s">
        <v>137</v>
      </c>
      <c r="F431" t="str">
        <f>LEFT(premier_player_23_24[[#This Row],[Position]],2)</f>
        <v>FW</v>
      </c>
      <c r="G431" s="3">
        <v>19</v>
      </c>
      <c r="H43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31" s="3">
        <v>1</v>
      </c>
      <c r="J431" s="3">
        <v>0</v>
      </c>
      <c r="K431" s="2">
        <v>1</v>
      </c>
      <c r="L431" s="2" t="str">
        <f>IF(premier_player_23_24[[#This Row],[Minutes]]&gt;1000,"More than 1000 minutes","Less than 1000 minutes")</f>
        <v>Less than 1000 minutes</v>
      </c>
      <c r="M431" s="2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2">
        <v>0</v>
      </c>
      <c r="U431" s="2">
        <v>0</v>
      </c>
      <c r="V431" s="2">
        <v>0</v>
      </c>
      <c r="W431" s="2">
        <f>premier_player_23_24[[#This Row],[Goals]]-premier_player_23_24[[#This Row],[Expected Goals ]]</f>
        <v>0</v>
      </c>
      <c r="X431" s="2">
        <v>0</v>
      </c>
      <c r="Y431" s="2">
        <v>0</v>
      </c>
      <c r="Z431" s="2">
        <v>0</v>
      </c>
      <c r="AA431" s="3">
        <v>0</v>
      </c>
      <c r="AB431" s="3">
        <v>0</v>
      </c>
      <c r="AC431" s="3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v>0</v>
      </c>
      <c r="AL431" s="1">
        <v>0</v>
      </c>
      <c r="AM431" s="1">
        <v>0</v>
      </c>
      <c r="AN431" t="s">
        <v>655</v>
      </c>
    </row>
    <row r="432" spans="1:40" x14ac:dyDescent="0.25">
      <c r="A432" t="s">
        <v>1511</v>
      </c>
      <c r="B432" t="s">
        <v>1120</v>
      </c>
      <c r="C432" s="4" t="s">
        <v>1806</v>
      </c>
      <c r="D432" t="s">
        <v>1807</v>
      </c>
      <c r="E432" t="s">
        <v>137</v>
      </c>
      <c r="F432" t="str">
        <f>LEFT(premier_player_23_24[[#This Row],[Position]],2)</f>
        <v>FW</v>
      </c>
      <c r="G432" s="3">
        <v>25</v>
      </c>
      <c r="H43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32" s="3">
        <v>20</v>
      </c>
      <c r="J432" s="3">
        <v>12</v>
      </c>
      <c r="K432" s="2">
        <v>1042</v>
      </c>
      <c r="L432" s="2" t="str">
        <f>IF(premier_player_23_24[[#This Row],[Minutes]]&gt;1000,"More than 1000 minutes","Less than 1000 minutes")</f>
        <v>More than 1000 minutes</v>
      </c>
      <c r="M432" s="2">
        <v>11.6</v>
      </c>
      <c r="N432" s="3">
        <v>6</v>
      </c>
      <c r="O432" s="3">
        <v>3</v>
      </c>
      <c r="P432" s="3">
        <v>9</v>
      </c>
      <c r="Q432" s="3">
        <v>6</v>
      </c>
      <c r="R432" s="3">
        <v>0</v>
      </c>
      <c r="S432" s="3">
        <v>0</v>
      </c>
      <c r="T432" s="2">
        <v>2</v>
      </c>
      <c r="U432" s="2">
        <v>0</v>
      </c>
      <c r="V432" s="2">
        <v>4.7</v>
      </c>
      <c r="W432" s="2">
        <f>premier_player_23_24[[#This Row],[Goals]]-premier_player_23_24[[#This Row],[Expected Goals ]]</f>
        <v>1.2999999999999998</v>
      </c>
      <c r="X432" s="2">
        <v>4.7</v>
      </c>
      <c r="Y432" s="2">
        <v>1.7</v>
      </c>
      <c r="Z432" s="2">
        <v>6.4</v>
      </c>
      <c r="AA432" s="3">
        <v>8</v>
      </c>
      <c r="AB432" s="3">
        <v>14</v>
      </c>
      <c r="AC432" s="3">
        <v>45</v>
      </c>
      <c r="AD432" s="1">
        <v>0.52</v>
      </c>
      <c r="AE432" s="1">
        <v>0.26</v>
      </c>
      <c r="AF432" s="1">
        <v>0.78</v>
      </c>
      <c r="AG432" s="1">
        <v>0.52</v>
      </c>
      <c r="AH432" s="1">
        <v>0.78</v>
      </c>
      <c r="AI432" s="1">
        <v>0.41</v>
      </c>
      <c r="AJ432" s="1">
        <v>0.15</v>
      </c>
      <c r="AK432" s="1">
        <v>0.56000000000000005</v>
      </c>
      <c r="AL432" s="1">
        <v>0.41</v>
      </c>
      <c r="AM432" s="1">
        <v>0.56000000000000005</v>
      </c>
      <c r="AN432" t="s">
        <v>1474</v>
      </c>
    </row>
    <row r="433" spans="1:40" x14ac:dyDescent="0.25">
      <c r="A433" t="s">
        <v>1485</v>
      </c>
      <c r="B433" t="s">
        <v>1486</v>
      </c>
      <c r="C433" s="4" t="s">
        <v>1854</v>
      </c>
      <c r="D433" t="s">
        <v>1855</v>
      </c>
      <c r="E433" t="s">
        <v>137</v>
      </c>
      <c r="F433" t="str">
        <f>LEFT(premier_player_23_24[[#This Row],[Position]],2)</f>
        <v>FW</v>
      </c>
      <c r="G433" s="3">
        <v>31</v>
      </c>
      <c r="H43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33" s="3">
        <v>31</v>
      </c>
      <c r="J433" s="3">
        <v>20</v>
      </c>
      <c r="K433" s="2">
        <v>1812</v>
      </c>
      <c r="L433" s="2" t="str">
        <f>IF(premier_player_23_24[[#This Row],[Minutes]]&gt;1000,"More than 1000 minutes","Less than 1000 minutes")</f>
        <v>More than 1000 minutes</v>
      </c>
      <c r="M433" s="2">
        <v>20.100000000000001</v>
      </c>
      <c r="N433" s="3">
        <v>14</v>
      </c>
      <c r="O433" s="3">
        <v>1</v>
      </c>
      <c r="P433" s="3">
        <v>15</v>
      </c>
      <c r="Q433" s="3">
        <v>14</v>
      </c>
      <c r="R433" s="3">
        <v>0</v>
      </c>
      <c r="S433" s="3">
        <v>0</v>
      </c>
      <c r="T433" s="2">
        <v>0</v>
      </c>
      <c r="U433" s="2">
        <v>0</v>
      </c>
      <c r="V433" s="2">
        <v>11.9</v>
      </c>
      <c r="W433" s="2">
        <f>premier_player_23_24[[#This Row],[Goals]]-premier_player_23_24[[#This Row],[Expected Goals ]]</f>
        <v>2.0999999999999996</v>
      </c>
      <c r="X433" s="2">
        <v>11.9</v>
      </c>
      <c r="Y433" s="2">
        <v>2.1</v>
      </c>
      <c r="Z433" s="2">
        <v>14</v>
      </c>
      <c r="AA433" s="3">
        <v>16</v>
      </c>
      <c r="AB433" s="3">
        <v>30</v>
      </c>
      <c r="AC433" s="3">
        <v>76</v>
      </c>
      <c r="AD433" s="1">
        <v>0.7</v>
      </c>
      <c r="AE433" s="1">
        <v>0.05</v>
      </c>
      <c r="AF433" s="1">
        <v>0.75</v>
      </c>
      <c r="AG433" s="1">
        <v>0.7</v>
      </c>
      <c r="AH433" s="1">
        <v>0.75</v>
      </c>
      <c r="AI433" s="1">
        <v>0.59</v>
      </c>
      <c r="AJ433" s="1">
        <v>0.1</v>
      </c>
      <c r="AK433" s="1">
        <v>0.7</v>
      </c>
      <c r="AL433" s="1">
        <v>0.59</v>
      </c>
      <c r="AM433" s="1">
        <v>0.7</v>
      </c>
      <c r="AN433" t="s">
        <v>1474</v>
      </c>
    </row>
    <row r="434" spans="1:40" x14ac:dyDescent="0.25">
      <c r="A434" t="s">
        <v>1477</v>
      </c>
      <c r="B434" t="s">
        <v>675</v>
      </c>
      <c r="C434" s="4" t="s">
        <v>1780</v>
      </c>
      <c r="D434" t="s">
        <v>1781</v>
      </c>
      <c r="E434" t="s">
        <v>58</v>
      </c>
      <c r="F434" t="str">
        <f>LEFT(premier_player_23_24[[#This Row],[Position]],2)</f>
        <v>FW</v>
      </c>
      <c r="G434" s="3">
        <v>21</v>
      </c>
      <c r="H43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34" s="3">
        <v>36</v>
      </c>
      <c r="J434" s="3">
        <v>25</v>
      </c>
      <c r="K434" s="2">
        <v>2433</v>
      </c>
      <c r="L434" s="2" t="str">
        <f>IF(premier_player_23_24[[#This Row],[Minutes]]&gt;1000,"More than 1000 minutes","Less than 1000 minutes")</f>
        <v>More than 1000 minutes</v>
      </c>
      <c r="M434" s="2">
        <v>27</v>
      </c>
      <c r="N434" s="3">
        <v>5</v>
      </c>
      <c r="O434" s="3">
        <v>9</v>
      </c>
      <c r="P434" s="3">
        <v>14</v>
      </c>
      <c r="Q434" s="3">
        <v>5</v>
      </c>
      <c r="R434" s="3">
        <v>0</v>
      </c>
      <c r="S434" s="3">
        <v>0</v>
      </c>
      <c r="T434" s="2">
        <v>1</v>
      </c>
      <c r="U434" s="2">
        <v>0</v>
      </c>
      <c r="V434" s="2">
        <v>6.6</v>
      </c>
      <c r="W434" s="2">
        <f>premier_player_23_24[[#This Row],[Goals]]-premier_player_23_24[[#This Row],[Expected Goals ]]</f>
        <v>-1.5999999999999996</v>
      </c>
      <c r="X434" s="2">
        <v>6.6</v>
      </c>
      <c r="Y434" s="2">
        <v>6.7</v>
      </c>
      <c r="Z434" s="2">
        <v>13.3</v>
      </c>
      <c r="AA434" s="3">
        <v>98</v>
      </c>
      <c r="AB434" s="3">
        <v>49</v>
      </c>
      <c r="AC434" s="3">
        <v>196</v>
      </c>
      <c r="AD434" s="1">
        <v>0.18</v>
      </c>
      <c r="AE434" s="1">
        <v>0.33</v>
      </c>
      <c r="AF434" s="1">
        <v>0.52</v>
      </c>
      <c r="AG434" s="1">
        <v>0.18</v>
      </c>
      <c r="AH434" s="1">
        <v>0.52</v>
      </c>
      <c r="AI434" s="1">
        <v>0.24</v>
      </c>
      <c r="AJ434" s="1">
        <v>0.25</v>
      </c>
      <c r="AK434" s="1">
        <v>0.49</v>
      </c>
      <c r="AL434" s="1">
        <v>0.24</v>
      </c>
      <c r="AM434" s="1">
        <v>0.49</v>
      </c>
      <c r="AN434" t="s">
        <v>1474</v>
      </c>
    </row>
    <row r="435" spans="1:40" x14ac:dyDescent="0.25">
      <c r="A435" t="s">
        <v>1483</v>
      </c>
      <c r="B435" t="s">
        <v>57</v>
      </c>
      <c r="C435" s="4" t="s">
        <v>1744</v>
      </c>
      <c r="D435" t="s">
        <v>1745</v>
      </c>
      <c r="E435" t="s">
        <v>58</v>
      </c>
      <c r="F435" t="str">
        <f>LEFT(premier_player_23_24[[#This Row],[Position]],2)</f>
        <v>FW</v>
      </c>
      <c r="G435" s="3">
        <v>22</v>
      </c>
      <c r="H43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35" s="3">
        <v>29</v>
      </c>
      <c r="J435" s="3">
        <v>20</v>
      </c>
      <c r="K435" s="2">
        <v>1854</v>
      </c>
      <c r="L435" s="2" t="str">
        <f>IF(premier_player_23_24[[#This Row],[Minutes]]&gt;1000,"More than 1000 minutes","Less than 1000 minutes")</f>
        <v>More than 1000 minutes</v>
      </c>
      <c r="M435" s="2">
        <v>20.6</v>
      </c>
      <c r="N435" s="3">
        <v>8</v>
      </c>
      <c r="O435" s="3">
        <v>1</v>
      </c>
      <c r="P435" s="3">
        <v>9</v>
      </c>
      <c r="Q435" s="3">
        <v>8</v>
      </c>
      <c r="R435" s="3">
        <v>0</v>
      </c>
      <c r="S435" s="3">
        <v>0</v>
      </c>
      <c r="T435" s="2">
        <v>0</v>
      </c>
      <c r="U435" s="2">
        <v>0</v>
      </c>
      <c r="V435" s="2">
        <v>2.7</v>
      </c>
      <c r="W435" s="2">
        <f>premier_player_23_24[[#This Row],[Goals]]-premier_player_23_24[[#This Row],[Expected Goals ]]</f>
        <v>5.3</v>
      </c>
      <c r="X435" s="2">
        <v>2.7</v>
      </c>
      <c r="Y435" s="2">
        <v>2.8</v>
      </c>
      <c r="Z435" s="2">
        <v>5.5</v>
      </c>
      <c r="AA435" s="3">
        <v>111</v>
      </c>
      <c r="AB435" s="3">
        <v>58</v>
      </c>
      <c r="AC435" s="3">
        <v>171</v>
      </c>
      <c r="AD435" s="1">
        <v>0.39</v>
      </c>
      <c r="AE435" s="1">
        <v>0.05</v>
      </c>
      <c r="AF435" s="1">
        <v>0.44</v>
      </c>
      <c r="AG435" s="1">
        <v>0.39</v>
      </c>
      <c r="AH435" s="1">
        <v>0.44</v>
      </c>
      <c r="AI435" s="1">
        <v>0.13</v>
      </c>
      <c r="AJ435" s="1">
        <v>0.14000000000000001</v>
      </c>
      <c r="AK435" s="1">
        <v>0.27</v>
      </c>
      <c r="AL435" s="1">
        <v>0.13</v>
      </c>
      <c r="AM435" s="1">
        <v>0.27</v>
      </c>
      <c r="AN435" t="s">
        <v>1474</v>
      </c>
    </row>
    <row r="436" spans="1:40" x14ac:dyDescent="0.25">
      <c r="A436" t="s">
        <v>1470</v>
      </c>
      <c r="B436" t="s">
        <v>57</v>
      </c>
      <c r="C436" s="4" t="s">
        <v>1744</v>
      </c>
      <c r="D436" t="s">
        <v>1745</v>
      </c>
      <c r="E436" t="s">
        <v>86</v>
      </c>
      <c r="F436" t="str">
        <f>LEFT(premier_player_23_24[[#This Row],[Position]],2)</f>
        <v>MF</v>
      </c>
      <c r="G436" s="3">
        <v>23</v>
      </c>
      <c r="H43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36" s="3">
        <v>37</v>
      </c>
      <c r="J436" s="3">
        <v>35</v>
      </c>
      <c r="K436" s="2">
        <v>3156</v>
      </c>
      <c r="L436" s="2" t="str">
        <f>IF(premier_player_23_24[[#This Row],[Minutes]]&gt;1000,"More than 1000 minutes","Less than 1000 minutes")</f>
        <v>More than 1000 minutes</v>
      </c>
      <c r="M436" s="2">
        <v>35.1</v>
      </c>
      <c r="N436" s="3">
        <v>5</v>
      </c>
      <c r="O436" s="3">
        <v>10</v>
      </c>
      <c r="P436" s="3">
        <v>15</v>
      </c>
      <c r="Q436" s="3">
        <v>4</v>
      </c>
      <c r="R436" s="3">
        <v>1</v>
      </c>
      <c r="S436" s="3">
        <v>1</v>
      </c>
      <c r="T436" s="2">
        <v>9</v>
      </c>
      <c r="U436" s="2">
        <v>0</v>
      </c>
      <c r="V436" s="2">
        <v>6.9</v>
      </c>
      <c r="W436" s="2">
        <f>premier_player_23_24[[#This Row],[Goals]]-premier_player_23_24[[#This Row],[Expected Goals ]]</f>
        <v>-1.9000000000000004</v>
      </c>
      <c r="X436" s="2">
        <v>6.1</v>
      </c>
      <c r="Y436" s="2">
        <v>8.4</v>
      </c>
      <c r="Z436" s="2">
        <v>14.6</v>
      </c>
      <c r="AA436" s="3">
        <v>80</v>
      </c>
      <c r="AB436" s="3">
        <v>170</v>
      </c>
      <c r="AC436" s="3">
        <v>181</v>
      </c>
      <c r="AD436" s="1">
        <v>0.14000000000000001</v>
      </c>
      <c r="AE436" s="1">
        <v>0.28999999999999998</v>
      </c>
      <c r="AF436" s="1">
        <v>0.43</v>
      </c>
      <c r="AG436" s="1">
        <v>0.11</v>
      </c>
      <c r="AH436" s="1">
        <v>0.4</v>
      </c>
      <c r="AI436" s="1">
        <v>0.2</v>
      </c>
      <c r="AJ436" s="1">
        <v>0.24</v>
      </c>
      <c r="AK436" s="1">
        <v>0.44</v>
      </c>
      <c r="AL436" s="1">
        <v>0.17</v>
      </c>
      <c r="AM436" s="1">
        <v>0.42</v>
      </c>
      <c r="AN436" t="s">
        <v>1474</v>
      </c>
    </row>
    <row r="437" spans="1:40" x14ac:dyDescent="0.25">
      <c r="A437" t="s">
        <v>1531</v>
      </c>
      <c r="B437" t="s">
        <v>1073</v>
      </c>
      <c r="C437" s="4" t="s">
        <v>1796</v>
      </c>
      <c r="D437" t="s">
        <v>1797</v>
      </c>
      <c r="E437" t="s">
        <v>58</v>
      </c>
      <c r="F437" t="str">
        <f>LEFT(premier_player_23_24[[#This Row],[Position]],2)</f>
        <v>FW</v>
      </c>
      <c r="G437" s="3">
        <v>20</v>
      </c>
      <c r="H43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37" s="3">
        <v>9</v>
      </c>
      <c r="J437" s="3">
        <v>2</v>
      </c>
      <c r="K437" s="2">
        <v>235</v>
      </c>
      <c r="L437" s="2" t="str">
        <f>IF(premier_player_23_24[[#This Row],[Minutes]]&gt;1000,"More than 1000 minutes","Less than 1000 minutes")</f>
        <v>Less than 1000 minutes</v>
      </c>
      <c r="M437" s="2">
        <v>2.6</v>
      </c>
      <c r="N437" s="3">
        <v>0</v>
      </c>
      <c r="O437" s="3">
        <v>1</v>
      </c>
      <c r="P437" s="3">
        <v>1</v>
      </c>
      <c r="Q437" s="3">
        <v>0</v>
      </c>
      <c r="R437" s="3">
        <v>0</v>
      </c>
      <c r="S437" s="3">
        <v>0</v>
      </c>
      <c r="T437" s="2">
        <v>0</v>
      </c>
      <c r="U437" s="2">
        <v>0</v>
      </c>
      <c r="V437" s="2">
        <v>0.3</v>
      </c>
      <c r="W437" s="2">
        <f>premier_player_23_24[[#This Row],[Goals]]-premier_player_23_24[[#This Row],[Expected Goals ]]</f>
        <v>-0.3</v>
      </c>
      <c r="X437" s="2">
        <v>0.3</v>
      </c>
      <c r="Y437" s="2">
        <v>0.5</v>
      </c>
      <c r="Z437" s="2">
        <v>0.8</v>
      </c>
      <c r="AA437" s="3">
        <v>3</v>
      </c>
      <c r="AB437" s="3">
        <v>12</v>
      </c>
      <c r="AC437" s="3">
        <v>14</v>
      </c>
      <c r="AD437" s="1">
        <v>0</v>
      </c>
      <c r="AE437" s="1">
        <v>0.38</v>
      </c>
      <c r="AF437" s="1">
        <v>0.38</v>
      </c>
      <c r="AG437" s="1">
        <v>0</v>
      </c>
      <c r="AH437" s="1">
        <v>0.38</v>
      </c>
      <c r="AI437" s="1">
        <v>0.11</v>
      </c>
      <c r="AJ437" s="1">
        <v>0.18</v>
      </c>
      <c r="AK437" s="1">
        <v>0.28999999999999998</v>
      </c>
      <c r="AL437" s="1">
        <v>0.11</v>
      </c>
      <c r="AM437" s="1">
        <v>0.28999999999999998</v>
      </c>
      <c r="AN437" t="s">
        <v>1474</v>
      </c>
    </row>
    <row r="438" spans="1:40" x14ac:dyDescent="0.25">
      <c r="A438" t="s">
        <v>1507</v>
      </c>
      <c r="B438" t="s">
        <v>57</v>
      </c>
      <c r="C438" s="4" t="s">
        <v>1744</v>
      </c>
      <c r="D438" t="s">
        <v>1745</v>
      </c>
      <c r="E438" t="s">
        <v>108</v>
      </c>
      <c r="F438" t="str">
        <f>LEFT(premier_player_23_24[[#This Row],[Position]],2)</f>
        <v>DF</v>
      </c>
      <c r="G438" s="3">
        <v>27</v>
      </c>
      <c r="H43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38" s="3">
        <v>23</v>
      </c>
      <c r="J438" s="3">
        <v>15</v>
      </c>
      <c r="K438" s="2">
        <v>1459</v>
      </c>
      <c r="L438" s="2" t="str">
        <f>IF(premier_player_23_24[[#This Row],[Minutes]]&gt;1000,"More than 1000 minutes","Less than 1000 minutes")</f>
        <v>More than 1000 minutes</v>
      </c>
      <c r="M438" s="2">
        <v>16.2</v>
      </c>
      <c r="N438" s="3">
        <v>1</v>
      </c>
      <c r="O438" s="3">
        <v>3</v>
      </c>
      <c r="P438" s="3">
        <v>4</v>
      </c>
      <c r="Q438" s="3">
        <v>1</v>
      </c>
      <c r="R438" s="3">
        <v>0</v>
      </c>
      <c r="S438" s="3">
        <v>0</v>
      </c>
      <c r="T438" s="2">
        <v>3</v>
      </c>
      <c r="U438" s="2">
        <v>0</v>
      </c>
      <c r="V438" s="2">
        <v>1.6</v>
      </c>
      <c r="W438" s="2">
        <f>premier_player_23_24[[#This Row],[Goals]]-premier_player_23_24[[#This Row],[Expected Goals ]]</f>
        <v>-0.60000000000000009</v>
      </c>
      <c r="X438" s="2">
        <v>1.6</v>
      </c>
      <c r="Y438" s="2">
        <v>1.5</v>
      </c>
      <c r="Z438" s="2">
        <v>3.2</v>
      </c>
      <c r="AA438" s="3">
        <v>10</v>
      </c>
      <c r="AB438" s="3">
        <v>42</v>
      </c>
      <c r="AC438" s="3">
        <v>34</v>
      </c>
      <c r="AD438" s="1">
        <v>0.06</v>
      </c>
      <c r="AE438" s="1">
        <v>0.19</v>
      </c>
      <c r="AF438" s="1">
        <v>0.25</v>
      </c>
      <c r="AG438" s="1">
        <v>0.06</v>
      </c>
      <c r="AH438" s="1">
        <v>0.25</v>
      </c>
      <c r="AI438" s="1">
        <v>0.1</v>
      </c>
      <c r="AJ438" s="1">
        <v>0.1</v>
      </c>
      <c r="AK438" s="1">
        <v>0.2</v>
      </c>
      <c r="AL438" s="1">
        <v>0.1</v>
      </c>
      <c r="AM438" s="1">
        <v>0.2</v>
      </c>
      <c r="AN438" t="s">
        <v>1474</v>
      </c>
    </row>
    <row r="439" spans="1:40" x14ac:dyDescent="0.25">
      <c r="A439" t="s">
        <v>1496</v>
      </c>
      <c r="B439" t="s">
        <v>85</v>
      </c>
      <c r="C439" s="4" t="s">
        <v>1778</v>
      </c>
      <c r="D439" t="s">
        <v>1779</v>
      </c>
      <c r="E439" t="s">
        <v>86</v>
      </c>
      <c r="F439" t="str">
        <f>LEFT(premier_player_23_24[[#This Row],[Position]],2)</f>
        <v>MF</v>
      </c>
      <c r="G439" s="3">
        <v>25</v>
      </c>
      <c r="H43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39" s="3">
        <v>26</v>
      </c>
      <c r="J439" s="3">
        <v>19</v>
      </c>
      <c r="K439" s="2">
        <v>1495</v>
      </c>
      <c r="L439" s="2" t="str">
        <f>IF(premier_player_23_24[[#This Row],[Minutes]]&gt;1000,"More than 1000 minutes","Less than 1000 minutes")</f>
        <v>More than 1000 minutes</v>
      </c>
      <c r="M439" s="2">
        <v>16.600000000000001</v>
      </c>
      <c r="N439" s="3">
        <v>2</v>
      </c>
      <c r="O439" s="3">
        <v>2</v>
      </c>
      <c r="P439" s="3">
        <v>4</v>
      </c>
      <c r="Q439" s="3">
        <v>2</v>
      </c>
      <c r="R439" s="3">
        <v>0</v>
      </c>
      <c r="S439" s="3">
        <v>0</v>
      </c>
      <c r="T439" s="2">
        <v>4</v>
      </c>
      <c r="U439" s="2">
        <v>0</v>
      </c>
      <c r="V439" s="2">
        <v>1.3</v>
      </c>
      <c r="W439" s="2">
        <f>premier_player_23_24[[#This Row],[Goals]]-premier_player_23_24[[#This Row],[Expected Goals ]]</f>
        <v>0.7</v>
      </c>
      <c r="X439" s="2">
        <v>1.3</v>
      </c>
      <c r="Y439" s="2">
        <v>1</v>
      </c>
      <c r="Z439" s="2">
        <v>2.2999999999999998</v>
      </c>
      <c r="AA439" s="3">
        <v>14</v>
      </c>
      <c r="AB439" s="3">
        <v>91</v>
      </c>
      <c r="AC439" s="3">
        <v>43</v>
      </c>
      <c r="AD439" s="1">
        <v>0.12</v>
      </c>
      <c r="AE439" s="1">
        <v>0.12</v>
      </c>
      <c r="AF439" s="1">
        <v>0.24</v>
      </c>
      <c r="AG439" s="1">
        <v>0.12</v>
      </c>
      <c r="AH439" s="1">
        <v>0.24</v>
      </c>
      <c r="AI439" s="1">
        <v>0.08</v>
      </c>
      <c r="AJ439" s="1">
        <v>0.06</v>
      </c>
      <c r="AK439" s="1">
        <v>0.14000000000000001</v>
      </c>
      <c r="AL439" s="1">
        <v>0.08</v>
      </c>
      <c r="AM439" s="1">
        <v>0.14000000000000001</v>
      </c>
      <c r="AN439" t="s">
        <v>1474</v>
      </c>
    </row>
    <row r="440" spans="1:40" x14ac:dyDescent="0.25">
      <c r="A440" t="s">
        <v>1513</v>
      </c>
      <c r="B440" t="s">
        <v>891</v>
      </c>
      <c r="C440" s="4" t="s">
        <v>1798</v>
      </c>
      <c r="D440" t="s">
        <v>1799</v>
      </c>
      <c r="E440" t="s">
        <v>172</v>
      </c>
      <c r="F440" t="str">
        <f>LEFT(premier_player_23_24[[#This Row],[Position]],2)</f>
        <v>DF</v>
      </c>
      <c r="G440" s="3">
        <v>30</v>
      </c>
      <c r="H44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40" s="3">
        <v>12</v>
      </c>
      <c r="J440" s="3">
        <v>10</v>
      </c>
      <c r="K440" s="2">
        <v>833</v>
      </c>
      <c r="L440" s="2" t="str">
        <f>IF(premier_player_23_24[[#This Row],[Minutes]]&gt;1000,"More than 1000 minutes","Less than 1000 minutes")</f>
        <v>Less than 1000 minutes</v>
      </c>
      <c r="M440" s="2">
        <v>9.3000000000000007</v>
      </c>
      <c r="N440" s="3">
        <v>0</v>
      </c>
      <c r="O440" s="3">
        <v>2</v>
      </c>
      <c r="P440" s="3">
        <v>2</v>
      </c>
      <c r="Q440" s="3">
        <v>0</v>
      </c>
      <c r="R440" s="3">
        <v>0</v>
      </c>
      <c r="S440" s="3">
        <v>0</v>
      </c>
      <c r="T440" s="2">
        <v>2</v>
      </c>
      <c r="U440" s="2">
        <v>0</v>
      </c>
      <c r="V440" s="2">
        <v>0.2</v>
      </c>
      <c r="W440" s="2">
        <f>premier_player_23_24[[#This Row],[Goals]]-premier_player_23_24[[#This Row],[Expected Goals ]]</f>
        <v>-0.2</v>
      </c>
      <c r="X440" s="2">
        <v>0.2</v>
      </c>
      <c r="Y440" s="2">
        <v>0.5</v>
      </c>
      <c r="Z440" s="2">
        <v>0.6</v>
      </c>
      <c r="AA440" s="3">
        <v>10</v>
      </c>
      <c r="AB440" s="3">
        <v>47</v>
      </c>
      <c r="AC440" s="3">
        <v>29</v>
      </c>
      <c r="AD440" s="1">
        <v>0</v>
      </c>
      <c r="AE440" s="1">
        <v>0.22</v>
      </c>
      <c r="AF440" s="1">
        <v>0.22</v>
      </c>
      <c r="AG440" s="1">
        <v>0</v>
      </c>
      <c r="AH440" s="1">
        <v>0.22</v>
      </c>
      <c r="AI440" s="1">
        <v>0.02</v>
      </c>
      <c r="AJ440" s="1">
        <v>0.05</v>
      </c>
      <c r="AK440" s="1">
        <v>7.0000000000000007E-2</v>
      </c>
      <c r="AL440" s="1">
        <v>0.02</v>
      </c>
      <c r="AM440" s="1">
        <v>7.0000000000000007E-2</v>
      </c>
      <c r="AN440" t="s">
        <v>1474</v>
      </c>
    </row>
    <row r="441" spans="1:40" x14ac:dyDescent="0.25">
      <c r="A441" t="s">
        <v>1515</v>
      </c>
      <c r="B441" t="s">
        <v>85</v>
      </c>
      <c r="C441" s="4" t="s">
        <v>1778</v>
      </c>
      <c r="D441" t="s">
        <v>1779</v>
      </c>
      <c r="E441" t="s">
        <v>108</v>
      </c>
      <c r="F441" t="str">
        <f>LEFT(premier_player_23_24[[#This Row],[Position]],2)</f>
        <v>DF</v>
      </c>
      <c r="G441" s="3">
        <v>26</v>
      </c>
      <c r="H44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41" s="3">
        <v>14</v>
      </c>
      <c r="J441" s="3">
        <v>8</v>
      </c>
      <c r="K441" s="2">
        <v>801</v>
      </c>
      <c r="L441" s="2" t="str">
        <f>IF(premier_player_23_24[[#This Row],[Minutes]]&gt;1000,"More than 1000 minutes","Less than 1000 minutes")</f>
        <v>Less than 1000 minutes</v>
      </c>
      <c r="M441" s="2">
        <v>8.9</v>
      </c>
      <c r="N441" s="3">
        <v>0</v>
      </c>
      <c r="O441" s="3">
        <v>2</v>
      </c>
      <c r="P441" s="3">
        <v>2</v>
      </c>
      <c r="Q441" s="3">
        <v>0</v>
      </c>
      <c r="R441" s="3">
        <v>0</v>
      </c>
      <c r="S441" s="3">
        <v>0</v>
      </c>
      <c r="T441" s="2">
        <v>5</v>
      </c>
      <c r="U441" s="2">
        <v>0</v>
      </c>
      <c r="V441" s="2">
        <v>0.1</v>
      </c>
      <c r="W441" s="2">
        <f>premier_player_23_24[[#This Row],[Goals]]-premier_player_23_24[[#This Row],[Expected Goals ]]</f>
        <v>-0.1</v>
      </c>
      <c r="X441" s="2">
        <v>0.1</v>
      </c>
      <c r="Y441" s="2">
        <v>1.4</v>
      </c>
      <c r="Z441" s="2">
        <v>1.5</v>
      </c>
      <c r="AA441" s="3">
        <v>10</v>
      </c>
      <c r="AB441" s="3">
        <v>28</v>
      </c>
      <c r="AC441" s="3">
        <v>32</v>
      </c>
      <c r="AD441" s="1">
        <v>0</v>
      </c>
      <c r="AE441" s="1">
        <v>0.22</v>
      </c>
      <c r="AF441" s="1">
        <v>0.22</v>
      </c>
      <c r="AG441" s="1">
        <v>0</v>
      </c>
      <c r="AH441" s="1">
        <v>0.22</v>
      </c>
      <c r="AI441" s="1">
        <v>0.01</v>
      </c>
      <c r="AJ441" s="1">
        <v>0.15</v>
      </c>
      <c r="AK441" s="1">
        <v>0.17</v>
      </c>
      <c r="AL441" s="1">
        <v>0.01</v>
      </c>
      <c r="AM441" s="1">
        <v>0.17</v>
      </c>
      <c r="AN441" t="s">
        <v>1474</v>
      </c>
    </row>
    <row r="442" spans="1:40" x14ac:dyDescent="0.25">
      <c r="A442" t="s">
        <v>1489</v>
      </c>
      <c r="B442" t="s">
        <v>76</v>
      </c>
      <c r="C442" s="4" t="s">
        <v>1750</v>
      </c>
      <c r="D442" t="s">
        <v>1751</v>
      </c>
      <c r="E442" t="s">
        <v>36</v>
      </c>
      <c r="F442" t="str">
        <f>LEFT(premier_player_23_24[[#This Row],[Position]],2)</f>
        <v>MF</v>
      </c>
      <c r="G442" s="3">
        <v>22</v>
      </c>
      <c r="H44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42" s="3">
        <v>29</v>
      </c>
      <c r="J442" s="3">
        <v>20</v>
      </c>
      <c r="K442" s="2">
        <v>1792</v>
      </c>
      <c r="L442" s="2" t="str">
        <f>IF(premier_player_23_24[[#This Row],[Minutes]]&gt;1000,"More than 1000 minutes","Less than 1000 minutes")</f>
        <v>More than 1000 minutes</v>
      </c>
      <c r="M442" s="2">
        <v>19.899999999999999</v>
      </c>
      <c r="N442" s="3">
        <v>2</v>
      </c>
      <c r="O442" s="3">
        <v>2</v>
      </c>
      <c r="P442" s="3">
        <v>4</v>
      </c>
      <c r="Q442" s="3">
        <v>2</v>
      </c>
      <c r="R442" s="3">
        <v>0</v>
      </c>
      <c r="S442" s="3">
        <v>0</v>
      </c>
      <c r="T442" s="2">
        <v>4</v>
      </c>
      <c r="U442" s="2">
        <v>0</v>
      </c>
      <c r="V442" s="2">
        <v>1.8</v>
      </c>
      <c r="W442" s="2">
        <f>premier_player_23_24[[#This Row],[Goals]]-premier_player_23_24[[#This Row],[Expected Goals ]]</f>
        <v>0.19999999999999996</v>
      </c>
      <c r="X442" s="2">
        <v>1.8</v>
      </c>
      <c r="Y442" s="2">
        <v>1.5</v>
      </c>
      <c r="Z442" s="2">
        <v>3.4</v>
      </c>
      <c r="AA442" s="3">
        <v>22</v>
      </c>
      <c r="AB442" s="3">
        <v>83</v>
      </c>
      <c r="AC442" s="3">
        <v>28</v>
      </c>
      <c r="AD442" s="1">
        <v>0.1</v>
      </c>
      <c r="AE442" s="1">
        <v>0.1</v>
      </c>
      <c r="AF442" s="1">
        <v>0.2</v>
      </c>
      <c r="AG442" s="1">
        <v>0.1</v>
      </c>
      <c r="AH442" s="1">
        <v>0.2</v>
      </c>
      <c r="AI442" s="1">
        <v>0.09</v>
      </c>
      <c r="AJ442" s="1">
        <v>0.08</v>
      </c>
      <c r="AK442" s="1">
        <v>0.17</v>
      </c>
      <c r="AL442" s="1">
        <v>0.09</v>
      </c>
      <c r="AM442" s="1">
        <v>0.17</v>
      </c>
      <c r="AN442" t="s">
        <v>1474</v>
      </c>
    </row>
    <row r="443" spans="1:40" x14ac:dyDescent="0.25">
      <c r="A443" t="s">
        <v>1499</v>
      </c>
      <c r="B443" t="s">
        <v>891</v>
      </c>
      <c r="C443" s="4" t="s">
        <v>1798</v>
      </c>
      <c r="D443" t="s">
        <v>1799</v>
      </c>
      <c r="E443" t="s">
        <v>108</v>
      </c>
      <c r="F443" t="str">
        <f>LEFT(premier_player_23_24[[#This Row],[Position]],2)</f>
        <v>DF</v>
      </c>
      <c r="G443" s="3">
        <v>32</v>
      </c>
      <c r="H44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43" s="3">
        <v>20</v>
      </c>
      <c r="J443" s="3">
        <v>18</v>
      </c>
      <c r="K443" s="2">
        <v>1438</v>
      </c>
      <c r="L443" s="2" t="str">
        <f>IF(premier_player_23_24[[#This Row],[Minutes]]&gt;1000,"More than 1000 minutes","Less than 1000 minutes")</f>
        <v>More than 1000 minutes</v>
      </c>
      <c r="M443" s="2">
        <v>16</v>
      </c>
      <c r="N443" s="3">
        <v>2</v>
      </c>
      <c r="O443" s="3">
        <v>1</v>
      </c>
      <c r="P443" s="3">
        <v>3</v>
      </c>
      <c r="Q443" s="3">
        <v>2</v>
      </c>
      <c r="R443" s="3">
        <v>0</v>
      </c>
      <c r="S443" s="3">
        <v>0</v>
      </c>
      <c r="T443" s="2">
        <v>3</v>
      </c>
      <c r="U443" s="2">
        <v>1</v>
      </c>
      <c r="V443" s="2">
        <v>1.5</v>
      </c>
      <c r="W443" s="2">
        <f>premier_player_23_24[[#This Row],[Goals]]-premier_player_23_24[[#This Row],[Expected Goals ]]</f>
        <v>0.5</v>
      </c>
      <c r="X443" s="2">
        <v>1.5</v>
      </c>
      <c r="Y443" s="2">
        <v>1.3</v>
      </c>
      <c r="Z443" s="2">
        <v>2.8</v>
      </c>
      <c r="AA443" s="3">
        <v>4</v>
      </c>
      <c r="AB443" s="3">
        <v>32</v>
      </c>
      <c r="AC443" s="3">
        <v>3</v>
      </c>
      <c r="AD443" s="1">
        <v>0.13</v>
      </c>
      <c r="AE443" s="1">
        <v>0.06</v>
      </c>
      <c r="AF443" s="1">
        <v>0.19</v>
      </c>
      <c r="AG443" s="1">
        <v>0.13</v>
      </c>
      <c r="AH443" s="1">
        <v>0.19</v>
      </c>
      <c r="AI443" s="1">
        <v>0.09</v>
      </c>
      <c r="AJ443" s="1">
        <v>0.08</v>
      </c>
      <c r="AK443" s="1">
        <v>0.18</v>
      </c>
      <c r="AL443" s="1">
        <v>0.09</v>
      </c>
      <c r="AM443" s="1">
        <v>0.18</v>
      </c>
      <c r="AN443" t="s">
        <v>1474</v>
      </c>
    </row>
    <row r="444" spans="1:40" x14ac:dyDescent="0.25">
      <c r="A444" t="s">
        <v>1519</v>
      </c>
      <c r="B444" t="s">
        <v>207</v>
      </c>
      <c r="C444" s="4" t="s">
        <v>1746</v>
      </c>
      <c r="D444" t="s">
        <v>1747</v>
      </c>
      <c r="E444" t="s">
        <v>137</v>
      </c>
      <c r="F444" t="str">
        <f>LEFT(premier_player_23_24[[#This Row],[Position]],2)</f>
        <v>FW</v>
      </c>
      <c r="G444" s="3">
        <v>28</v>
      </c>
      <c r="H44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44" s="3">
        <v>20</v>
      </c>
      <c r="J444" s="3">
        <v>6</v>
      </c>
      <c r="K444" s="2">
        <v>606</v>
      </c>
      <c r="L444" s="2" t="str">
        <f>IF(premier_player_23_24[[#This Row],[Minutes]]&gt;1000,"More than 1000 minutes","Less than 1000 minutes")</f>
        <v>Less than 1000 minutes</v>
      </c>
      <c r="M444" s="2">
        <v>6.7</v>
      </c>
      <c r="N444" s="3">
        <v>0</v>
      </c>
      <c r="O444" s="3">
        <v>1</v>
      </c>
      <c r="P444" s="3">
        <v>1</v>
      </c>
      <c r="Q444" s="3">
        <v>0</v>
      </c>
      <c r="R444" s="3">
        <v>0</v>
      </c>
      <c r="S444" s="3">
        <v>0</v>
      </c>
      <c r="T444" s="2">
        <v>1</v>
      </c>
      <c r="U444" s="2">
        <v>0</v>
      </c>
      <c r="V444" s="2">
        <v>1.4</v>
      </c>
      <c r="W444" s="2">
        <f>premier_player_23_24[[#This Row],[Goals]]-premier_player_23_24[[#This Row],[Expected Goals ]]</f>
        <v>-1.4</v>
      </c>
      <c r="X444" s="2">
        <v>1.4</v>
      </c>
      <c r="Y444" s="2">
        <v>2.1</v>
      </c>
      <c r="Z444" s="2">
        <v>3.5</v>
      </c>
      <c r="AA444" s="3">
        <v>19</v>
      </c>
      <c r="AB444" s="3">
        <v>14</v>
      </c>
      <c r="AC444" s="3">
        <v>41</v>
      </c>
      <c r="AD444" s="1">
        <v>0</v>
      </c>
      <c r="AE444" s="1">
        <v>0.15</v>
      </c>
      <c r="AF444" s="1">
        <v>0.15</v>
      </c>
      <c r="AG444" s="1">
        <v>0</v>
      </c>
      <c r="AH444" s="1">
        <v>0.15</v>
      </c>
      <c r="AI444" s="1">
        <v>0.21</v>
      </c>
      <c r="AJ444" s="1">
        <v>0.31</v>
      </c>
      <c r="AK444" s="1">
        <v>0.51</v>
      </c>
      <c r="AL444" s="1">
        <v>0.21</v>
      </c>
      <c r="AM444" s="1">
        <v>0.51</v>
      </c>
      <c r="AN444" t="s">
        <v>1474</v>
      </c>
    </row>
    <row r="445" spans="1:40" x14ac:dyDescent="0.25">
      <c r="A445" t="s">
        <v>1492</v>
      </c>
      <c r="B445" t="s">
        <v>1120</v>
      </c>
      <c r="C445" s="4" t="s">
        <v>1806</v>
      </c>
      <c r="D445" t="s">
        <v>1807</v>
      </c>
      <c r="E445" t="s">
        <v>108</v>
      </c>
      <c r="F445" t="str">
        <f>LEFT(premier_player_23_24[[#This Row],[Position]],2)</f>
        <v>DF</v>
      </c>
      <c r="G445" s="3">
        <v>26</v>
      </c>
      <c r="H44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45" s="3">
        <v>22</v>
      </c>
      <c r="J445" s="3">
        <v>20</v>
      </c>
      <c r="K445" s="2">
        <v>1692</v>
      </c>
      <c r="L445" s="2" t="str">
        <f>IF(premier_player_23_24[[#This Row],[Minutes]]&gt;1000,"More than 1000 minutes","Less than 1000 minutes")</f>
        <v>More than 1000 minutes</v>
      </c>
      <c r="M445" s="2">
        <v>18.8</v>
      </c>
      <c r="N445" s="3">
        <v>1</v>
      </c>
      <c r="O445" s="3">
        <v>1</v>
      </c>
      <c r="P445" s="3">
        <v>2</v>
      </c>
      <c r="Q445" s="3">
        <v>1</v>
      </c>
      <c r="R445" s="3">
        <v>0</v>
      </c>
      <c r="S445" s="3">
        <v>0</v>
      </c>
      <c r="T445" s="2">
        <v>3</v>
      </c>
      <c r="U445" s="2">
        <v>0</v>
      </c>
      <c r="V445" s="2">
        <v>0.3</v>
      </c>
      <c r="W445" s="2">
        <f>premier_player_23_24[[#This Row],[Goals]]-premier_player_23_24[[#This Row],[Expected Goals ]]</f>
        <v>0.7</v>
      </c>
      <c r="X445" s="2">
        <v>0.3</v>
      </c>
      <c r="Y445" s="2">
        <v>0.9</v>
      </c>
      <c r="Z445" s="2">
        <v>1.2</v>
      </c>
      <c r="AA445" s="3">
        <v>53</v>
      </c>
      <c r="AB445" s="3">
        <v>68</v>
      </c>
      <c r="AC445" s="3">
        <v>38</v>
      </c>
      <c r="AD445" s="1">
        <v>0.05</v>
      </c>
      <c r="AE445" s="1">
        <v>0.05</v>
      </c>
      <c r="AF445" s="1">
        <v>0.11</v>
      </c>
      <c r="AG445" s="1">
        <v>0.05</v>
      </c>
      <c r="AH445" s="1">
        <v>0.11</v>
      </c>
      <c r="AI445" s="1">
        <v>0.01</v>
      </c>
      <c r="AJ445" s="1">
        <v>0.05</v>
      </c>
      <c r="AK445" s="1">
        <v>0.06</v>
      </c>
      <c r="AL445" s="1">
        <v>0.01</v>
      </c>
      <c r="AM445" s="1">
        <v>0.06</v>
      </c>
      <c r="AN445" t="s">
        <v>1474</v>
      </c>
    </row>
    <row r="446" spans="1:40" x14ac:dyDescent="0.25">
      <c r="A446" t="s">
        <v>1481</v>
      </c>
      <c r="B446" t="s">
        <v>57</v>
      </c>
      <c r="C446" s="4" t="s">
        <v>1744</v>
      </c>
      <c r="D446" t="s">
        <v>1745</v>
      </c>
      <c r="E446" t="s">
        <v>36</v>
      </c>
      <c r="F446" t="str">
        <f>LEFT(premier_player_23_24[[#This Row],[Position]],2)</f>
        <v>MF</v>
      </c>
      <c r="G446" s="3">
        <v>25</v>
      </c>
      <c r="H44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46" s="3">
        <v>35</v>
      </c>
      <c r="J446" s="3">
        <v>21</v>
      </c>
      <c r="K446" s="2">
        <v>1992</v>
      </c>
      <c r="L446" s="2" t="str">
        <f>IF(premier_player_23_24[[#This Row],[Minutes]]&gt;1000,"More than 1000 minutes","Less than 1000 minutes")</f>
        <v>More than 1000 minutes</v>
      </c>
      <c r="M446" s="2">
        <v>22.1</v>
      </c>
      <c r="N446" s="3">
        <v>1</v>
      </c>
      <c r="O446" s="3">
        <v>1</v>
      </c>
      <c r="P446" s="3">
        <v>2</v>
      </c>
      <c r="Q446" s="3">
        <v>1</v>
      </c>
      <c r="R446" s="3">
        <v>0</v>
      </c>
      <c r="S446" s="3">
        <v>0</v>
      </c>
      <c r="T446" s="2">
        <v>6</v>
      </c>
      <c r="U446" s="2">
        <v>0</v>
      </c>
      <c r="V446" s="2">
        <v>2.6</v>
      </c>
      <c r="W446" s="2">
        <f>premier_player_23_24[[#This Row],[Goals]]-premier_player_23_24[[#This Row],[Expected Goals ]]</f>
        <v>-1.6</v>
      </c>
      <c r="X446" s="2">
        <v>2.6</v>
      </c>
      <c r="Y446" s="2">
        <v>0.8</v>
      </c>
      <c r="Z446" s="2">
        <v>3.5</v>
      </c>
      <c r="AA446" s="3">
        <v>18</v>
      </c>
      <c r="AB446" s="3">
        <v>73</v>
      </c>
      <c r="AC446" s="3">
        <v>37</v>
      </c>
      <c r="AD446" s="1">
        <v>0.05</v>
      </c>
      <c r="AE446" s="1">
        <v>0.05</v>
      </c>
      <c r="AF446" s="1">
        <v>0.09</v>
      </c>
      <c r="AG446" s="1">
        <v>0.05</v>
      </c>
      <c r="AH446" s="1">
        <v>0.09</v>
      </c>
      <c r="AI446" s="1">
        <v>0.12</v>
      </c>
      <c r="AJ446" s="1">
        <v>0.04</v>
      </c>
      <c r="AK446" s="1">
        <v>0.16</v>
      </c>
      <c r="AL446" s="1">
        <v>0.12</v>
      </c>
      <c r="AM446" s="1">
        <v>0.16</v>
      </c>
      <c r="AN446" t="s">
        <v>1474</v>
      </c>
    </row>
    <row r="447" spans="1:40" x14ac:dyDescent="0.25">
      <c r="A447" t="s">
        <v>1475</v>
      </c>
      <c r="B447" t="s">
        <v>76</v>
      </c>
      <c r="C447" s="4" t="s">
        <v>1750</v>
      </c>
      <c r="D447" t="s">
        <v>1751</v>
      </c>
      <c r="E447" t="s">
        <v>108</v>
      </c>
      <c r="F447" t="str">
        <f>LEFT(premier_player_23_24[[#This Row],[Position]],2)</f>
        <v>DF</v>
      </c>
      <c r="G447" s="3">
        <v>21</v>
      </c>
      <c r="H44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47" s="3">
        <v>32</v>
      </c>
      <c r="J447" s="3">
        <v>32</v>
      </c>
      <c r="K447" s="2">
        <v>2789</v>
      </c>
      <c r="L447" s="2" t="str">
        <f>IF(premier_player_23_24[[#This Row],[Minutes]]&gt;1000,"More than 1000 minutes","Less than 1000 minutes")</f>
        <v>More than 1000 minutes</v>
      </c>
      <c r="M447" s="2">
        <v>31</v>
      </c>
      <c r="N447" s="3">
        <v>0</v>
      </c>
      <c r="O447" s="3">
        <v>2</v>
      </c>
      <c r="P447" s="3">
        <v>2</v>
      </c>
      <c r="Q447" s="3">
        <v>0</v>
      </c>
      <c r="R447" s="3">
        <v>0</v>
      </c>
      <c r="S447" s="3">
        <v>0</v>
      </c>
      <c r="T447" s="2">
        <v>5</v>
      </c>
      <c r="U447" s="2">
        <v>0</v>
      </c>
      <c r="V447" s="2">
        <v>1.8</v>
      </c>
      <c r="W447" s="2">
        <f>premier_player_23_24[[#This Row],[Goals]]-premier_player_23_24[[#This Row],[Expected Goals ]]</f>
        <v>-1.8</v>
      </c>
      <c r="X447" s="2">
        <v>1.8</v>
      </c>
      <c r="Y447" s="2">
        <v>1.2</v>
      </c>
      <c r="Z447" s="2">
        <v>3</v>
      </c>
      <c r="AA447" s="3">
        <v>22</v>
      </c>
      <c r="AB447" s="3">
        <v>89</v>
      </c>
      <c r="AC447" s="3">
        <v>7</v>
      </c>
      <c r="AD447" s="1">
        <v>0</v>
      </c>
      <c r="AE447" s="1">
        <v>0.06</v>
      </c>
      <c r="AF447" s="1">
        <v>0.06</v>
      </c>
      <c r="AG447" s="1">
        <v>0</v>
      </c>
      <c r="AH447" s="1">
        <v>0.06</v>
      </c>
      <c r="AI447" s="1">
        <v>0.06</v>
      </c>
      <c r="AJ447" s="1">
        <v>0.04</v>
      </c>
      <c r="AK447" s="1">
        <v>0.1</v>
      </c>
      <c r="AL447" s="1">
        <v>0.06</v>
      </c>
      <c r="AM447" s="1">
        <v>0.1</v>
      </c>
      <c r="AN447" t="s">
        <v>1474</v>
      </c>
    </row>
    <row r="448" spans="1:40" x14ac:dyDescent="0.25">
      <c r="A448" t="s">
        <v>1494</v>
      </c>
      <c r="B448" t="s">
        <v>207</v>
      </c>
      <c r="C448" s="4" t="s">
        <v>1746</v>
      </c>
      <c r="D448" t="s">
        <v>1747</v>
      </c>
      <c r="E448" t="s">
        <v>36</v>
      </c>
      <c r="F448" t="str">
        <f>LEFT(premier_player_23_24[[#This Row],[Position]],2)</f>
        <v>MF</v>
      </c>
      <c r="G448" s="3">
        <v>25</v>
      </c>
      <c r="H44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48" s="3">
        <v>20</v>
      </c>
      <c r="J448" s="3">
        <v>19</v>
      </c>
      <c r="K448" s="2">
        <v>1563</v>
      </c>
      <c r="L448" s="2" t="str">
        <f>IF(premier_player_23_24[[#This Row],[Minutes]]&gt;1000,"More than 1000 minutes","Less than 1000 minutes")</f>
        <v>More than 1000 minutes</v>
      </c>
      <c r="M448" s="2">
        <v>17.399999999999999</v>
      </c>
      <c r="N448" s="3">
        <v>1</v>
      </c>
      <c r="O448" s="3">
        <v>0</v>
      </c>
      <c r="P448" s="3">
        <v>1</v>
      </c>
      <c r="Q448" s="3">
        <v>1</v>
      </c>
      <c r="R448" s="3">
        <v>0</v>
      </c>
      <c r="S448" s="3">
        <v>0</v>
      </c>
      <c r="T448" s="2">
        <v>6</v>
      </c>
      <c r="U448" s="2">
        <v>0</v>
      </c>
      <c r="V448" s="2">
        <v>0.8</v>
      </c>
      <c r="W448" s="2">
        <f>premier_player_23_24[[#This Row],[Goals]]-premier_player_23_24[[#This Row],[Expected Goals ]]</f>
        <v>0.19999999999999996</v>
      </c>
      <c r="X448" s="2">
        <v>0.8</v>
      </c>
      <c r="Y448" s="2">
        <v>0.2</v>
      </c>
      <c r="Z448" s="2">
        <v>1.1000000000000001</v>
      </c>
      <c r="AA448" s="3">
        <v>13</v>
      </c>
      <c r="AB448" s="3">
        <v>45</v>
      </c>
      <c r="AC448" s="3">
        <v>14</v>
      </c>
      <c r="AD448" s="1">
        <v>0.06</v>
      </c>
      <c r="AE448" s="1">
        <v>0</v>
      </c>
      <c r="AF448" s="1">
        <v>0.06</v>
      </c>
      <c r="AG448" s="1">
        <v>0.06</v>
      </c>
      <c r="AH448" s="1">
        <v>0.06</v>
      </c>
      <c r="AI448" s="1">
        <v>0.05</v>
      </c>
      <c r="AJ448" s="1">
        <v>0.01</v>
      </c>
      <c r="AK448" s="1">
        <v>0.06</v>
      </c>
      <c r="AL448" s="1">
        <v>0.05</v>
      </c>
      <c r="AM448" s="1">
        <v>0.06</v>
      </c>
      <c r="AN448" t="s">
        <v>1474</v>
      </c>
    </row>
    <row r="449" spans="1:40" x14ac:dyDescent="0.25">
      <c r="A449" t="s">
        <v>1504</v>
      </c>
      <c r="B449" t="s">
        <v>555</v>
      </c>
      <c r="C449" s="4" t="s">
        <v>1830</v>
      </c>
      <c r="D449" t="s">
        <v>1831</v>
      </c>
      <c r="E449" t="s">
        <v>108</v>
      </c>
      <c r="F449" t="str">
        <f>LEFT(premier_player_23_24[[#This Row],[Position]],2)</f>
        <v>DF</v>
      </c>
      <c r="G449" s="3">
        <v>27</v>
      </c>
      <c r="H44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49" s="3">
        <v>21</v>
      </c>
      <c r="J449" s="3">
        <v>15</v>
      </c>
      <c r="K449" s="2">
        <v>1460</v>
      </c>
      <c r="L449" s="2" t="str">
        <f>IF(premier_player_23_24[[#This Row],[Minutes]]&gt;1000,"More than 1000 minutes","Less than 1000 minutes")</f>
        <v>More than 1000 minutes</v>
      </c>
      <c r="M449" s="2">
        <v>16.2</v>
      </c>
      <c r="N449" s="3">
        <v>1</v>
      </c>
      <c r="O449" s="3">
        <v>0</v>
      </c>
      <c r="P449" s="3">
        <v>1</v>
      </c>
      <c r="Q449" s="3">
        <v>1</v>
      </c>
      <c r="R449" s="3">
        <v>0</v>
      </c>
      <c r="S449" s="3">
        <v>0</v>
      </c>
      <c r="T449" s="2">
        <v>5</v>
      </c>
      <c r="U449" s="2">
        <v>1</v>
      </c>
      <c r="V449" s="2">
        <v>1.1000000000000001</v>
      </c>
      <c r="W449" s="2">
        <f>premier_player_23_24[[#This Row],[Goals]]-premier_player_23_24[[#This Row],[Expected Goals ]]</f>
        <v>-0.10000000000000009</v>
      </c>
      <c r="X449" s="2">
        <v>1.1000000000000001</v>
      </c>
      <c r="Y449" s="2">
        <v>0.1</v>
      </c>
      <c r="Z449" s="2">
        <v>1.2</v>
      </c>
      <c r="AA449" s="3">
        <v>13</v>
      </c>
      <c r="AB449" s="3">
        <v>39</v>
      </c>
      <c r="AC449" s="3">
        <v>6</v>
      </c>
      <c r="AD449" s="1">
        <v>0.06</v>
      </c>
      <c r="AE449" s="1">
        <v>0</v>
      </c>
      <c r="AF449" s="1">
        <v>0.06</v>
      </c>
      <c r="AG449" s="1">
        <v>0.06</v>
      </c>
      <c r="AH449" s="1">
        <v>0.06</v>
      </c>
      <c r="AI449" s="1">
        <v>7.0000000000000007E-2</v>
      </c>
      <c r="AJ449" s="1">
        <v>0.01</v>
      </c>
      <c r="AK449" s="1">
        <v>0.08</v>
      </c>
      <c r="AL449" s="1">
        <v>7.0000000000000007E-2</v>
      </c>
      <c r="AM449" s="1">
        <v>0.08</v>
      </c>
      <c r="AN449" t="s">
        <v>1474</v>
      </c>
    </row>
    <row r="450" spans="1:40" x14ac:dyDescent="0.25">
      <c r="A450" t="s">
        <v>1498</v>
      </c>
      <c r="B450" t="s">
        <v>432</v>
      </c>
      <c r="C450" s="4" t="s">
        <v>1786</v>
      </c>
      <c r="D450" t="s">
        <v>1787</v>
      </c>
      <c r="E450" t="s">
        <v>108</v>
      </c>
      <c r="F450" t="str">
        <f>LEFT(premier_player_23_24[[#This Row],[Position]],2)</f>
        <v>DF</v>
      </c>
      <c r="G450" s="3">
        <v>22</v>
      </c>
      <c r="H45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50" s="3">
        <v>26</v>
      </c>
      <c r="J450" s="3">
        <v>18</v>
      </c>
      <c r="K450" s="2">
        <v>1637</v>
      </c>
      <c r="L450" s="2" t="str">
        <f>IF(premier_player_23_24[[#This Row],[Minutes]]&gt;1000,"More than 1000 minutes","Less than 1000 minutes")</f>
        <v>More than 1000 minutes</v>
      </c>
      <c r="M450" s="2">
        <v>18.2</v>
      </c>
      <c r="N450" s="3">
        <v>0</v>
      </c>
      <c r="O450" s="3">
        <v>1</v>
      </c>
      <c r="P450" s="3">
        <v>1</v>
      </c>
      <c r="Q450" s="3">
        <v>0</v>
      </c>
      <c r="R450" s="3">
        <v>0</v>
      </c>
      <c r="S450" s="3">
        <v>0</v>
      </c>
      <c r="T450" s="2">
        <v>4</v>
      </c>
      <c r="U450" s="2">
        <v>0</v>
      </c>
      <c r="V450" s="2">
        <v>0.8</v>
      </c>
      <c r="W450" s="2">
        <f>premier_player_23_24[[#This Row],[Goals]]-premier_player_23_24[[#This Row],[Expected Goals ]]</f>
        <v>-0.8</v>
      </c>
      <c r="X450" s="2">
        <v>0.8</v>
      </c>
      <c r="Y450" s="2">
        <v>1.6</v>
      </c>
      <c r="Z450" s="2">
        <v>2.5</v>
      </c>
      <c r="AA450" s="3">
        <v>48</v>
      </c>
      <c r="AB450" s="3">
        <v>47</v>
      </c>
      <c r="AC450" s="3">
        <v>86</v>
      </c>
      <c r="AD450" s="1">
        <v>0</v>
      </c>
      <c r="AE450" s="1">
        <v>0.05</v>
      </c>
      <c r="AF450" s="1">
        <v>0.05</v>
      </c>
      <c r="AG450" s="1">
        <v>0</v>
      </c>
      <c r="AH450" s="1">
        <v>0.05</v>
      </c>
      <c r="AI450" s="1">
        <v>0.04</v>
      </c>
      <c r="AJ450" s="1">
        <v>0.09</v>
      </c>
      <c r="AK450" s="1">
        <v>0.13</v>
      </c>
      <c r="AL450" s="1">
        <v>0.04</v>
      </c>
      <c r="AM450" s="1">
        <v>0.13</v>
      </c>
      <c r="AN450" t="s">
        <v>1474</v>
      </c>
    </row>
    <row r="451" spans="1:40" x14ac:dyDescent="0.25">
      <c r="A451" t="s">
        <v>1501</v>
      </c>
      <c r="B451" t="s">
        <v>1073</v>
      </c>
      <c r="C451" s="4" t="s">
        <v>1796</v>
      </c>
      <c r="D451" t="s">
        <v>1797</v>
      </c>
      <c r="E451" t="s">
        <v>77</v>
      </c>
      <c r="F451" t="str">
        <f>LEFT(premier_player_23_24[[#This Row],[Position]],2)</f>
        <v>GK</v>
      </c>
      <c r="G451" s="3">
        <v>29</v>
      </c>
      <c r="H45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51" s="3">
        <v>17</v>
      </c>
      <c r="J451" s="3">
        <v>17</v>
      </c>
      <c r="K451" s="2">
        <v>1530</v>
      </c>
      <c r="L451" s="2" t="str">
        <f>IF(premier_player_23_24[[#This Row],[Minutes]]&gt;1000,"More than 1000 minutes","Less than 1000 minutes")</f>
        <v>More than 1000 minutes</v>
      </c>
      <c r="M451" s="2">
        <v>17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2">
        <v>2</v>
      </c>
      <c r="U451" s="2">
        <v>0</v>
      </c>
      <c r="V451" s="2">
        <v>0</v>
      </c>
      <c r="W451" s="2">
        <f>premier_player_23_24[[#This Row],[Goals]]-premier_player_23_24[[#This Row],[Expected Goals ]]</f>
        <v>0</v>
      </c>
      <c r="X451" s="2">
        <v>0</v>
      </c>
      <c r="Y451" s="2">
        <v>0</v>
      </c>
      <c r="Z451" s="2">
        <v>0</v>
      </c>
      <c r="AA451" s="3">
        <v>0</v>
      </c>
      <c r="AB451" s="3">
        <v>0</v>
      </c>
      <c r="AC451" s="3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0</v>
      </c>
      <c r="AM451" s="1">
        <v>0</v>
      </c>
      <c r="AN451" t="s">
        <v>1474</v>
      </c>
    </row>
    <row r="452" spans="1:40" x14ac:dyDescent="0.25">
      <c r="A452" t="s">
        <v>1502</v>
      </c>
      <c r="B452" t="s">
        <v>207</v>
      </c>
      <c r="C452" s="4" t="s">
        <v>1746</v>
      </c>
      <c r="D452" t="s">
        <v>1747</v>
      </c>
      <c r="E452" t="s">
        <v>77</v>
      </c>
      <c r="F452" t="str">
        <f>LEFT(premier_player_23_24[[#This Row],[Position]],2)</f>
        <v>GK</v>
      </c>
      <c r="G452" s="3">
        <v>31</v>
      </c>
      <c r="H45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52" s="3">
        <v>16</v>
      </c>
      <c r="J452" s="3">
        <v>16</v>
      </c>
      <c r="K452" s="2">
        <v>1440</v>
      </c>
      <c r="L452" s="2" t="str">
        <f>IF(premier_player_23_24[[#This Row],[Minutes]]&gt;1000,"More than 1000 minutes","Less than 1000 minutes")</f>
        <v>More than 1000 minutes</v>
      </c>
      <c r="M452" s="2">
        <v>16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2">
        <v>1</v>
      </c>
      <c r="U452" s="2">
        <v>0</v>
      </c>
      <c r="V452" s="2">
        <v>0</v>
      </c>
      <c r="W452" s="2">
        <f>premier_player_23_24[[#This Row],[Goals]]-premier_player_23_24[[#This Row],[Expected Goals ]]</f>
        <v>0</v>
      </c>
      <c r="X452" s="2">
        <v>0</v>
      </c>
      <c r="Y452" s="2">
        <v>0.1</v>
      </c>
      <c r="Z452" s="2">
        <v>0.1</v>
      </c>
      <c r="AA452" s="3">
        <v>0</v>
      </c>
      <c r="AB452" s="3">
        <v>0</v>
      </c>
      <c r="AC452" s="3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v>0</v>
      </c>
      <c r="AL452" s="1">
        <v>0</v>
      </c>
      <c r="AM452" s="1">
        <v>0</v>
      </c>
      <c r="AN452" t="s">
        <v>1474</v>
      </c>
    </row>
    <row r="453" spans="1:40" x14ac:dyDescent="0.25">
      <c r="A453" t="s">
        <v>1509</v>
      </c>
      <c r="B453" t="s">
        <v>891</v>
      </c>
      <c r="C453" s="4" t="s">
        <v>1798</v>
      </c>
      <c r="D453" t="s">
        <v>1799</v>
      </c>
      <c r="E453" t="s">
        <v>36</v>
      </c>
      <c r="F453" t="str">
        <f>LEFT(premier_player_23_24[[#This Row],[Position]],2)</f>
        <v>MF</v>
      </c>
      <c r="G453" s="3">
        <v>25</v>
      </c>
      <c r="H45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53" s="3">
        <v>17</v>
      </c>
      <c r="J453" s="3">
        <v>13</v>
      </c>
      <c r="K453" s="2">
        <v>1035</v>
      </c>
      <c r="L453" s="2" t="str">
        <f>IF(premier_player_23_24[[#This Row],[Minutes]]&gt;1000,"More than 1000 minutes","Less than 1000 minutes")</f>
        <v>More than 1000 minutes</v>
      </c>
      <c r="M453" s="2">
        <v>11.5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2">
        <v>6</v>
      </c>
      <c r="U453" s="2">
        <v>0</v>
      </c>
      <c r="V453" s="2">
        <v>0.6</v>
      </c>
      <c r="W453" s="2">
        <f>premier_player_23_24[[#This Row],[Goals]]-premier_player_23_24[[#This Row],[Expected Goals ]]</f>
        <v>-0.6</v>
      </c>
      <c r="X453" s="2">
        <v>0.6</v>
      </c>
      <c r="Y453" s="2">
        <v>0.4</v>
      </c>
      <c r="Z453" s="2">
        <v>1</v>
      </c>
      <c r="AA453" s="3">
        <v>5</v>
      </c>
      <c r="AB453" s="3">
        <v>44</v>
      </c>
      <c r="AC453" s="3">
        <v>7</v>
      </c>
      <c r="AD453" s="1">
        <v>0</v>
      </c>
      <c r="AE453" s="1">
        <v>0</v>
      </c>
      <c r="AF453" s="1">
        <v>0</v>
      </c>
      <c r="AG453" s="1">
        <v>0</v>
      </c>
      <c r="AH453" s="1">
        <v>0</v>
      </c>
      <c r="AI453" s="1">
        <v>0.06</v>
      </c>
      <c r="AJ453" s="1">
        <v>0.03</v>
      </c>
      <c r="AK453" s="1">
        <v>0.09</v>
      </c>
      <c r="AL453" s="1">
        <v>0.06</v>
      </c>
      <c r="AM453" s="1">
        <v>0.09</v>
      </c>
      <c r="AN453" t="s">
        <v>1474</v>
      </c>
    </row>
    <row r="454" spans="1:40" x14ac:dyDescent="0.25">
      <c r="A454" t="s">
        <v>1517</v>
      </c>
      <c r="B454" t="s">
        <v>411</v>
      </c>
      <c r="C454" s="4" t="s">
        <v>1792</v>
      </c>
      <c r="D454" t="s">
        <v>1793</v>
      </c>
      <c r="E454" t="s">
        <v>108</v>
      </c>
      <c r="F454" t="str">
        <f>LEFT(premier_player_23_24[[#This Row],[Position]],2)</f>
        <v>DF</v>
      </c>
      <c r="G454" s="3">
        <v>21</v>
      </c>
      <c r="H45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54" s="3">
        <v>11</v>
      </c>
      <c r="J454" s="3">
        <v>8</v>
      </c>
      <c r="K454" s="2">
        <v>783</v>
      </c>
      <c r="L454" s="2" t="str">
        <f>IF(premier_player_23_24[[#This Row],[Minutes]]&gt;1000,"More than 1000 minutes","Less than 1000 minutes")</f>
        <v>Less than 1000 minutes</v>
      </c>
      <c r="M454" s="2">
        <v>8.6999999999999993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2">
        <v>2</v>
      </c>
      <c r="U454" s="2">
        <v>0</v>
      </c>
      <c r="V454" s="2">
        <v>0.1</v>
      </c>
      <c r="W454" s="2">
        <f>premier_player_23_24[[#This Row],[Goals]]-premier_player_23_24[[#This Row],[Expected Goals ]]</f>
        <v>-0.1</v>
      </c>
      <c r="X454" s="2">
        <v>0.1</v>
      </c>
      <c r="Y454" s="2">
        <v>0.1</v>
      </c>
      <c r="Z454" s="2">
        <v>0.2</v>
      </c>
      <c r="AA454" s="3">
        <v>1</v>
      </c>
      <c r="AB454" s="3">
        <v>8</v>
      </c>
      <c r="AC454" s="3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0</v>
      </c>
      <c r="AI454" s="1">
        <v>0.02</v>
      </c>
      <c r="AJ454" s="1">
        <v>0.01</v>
      </c>
      <c r="AK454" s="1">
        <v>0.03</v>
      </c>
      <c r="AL454" s="1">
        <v>0.02</v>
      </c>
      <c r="AM454" s="1">
        <v>0.03</v>
      </c>
      <c r="AN454" t="s">
        <v>1474</v>
      </c>
    </row>
    <row r="455" spans="1:40" x14ac:dyDescent="0.25">
      <c r="A455" t="s">
        <v>1521</v>
      </c>
      <c r="B455" t="s">
        <v>122</v>
      </c>
      <c r="C455" s="4" t="s">
        <v>1742</v>
      </c>
      <c r="D455" t="s">
        <v>1743</v>
      </c>
      <c r="E455" t="s">
        <v>108</v>
      </c>
      <c r="F455" t="str">
        <f>LEFT(premier_player_23_24[[#This Row],[Position]],2)</f>
        <v>DF</v>
      </c>
      <c r="G455" s="3">
        <v>23</v>
      </c>
      <c r="H45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55" s="3">
        <v>8</v>
      </c>
      <c r="J455" s="3">
        <v>5</v>
      </c>
      <c r="K455" s="2">
        <v>457</v>
      </c>
      <c r="L455" s="2" t="str">
        <f>IF(premier_player_23_24[[#This Row],[Minutes]]&gt;1000,"More than 1000 minutes","Less than 1000 minutes")</f>
        <v>Less than 1000 minutes</v>
      </c>
      <c r="M455" s="2">
        <v>5.0999999999999996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2">
        <v>2</v>
      </c>
      <c r="U455" s="2">
        <v>0</v>
      </c>
      <c r="V455" s="2">
        <v>0.2</v>
      </c>
      <c r="W455" s="2">
        <f>premier_player_23_24[[#This Row],[Goals]]-premier_player_23_24[[#This Row],[Expected Goals ]]</f>
        <v>-0.2</v>
      </c>
      <c r="X455" s="2">
        <v>0.2</v>
      </c>
      <c r="Y455" s="2">
        <v>0.5</v>
      </c>
      <c r="Z455" s="2">
        <v>0.7</v>
      </c>
      <c r="AA455" s="3">
        <v>14</v>
      </c>
      <c r="AB455" s="3">
        <v>24</v>
      </c>
      <c r="AC455" s="3">
        <v>12</v>
      </c>
      <c r="AD455" s="1">
        <v>0</v>
      </c>
      <c r="AE455" s="1">
        <v>0</v>
      </c>
      <c r="AF455" s="1">
        <v>0</v>
      </c>
      <c r="AG455" s="1">
        <v>0</v>
      </c>
      <c r="AH455" s="1">
        <v>0</v>
      </c>
      <c r="AI455" s="1">
        <v>0.03</v>
      </c>
      <c r="AJ455" s="1">
        <v>0.1</v>
      </c>
      <c r="AK455" s="1">
        <v>0.13</v>
      </c>
      <c r="AL455" s="1">
        <v>0.03</v>
      </c>
      <c r="AM455" s="1">
        <v>0.13</v>
      </c>
      <c r="AN455" t="s">
        <v>1474</v>
      </c>
    </row>
    <row r="456" spans="1:40" x14ac:dyDescent="0.25">
      <c r="A456" t="s">
        <v>1523</v>
      </c>
      <c r="B456" t="s">
        <v>422</v>
      </c>
      <c r="C456" s="4" t="s">
        <v>1844</v>
      </c>
      <c r="D456" t="s">
        <v>1845</v>
      </c>
      <c r="E456" t="s">
        <v>77</v>
      </c>
      <c r="F456" t="str">
        <f>LEFT(premier_player_23_24[[#This Row],[Position]],2)</f>
        <v>GK</v>
      </c>
      <c r="G456" s="3">
        <v>29</v>
      </c>
      <c r="H45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56" s="3">
        <v>5</v>
      </c>
      <c r="J456" s="3">
        <v>5</v>
      </c>
      <c r="K456" s="2">
        <v>450</v>
      </c>
      <c r="L456" s="2" t="str">
        <f>IF(premier_player_23_24[[#This Row],[Minutes]]&gt;1000,"More than 1000 minutes","Less than 1000 minutes")</f>
        <v>Less than 1000 minutes</v>
      </c>
      <c r="M456" s="2">
        <v>5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2">
        <v>0</v>
      </c>
      <c r="U456" s="2">
        <v>0</v>
      </c>
      <c r="V456" s="2">
        <v>0</v>
      </c>
      <c r="W456" s="2">
        <f>premier_player_23_24[[#This Row],[Goals]]-premier_player_23_24[[#This Row],[Expected Goals ]]</f>
        <v>0</v>
      </c>
      <c r="X456" s="2">
        <v>0</v>
      </c>
      <c r="Y456" s="2">
        <v>0</v>
      </c>
      <c r="Z456" s="2">
        <v>0</v>
      </c>
      <c r="AA456" s="3">
        <v>0</v>
      </c>
      <c r="AB456" s="3">
        <v>1</v>
      </c>
      <c r="AC456" s="3">
        <v>0</v>
      </c>
      <c r="AD456" s="1">
        <v>0</v>
      </c>
      <c r="AE456" s="1">
        <v>0</v>
      </c>
      <c r="AF456" s="1">
        <v>0</v>
      </c>
      <c r="AG456" s="1">
        <v>0</v>
      </c>
      <c r="AH456" s="1">
        <v>0</v>
      </c>
      <c r="AI456" s="1">
        <v>0</v>
      </c>
      <c r="AJ456" s="1">
        <v>0.01</v>
      </c>
      <c r="AK456" s="1">
        <v>0.01</v>
      </c>
      <c r="AL456" s="1">
        <v>0</v>
      </c>
      <c r="AM456" s="1">
        <v>0.01</v>
      </c>
      <c r="AN456" t="s">
        <v>1474</v>
      </c>
    </row>
    <row r="457" spans="1:40" x14ac:dyDescent="0.25">
      <c r="A457" t="s">
        <v>1525</v>
      </c>
      <c r="B457" t="s">
        <v>57</v>
      </c>
      <c r="C457" s="4" t="s">
        <v>1744</v>
      </c>
      <c r="D457" t="s">
        <v>1745</v>
      </c>
      <c r="E457" t="s">
        <v>108</v>
      </c>
      <c r="F457" t="str">
        <f>LEFT(premier_player_23_24[[#This Row],[Position]],2)</f>
        <v>DF</v>
      </c>
      <c r="G457" s="3">
        <v>26</v>
      </c>
      <c r="H45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57" s="3">
        <v>7</v>
      </c>
      <c r="J457" s="3">
        <v>5</v>
      </c>
      <c r="K457" s="2">
        <v>439</v>
      </c>
      <c r="L457" s="2" t="str">
        <f>IF(premier_player_23_24[[#This Row],[Minutes]]&gt;1000,"More than 1000 minutes","Less than 1000 minutes")</f>
        <v>Less than 1000 minutes</v>
      </c>
      <c r="M457" s="2">
        <v>4.9000000000000004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2">
        <v>0</v>
      </c>
      <c r="U457" s="2">
        <v>1</v>
      </c>
      <c r="V457" s="2">
        <v>0.1</v>
      </c>
      <c r="W457" s="2">
        <f>premier_player_23_24[[#This Row],[Goals]]-premier_player_23_24[[#This Row],[Expected Goals ]]</f>
        <v>-0.1</v>
      </c>
      <c r="X457" s="2">
        <v>0.1</v>
      </c>
      <c r="Y457" s="2">
        <v>0.2</v>
      </c>
      <c r="Z457" s="2">
        <v>0.3</v>
      </c>
      <c r="AA457" s="3">
        <v>0</v>
      </c>
      <c r="AB457" s="3">
        <v>8</v>
      </c>
      <c r="AC457" s="3">
        <v>1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>
        <v>0.02</v>
      </c>
      <c r="AJ457" s="1">
        <v>0.04</v>
      </c>
      <c r="AK457" s="1">
        <v>0.06</v>
      </c>
      <c r="AL457" s="1">
        <v>0.02</v>
      </c>
      <c r="AM457" s="1">
        <v>0.06</v>
      </c>
      <c r="AN457" t="s">
        <v>1474</v>
      </c>
    </row>
    <row r="458" spans="1:40" x14ac:dyDescent="0.25">
      <c r="A458" t="s">
        <v>1526</v>
      </c>
      <c r="B458" t="s">
        <v>360</v>
      </c>
      <c r="C458" s="4" t="s">
        <v>1776</v>
      </c>
      <c r="D458" t="s">
        <v>1777</v>
      </c>
      <c r="E458" t="s">
        <v>108</v>
      </c>
      <c r="F458" t="str">
        <f>LEFT(premier_player_23_24[[#This Row],[Position]],2)</f>
        <v>DF</v>
      </c>
      <c r="G458" s="3">
        <v>26</v>
      </c>
      <c r="H45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58" s="3">
        <v>5</v>
      </c>
      <c r="J458" s="3">
        <v>5</v>
      </c>
      <c r="K458" s="2">
        <v>416</v>
      </c>
      <c r="L458" s="2" t="str">
        <f>IF(premier_player_23_24[[#This Row],[Minutes]]&gt;1000,"More than 1000 minutes","Less than 1000 minutes")</f>
        <v>Less than 1000 minutes</v>
      </c>
      <c r="M458" s="2">
        <v>4.5999999999999996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2">
        <v>0</v>
      </c>
      <c r="U458" s="2">
        <v>0</v>
      </c>
      <c r="V458" s="2">
        <v>0.2</v>
      </c>
      <c r="W458" s="2">
        <f>premier_player_23_24[[#This Row],[Goals]]-premier_player_23_24[[#This Row],[Expected Goals ]]</f>
        <v>-0.2</v>
      </c>
      <c r="X458" s="2">
        <v>0.2</v>
      </c>
      <c r="Y458" s="2">
        <v>0.2</v>
      </c>
      <c r="Z458" s="2">
        <v>0.4</v>
      </c>
      <c r="AA458" s="3">
        <v>1</v>
      </c>
      <c r="AB458" s="3">
        <v>10</v>
      </c>
      <c r="AC458" s="3">
        <v>0</v>
      </c>
      <c r="AD458" s="1">
        <v>0</v>
      </c>
      <c r="AE458" s="1">
        <v>0</v>
      </c>
      <c r="AF458" s="1">
        <v>0</v>
      </c>
      <c r="AG458" s="1">
        <v>0</v>
      </c>
      <c r="AH458" s="1">
        <v>0</v>
      </c>
      <c r="AI458" s="1">
        <v>0.05</v>
      </c>
      <c r="AJ458" s="1">
        <v>0.04</v>
      </c>
      <c r="AK458" s="1">
        <v>0.08</v>
      </c>
      <c r="AL458" s="1">
        <v>0.05</v>
      </c>
      <c r="AM458" s="1">
        <v>0.08</v>
      </c>
      <c r="AN458" t="s">
        <v>1474</v>
      </c>
    </row>
    <row r="459" spans="1:40" x14ac:dyDescent="0.25">
      <c r="A459" t="s">
        <v>1528</v>
      </c>
      <c r="B459" t="s">
        <v>76</v>
      </c>
      <c r="C459" s="4" t="s">
        <v>1750</v>
      </c>
      <c r="D459" t="s">
        <v>1751</v>
      </c>
      <c r="E459" t="s">
        <v>108</v>
      </c>
      <c r="F459" t="str">
        <f>LEFT(premier_player_23_24[[#This Row],[Position]],2)</f>
        <v>DF</v>
      </c>
      <c r="G459" s="3">
        <v>34</v>
      </c>
      <c r="H45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59" s="3">
        <v>7</v>
      </c>
      <c r="J459" s="3">
        <v>4</v>
      </c>
      <c r="K459" s="2">
        <v>375</v>
      </c>
      <c r="L459" s="2" t="str">
        <f>IF(premier_player_23_24[[#This Row],[Minutes]]&gt;1000,"More than 1000 minutes","Less than 1000 minutes")</f>
        <v>Less than 1000 minutes</v>
      </c>
      <c r="M459" s="2">
        <v>4.2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2">
        <v>4</v>
      </c>
      <c r="U459" s="2">
        <v>0</v>
      </c>
      <c r="V459" s="2">
        <v>0.1</v>
      </c>
      <c r="W459" s="2">
        <f>premier_player_23_24[[#This Row],[Goals]]-premier_player_23_24[[#This Row],[Expected Goals ]]</f>
        <v>-0.1</v>
      </c>
      <c r="X459" s="2">
        <v>0.1</v>
      </c>
      <c r="Y459" s="2">
        <v>0.1</v>
      </c>
      <c r="Z459" s="2">
        <v>0.2</v>
      </c>
      <c r="AA459" s="3">
        <v>1</v>
      </c>
      <c r="AB459" s="3">
        <v>6</v>
      </c>
      <c r="AC459" s="3">
        <v>0</v>
      </c>
      <c r="AD459" s="1">
        <v>0</v>
      </c>
      <c r="AE459" s="1">
        <v>0</v>
      </c>
      <c r="AF459" s="1">
        <v>0</v>
      </c>
      <c r="AG459" s="1">
        <v>0</v>
      </c>
      <c r="AH459" s="1">
        <v>0</v>
      </c>
      <c r="AI459" s="1">
        <v>0.03</v>
      </c>
      <c r="AJ459" s="1">
        <v>0.01</v>
      </c>
      <c r="AK459" s="1">
        <v>0.04</v>
      </c>
      <c r="AL459" s="1">
        <v>0.03</v>
      </c>
      <c r="AM459" s="1">
        <v>0.04</v>
      </c>
      <c r="AN459" t="s">
        <v>1474</v>
      </c>
    </row>
    <row r="460" spans="1:40" x14ac:dyDescent="0.25">
      <c r="A460" t="s">
        <v>784</v>
      </c>
      <c r="B460" t="s">
        <v>432</v>
      </c>
      <c r="C460" s="4" t="s">
        <v>1786</v>
      </c>
      <c r="D460" t="s">
        <v>1787</v>
      </c>
      <c r="E460" t="s">
        <v>58</v>
      </c>
      <c r="F460" t="str">
        <f>LEFT(premier_player_23_24[[#This Row],[Position]],2)</f>
        <v>FW</v>
      </c>
      <c r="G460" s="3">
        <v>22</v>
      </c>
      <c r="H46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60" s="3">
        <v>3</v>
      </c>
      <c r="J460" s="3">
        <v>3</v>
      </c>
      <c r="K460" s="2">
        <v>237</v>
      </c>
      <c r="L460" s="2" t="str">
        <f>IF(premier_player_23_24[[#This Row],[Minutes]]&gt;1000,"More than 1000 minutes","Less than 1000 minutes")</f>
        <v>Less than 1000 minutes</v>
      </c>
      <c r="M460" s="2">
        <v>2.6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2">
        <v>0</v>
      </c>
      <c r="U460" s="2">
        <v>0</v>
      </c>
      <c r="V460" s="2">
        <v>0.3</v>
      </c>
      <c r="W460" s="2">
        <f>premier_player_23_24[[#This Row],[Goals]]-premier_player_23_24[[#This Row],[Expected Goals ]]</f>
        <v>-0.3</v>
      </c>
      <c r="X460" s="2">
        <v>0.3</v>
      </c>
      <c r="Y460" s="2">
        <v>0.2</v>
      </c>
      <c r="Z460" s="2">
        <v>0.5</v>
      </c>
      <c r="AA460" s="3">
        <v>8</v>
      </c>
      <c r="AB460" s="3">
        <v>1</v>
      </c>
      <c r="AC460" s="3">
        <v>14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0.12</v>
      </c>
      <c r="AJ460" s="1">
        <v>0.08</v>
      </c>
      <c r="AK460" s="1">
        <v>0.21</v>
      </c>
      <c r="AL460" s="1">
        <v>0.12</v>
      </c>
      <c r="AM460" s="1">
        <v>0.21</v>
      </c>
      <c r="AN460" t="s">
        <v>1474</v>
      </c>
    </row>
    <row r="461" spans="1:40" x14ac:dyDescent="0.25">
      <c r="A461" t="s">
        <v>1532</v>
      </c>
      <c r="B461" t="s">
        <v>555</v>
      </c>
      <c r="C461" s="4" t="s">
        <v>1830</v>
      </c>
      <c r="D461" t="s">
        <v>1831</v>
      </c>
      <c r="E461" t="s">
        <v>36</v>
      </c>
      <c r="F461" t="str">
        <f>LEFT(premier_player_23_24[[#This Row],[Position]],2)</f>
        <v>MF</v>
      </c>
      <c r="G461" s="3">
        <v>33</v>
      </c>
      <c r="H46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61" s="3">
        <v>12</v>
      </c>
      <c r="J461" s="3">
        <v>2</v>
      </c>
      <c r="K461" s="2">
        <v>212</v>
      </c>
      <c r="L461" s="2" t="str">
        <f>IF(premier_player_23_24[[#This Row],[Minutes]]&gt;1000,"More than 1000 minutes","Less than 1000 minutes")</f>
        <v>Less than 1000 minutes</v>
      </c>
      <c r="M461" s="2">
        <v>2.4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2">
        <v>2</v>
      </c>
      <c r="U461" s="2">
        <v>0</v>
      </c>
      <c r="V461" s="2">
        <v>0.3</v>
      </c>
      <c r="W461" s="2">
        <f>premier_player_23_24[[#This Row],[Goals]]-premier_player_23_24[[#This Row],[Expected Goals ]]</f>
        <v>-0.3</v>
      </c>
      <c r="X461" s="2">
        <v>0.3</v>
      </c>
      <c r="Y461" s="2">
        <v>0</v>
      </c>
      <c r="Z461" s="2">
        <v>0.3</v>
      </c>
      <c r="AA461" s="3">
        <v>0</v>
      </c>
      <c r="AB461" s="3">
        <v>5</v>
      </c>
      <c r="AC461" s="3">
        <v>5</v>
      </c>
      <c r="AD461" s="1">
        <v>0</v>
      </c>
      <c r="AE461" s="1">
        <v>0</v>
      </c>
      <c r="AF461" s="1">
        <v>0</v>
      </c>
      <c r="AG461" s="1">
        <v>0</v>
      </c>
      <c r="AH461" s="1">
        <v>0</v>
      </c>
      <c r="AI461" s="1">
        <v>0.12</v>
      </c>
      <c r="AJ461" s="1">
        <v>0.02</v>
      </c>
      <c r="AK461" s="1">
        <v>0.14000000000000001</v>
      </c>
      <c r="AL461" s="1">
        <v>0.12</v>
      </c>
      <c r="AM461" s="1">
        <v>0.14000000000000001</v>
      </c>
      <c r="AN461" t="s">
        <v>1474</v>
      </c>
    </row>
    <row r="462" spans="1:40" x14ac:dyDescent="0.25">
      <c r="A462" t="s">
        <v>1534</v>
      </c>
      <c r="B462" t="s">
        <v>122</v>
      </c>
      <c r="C462" s="4" t="s">
        <v>1742</v>
      </c>
      <c r="D462" t="s">
        <v>1743</v>
      </c>
      <c r="E462" t="s">
        <v>86</v>
      </c>
      <c r="F462" t="str">
        <f>LEFT(premier_player_23_24[[#This Row],[Position]],2)</f>
        <v>MF</v>
      </c>
      <c r="G462" s="3">
        <v>18</v>
      </c>
      <c r="H46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62" s="3">
        <v>4</v>
      </c>
      <c r="J462" s="3">
        <v>0</v>
      </c>
      <c r="K462" s="2">
        <v>17</v>
      </c>
      <c r="L462" s="2" t="str">
        <f>IF(premier_player_23_24[[#This Row],[Minutes]]&gt;1000,"More than 1000 minutes","Less than 1000 minutes")</f>
        <v>Less than 1000 minutes</v>
      </c>
      <c r="M462" s="2">
        <v>0.2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2">
        <v>0</v>
      </c>
      <c r="U462" s="2">
        <v>0</v>
      </c>
      <c r="V462" s="2">
        <v>0</v>
      </c>
      <c r="W462" s="2">
        <f>premier_player_23_24[[#This Row],[Goals]]-premier_player_23_24[[#This Row],[Expected Goals ]]</f>
        <v>0</v>
      </c>
      <c r="X462" s="2">
        <v>0</v>
      </c>
      <c r="Y462" s="2">
        <v>0</v>
      </c>
      <c r="Z462" s="2">
        <v>0</v>
      </c>
      <c r="AA462" s="3">
        <v>2</v>
      </c>
      <c r="AB462" s="3">
        <v>2</v>
      </c>
      <c r="AC462" s="3">
        <v>1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0</v>
      </c>
      <c r="AK462" s="1">
        <v>0</v>
      </c>
      <c r="AL462" s="1">
        <v>0</v>
      </c>
      <c r="AM462" s="1">
        <v>0</v>
      </c>
      <c r="AN462" t="s">
        <v>1474</v>
      </c>
    </row>
    <row r="463" spans="1:40" x14ac:dyDescent="0.25">
      <c r="A463" t="s">
        <v>1535</v>
      </c>
      <c r="B463" t="s">
        <v>76</v>
      </c>
      <c r="C463" s="4" t="s">
        <v>1750</v>
      </c>
      <c r="D463" t="s">
        <v>1751</v>
      </c>
      <c r="E463" t="s">
        <v>36</v>
      </c>
      <c r="F463" t="str">
        <f>LEFT(premier_player_23_24[[#This Row],[Position]],2)</f>
        <v>MF</v>
      </c>
      <c r="G463" s="3">
        <v>19</v>
      </c>
      <c r="H46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63" s="3">
        <v>1</v>
      </c>
      <c r="J463" s="3">
        <v>0</v>
      </c>
      <c r="K463" s="2">
        <v>8</v>
      </c>
      <c r="L463" s="2" t="str">
        <f>IF(premier_player_23_24[[#This Row],[Minutes]]&gt;1000,"More than 1000 minutes","Less than 1000 minutes")</f>
        <v>Less than 1000 minutes</v>
      </c>
      <c r="M463" s="2">
        <v>0.1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2">
        <v>0</v>
      </c>
      <c r="U463" s="2">
        <v>0</v>
      </c>
      <c r="V463" s="2">
        <v>0.1</v>
      </c>
      <c r="W463" s="2">
        <f>premier_player_23_24[[#This Row],[Goals]]-premier_player_23_24[[#This Row],[Expected Goals ]]</f>
        <v>-0.1</v>
      </c>
      <c r="X463" s="2">
        <v>0.1</v>
      </c>
      <c r="Y463" s="2">
        <v>0</v>
      </c>
      <c r="Z463" s="2">
        <v>0.1</v>
      </c>
      <c r="AA463" s="3">
        <v>0</v>
      </c>
      <c r="AB463" s="3">
        <v>0</v>
      </c>
      <c r="AC463" s="3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0.64</v>
      </c>
      <c r="AJ463" s="1">
        <v>0</v>
      </c>
      <c r="AK463" s="1">
        <v>0.64</v>
      </c>
      <c r="AL463" s="1">
        <v>0.64</v>
      </c>
      <c r="AM463" s="1">
        <v>0.64</v>
      </c>
      <c r="AN463" t="s">
        <v>1474</v>
      </c>
    </row>
    <row r="464" spans="1:40" x14ac:dyDescent="0.25">
      <c r="A464" t="s">
        <v>1536</v>
      </c>
      <c r="B464" t="s">
        <v>1537</v>
      </c>
      <c r="C464" s="4" t="s">
        <v>1856</v>
      </c>
      <c r="D464" t="s">
        <v>1857</v>
      </c>
      <c r="E464" t="s">
        <v>137</v>
      </c>
      <c r="F464" t="str">
        <f>LEFT(premier_player_23_24[[#This Row],[Position]],2)</f>
        <v>FW</v>
      </c>
      <c r="G464" s="3">
        <v>20</v>
      </c>
      <c r="H46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64" s="3">
        <v>1</v>
      </c>
      <c r="J464" s="3">
        <v>0</v>
      </c>
      <c r="K464" s="2">
        <v>5</v>
      </c>
      <c r="L464" s="2" t="str">
        <f>IF(premier_player_23_24[[#This Row],[Minutes]]&gt;1000,"More than 1000 minutes","Less than 1000 minutes")</f>
        <v>Less than 1000 minutes</v>
      </c>
      <c r="M464" s="2">
        <v>0.1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2">
        <v>0</v>
      </c>
      <c r="U464" s="2">
        <v>0</v>
      </c>
      <c r="V464" s="2">
        <v>0</v>
      </c>
      <c r="W464" s="2">
        <f>premier_player_23_24[[#This Row],[Goals]]-premier_player_23_24[[#This Row],[Expected Goals ]]</f>
        <v>0</v>
      </c>
      <c r="X464" s="2">
        <v>0</v>
      </c>
      <c r="Y464" s="2">
        <v>0</v>
      </c>
      <c r="Z464" s="2">
        <v>0</v>
      </c>
      <c r="AA464" s="3">
        <v>0</v>
      </c>
      <c r="AB464" s="3">
        <v>0</v>
      </c>
      <c r="AC464" s="3">
        <v>1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  <c r="AM464" s="1">
        <v>0</v>
      </c>
      <c r="AN464" t="s">
        <v>1474</v>
      </c>
    </row>
    <row r="465" spans="1:40" x14ac:dyDescent="0.25">
      <c r="A465" t="s">
        <v>1673</v>
      </c>
      <c r="B465" t="s">
        <v>360</v>
      </c>
      <c r="C465" s="4" t="s">
        <v>1776</v>
      </c>
      <c r="D465" t="s">
        <v>1777</v>
      </c>
      <c r="E465" t="s">
        <v>137</v>
      </c>
      <c r="F465" t="str">
        <f>LEFT(premier_player_23_24[[#This Row],[Position]],2)</f>
        <v>FW</v>
      </c>
      <c r="G465" s="3">
        <v>27</v>
      </c>
      <c r="H46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65" s="3">
        <v>21</v>
      </c>
      <c r="J465" s="3">
        <v>15</v>
      </c>
      <c r="K465" s="2">
        <v>1280</v>
      </c>
      <c r="L465" s="2" t="str">
        <f>IF(premier_player_23_24[[#This Row],[Minutes]]&gt;1000,"More than 1000 minutes","Less than 1000 minutes")</f>
        <v>More than 1000 minutes</v>
      </c>
      <c r="M465" s="2">
        <v>14.2</v>
      </c>
      <c r="N465" s="3">
        <v>6</v>
      </c>
      <c r="O465" s="3">
        <v>3</v>
      </c>
      <c r="P465" s="3">
        <v>9</v>
      </c>
      <c r="Q465" s="3">
        <v>4</v>
      </c>
      <c r="R465" s="3">
        <v>2</v>
      </c>
      <c r="S465" s="3">
        <v>2</v>
      </c>
      <c r="T465" s="2">
        <v>7</v>
      </c>
      <c r="U465" s="2">
        <v>2</v>
      </c>
      <c r="V465" s="2">
        <v>6.9</v>
      </c>
      <c r="W465" s="2">
        <f>premier_player_23_24[[#This Row],[Goals]]-premier_player_23_24[[#This Row],[Expected Goals ]]</f>
        <v>-0.90000000000000036</v>
      </c>
      <c r="X465" s="2">
        <v>5.3</v>
      </c>
      <c r="Y465" s="2">
        <v>2</v>
      </c>
      <c r="Z465" s="2">
        <v>7.3</v>
      </c>
      <c r="AA465" s="3">
        <v>6</v>
      </c>
      <c r="AB465" s="3">
        <v>30</v>
      </c>
      <c r="AC465" s="3">
        <v>60</v>
      </c>
      <c r="AD465" s="1">
        <v>0.42</v>
      </c>
      <c r="AE465" s="1">
        <v>0.21</v>
      </c>
      <c r="AF465" s="1">
        <v>0.63</v>
      </c>
      <c r="AG465" s="1">
        <v>0.28000000000000003</v>
      </c>
      <c r="AH465" s="1">
        <v>0.49</v>
      </c>
      <c r="AI465" s="1">
        <v>0.48</v>
      </c>
      <c r="AJ465" s="1">
        <v>0.14000000000000001</v>
      </c>
      <c r="AK465" s="1">
        <v>0.62</v>
      </c>
      <c r="AL465" s="1">
        <v>0.37</v>
      </c>
      <c r="AM465" s="1">
        <v>0.51</v>
      </c>
      <c r="AN465" t="s">
        <v>1658</v>
      </c>
    </row>
    <row r="466" spans="1:40" x14ac:dyDescent="0.25">
      <c r="A466" t="s">
        <v>1676</v>
      </c>
      <c r="B466" t="s">
        <v>1677</v>
      </c>
      <c r="C466" s="4" t="s">
        <v>1858</v>
      </c>
      <c r="D466" t="s">
        <v>1859</v>
      </c>
      <c r="E466" t="s">
        <v>58</v>
      </c>
      <c r="F466" t="str">
        <f>LEFT(premier_player_23_24[[#This Row],[Position]],2)</f>
        <v>FW</v>
      </c>
      <c r="G466" s="3">
        <v>24</v>
      </c>
      <c r="H46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66" s="3">
        <v>14</v>
      </c>
      <c r="J466" s="3">
        <v>14</v>
      </c>
      <c r="K466" s="2">
        <v>1105</v>
      </c>
      <c r="L466" s="2" t="str">
        <f>IF(premier_player_23_24[[#This Row],[Minutes]]&gt;1000,"More than 1000 minutes","Less than 1000 minutes")</f>
        <v>More than 1000 minutes</v>
      </c>
      <c r="M466" s="2">
        <v>12.3</v>
      </c>
      <c r="N466" s="3">
        <v>6</v>
      </c>
      <c r="O466" s="3">
        <v>1</v>
      </c>
      <c r="P466" s="3">
        <v>7</v>
      </c>
      <c r="Q466" s="3">
        <v>5</v>
      </c>
      <c r="R466" s="3">
        <v>1</v>
      </c>
      <c r="S466" s="3">
        <v>1</v>
      </c>
      <c r="T466" s="2">
        <v>3</v>
      </c>
      <c r="U466" s="2">
        <v>0</v>
      </c>
      <c r="V466" s="2">
        <v>6.1</v>
      </c>
      <c r="W466" s="2">
        <f>premier_player_23_24[[#This Row],[Goals]]-premier_player_23_24[[#This Row],[Expected Goals ]]</f>
        <v>-9.9999999999999645E-2</v>
      </c>
      <c r="X466" s="2">
        <v>5.3</v>
      </c>
      <c r="Y466" s="2">
        <v>1.5</v>
      </c>
      <c r="Z466" s="2">
        <v>6.7</v>
      </c>
      <c r="AA466" s="3">
        <v>23</v>
      </c>
      <c r="AB466" s="3">
        <v>37</v>
      </c>
      <c r="AC466" s="3">
        <v>78</v>
      </c>
      <c r="AD466" s="1">
        <v>0.49</v>
      </c>
      <c r="AE466" s="1">
        <v>0.08</v>
      </c>
      <c r="AF466" s="1">
        <v>0.56999999999999995</v>
      </c>
      <c r="AG466" s="1">
        <v>0.41</v>
      </c>
      <c r="AH466" s="1">
        <v>0.49</v>
      </c>
      <c r="AI466" s="1">
        <v>0.49</v>
      </c>
      <c r="AJ466" s="1">
        <v>0.12</v>
      </c>
      <c r="AK466" s="1">
        <v>0.61</v>
      </c>
      <c r="AL466" s="1">
        <v>0.43</v>
      </c>
      <c r="AM466" s="1">
        <v>0.55000000000000004</v>
      </c>
      <c r="AN466" t="s">
        <v>1658</v>
      </c>
    </row>
    <row r="467" spans="1:40" x14ac:dyDescent="0.25">
      <c r="A467" t="s">
        <v>1656</v>
      </c>
      <c r="B467" t="s">
        <v>196</v>
      </c>
      <c r="C467" s="4" t="s">
        <v>1768</v>
      </c>
      <c r="D467" t="s">
        <v>1769</v>
      </c>
      <c r="E467" t="s">
        <v>36</v>
      </c>
      <c r="F467" t="str">
        <f>LEFT(premier_player_23_24[[#This Row],[Position]],2)</f>
        <v>MF</v>
      </c>
      <c r="G467" s="3">
        <v>26</v>
      </c>
      <c r="H46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67" s="3">
        <v>36</v>
      </c>
      <c r="J467" s="3">
        <v>34</v>
      </c>
      <c r="K467" s="2">
        <v>2910</v>
      </c>
      <c r="L467" s="2" t="str">
        <f>IF(premier_player_23_24[[#This Row],[Minutes]]&gt;1000,"More than 1000 minutes","Less than 1000 minutes")</f>
        <v>More than 1000 minutes</v>
      </c>
      <c r="M467" s="2">
        <v>32.299999999999997</v>
      </c>
      <c r="N467" s="3">
        <v>4</v>
      </c>
      <c r="O467" s="3">
        <v>6</v>
      </c>
      <c r="P467" s="3">
        <v>10</v>
      </c>
      <c r="Q467" s="3">
        <v>4</v>
      </c>
      <c r="R467" s="3">
        <v>0</v>
      </c>
      <c r="S467" s="3">
        <v>0</v>
      </c>
      <c r="T467" s="2">
        <v>9</v>
      </c>
      <c r="U467" s="2">
        <v>0</v>
      </c>
      <c r="V467" s="2">
        <v>3</v>
      </c>
      <c r="W467" s="2">
        <f>premier_player_23_24[[#This Row],[Goals]]-premier_player_23_24[[#This Row],[Expected Goals ]]</f>
        <v>1</v>
      </c>
      <c r="X467" s="2">
        <v>3</v>
      </c>
      <c r="Y467" s="2">
        <v>6.1</v>
      </c>
      <c r="Z467" s="2">
        <v>9.1</v>
      </c>
      <c r="AA467" s="3">
        <v>36</v>
      </c>
      <c r="AB467" s="3">
        <v>135</v>
      </c>
      <c r="AC467" s="3">
        <v>86</v>
      </c>
      <c r="AD467" s="1">
        <v>0.12</v>
      </c>
      <c r="AE467" s="1">
        <v>0.19</v>
      </c>
      <c r="AF467" s="1">
        <v>0.31</v>
      </c>
      <c r="AG467" s="1">
        <v>0.12</v>
      </c>
      <c r="AH467" s="1">
        <v>0.31</v>
      </c>
      <c r="AI467" s="1">
        <v>0.09</v>
      </c>
      <c r="AJ467" s="1">
        <v>0.19</v>
      </c>
      <c r="AK467" s="1">
        <v>0.28000000000000003</v>
      </c>
      <c r="AL467" s="1">
        <v>0.09</v>
      </c>
      <c r="AM467" s="1">
        <v>0.28000000000000003</v>
      </c>
      <c r="AN467" t="s">
        <v>1658</v>
      </c>
    </row>
    <row r="468" spans="1:40" x14ac:dyDescent="0.25">
      <c r="A468" t="s">
        <v>278</v>
      </c>
      <c r="B468" t="s">
        <v>57</v>
      </c>
      <c r="C468" s="4" t="s">
        <v>1744</v>
      </c>
      <c r="D468" t="s">
        <v>1745</v>
      </c>
      <c r="E468" t="s">
        <v>86</v>
      </c>
      <c r="F468" t="str">
        <f>LEFT(premier_player_23_24[[#This Row],[Position]],2)</f>
        <v>MF</v>
      </c>
      <c r="G468" s="3">
        <v>20</v>
      </c>
      <c r="H46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68" s="3">
        <v>30</v>
      </c>
      <c r="J468" s="3">
        <v>20</v>
      </c>
      <c r="K468" s="2">
        <v>1822</v>
      </c>
      <c r="L468" s="2" t="str">
        <f>IF(premier_player_23_24[[#This Row],[Minutes]]&gt;1000,"More than 1000 minutes","Less than 1000 minutes")</f>
        <v>More than 1000 minutes</v>
      </c>
      <c r="M468" s="2">
        <v>20.2</v>
      </c>
      <c r="N468" s="3">
        <v>3</v>
      </c>
      <c r="O468" s="3">
        <v>3</v>
      </c>
      <c r="P468" s="3">
        <v>6</v>
      </c>
      <c r="Q468" s="3">
        <v>2</v>
      </c>
      <c r="R468" s="3">
        <v>1</v>
      </c>
      <c r="S468" s="3">
        <v>1</v>
      </c>
      <c r="T468" s="2">
        <v>2</v>
      </c>
      <c r="U468" s="2">
        <v>0</v>
      </c>
      <c r="V468" s="2">
        <v>3.1</v>
      </c>
      <c r="W468" s="2">
        <f>premier_player_23_24[[#This Row],[Goals]]-premier_player_23_24[[#This Row],[Expected Goals ]]</f>
        <v>-0.10000000000000009</v>
      </c>
      <c r="X468" s="2">
        <v>2.2999999999999998</v>
      </c>
      <c r="Y468" s="2">
        <v>2.9</v>
      </c>
      <c r="Z468" s="2">
        <v>5.2</v>
      </c>
      <c r="AA468" s="3">
        <v>55</v>
      </c>
      <c r="AB468" s="3">
        <v>51</v>
      </c>
      <c r="AC468" s="3">
        <v>110</v>
      </c>
      <c r="AD468" s="1">
        <v>0.15</v>
      </c>
      <c r="AE468" s="1">
        <v>0.15</v>
      </c>
      <c r="AF468" s="1">
        <v>0.3</v>
      </c>
      <c r="AG468" s="1">
        <v>0.1</v>
      </c>
      <c r="AH468" s="1">
        <v>0.25</v>
      </c>
      <c r="AI468" s="1">
        <v>0.15</v>
      </c>
      <c r="AJ468" s="1">
        <v>0.15</v>
      </c>
      <c r="AK468" s="1">
        <v>0.3</v>
      </c>
      <c r="AL468" s="1">
        <v>0.11</v>
      </c>
      <c r="AM468" s="1">
        <v>0.26</v>
      </c>
      <c r="AN468" t="s">
        <v>1658</v>
      </c>
    </row>
    <row r="469" spans="1:40" x14ac:dyDescent="0.25">
      <c r="A469" t="s">
        <v>979</v>
      </c>
      <c r="B469" t="s">
        <v>57</v>
      </c>
      <c r="C469" s="4" t="s">
        <v>1744</v>
      </c>
      <c r="D469" t="s">
        <v>1745</v>
      </c>
      <c r="E469" t="s">
        <v>58</v>
      </c>
      <c r="F469" t="str">
        <f>LEFT(premier_player_23_24[[#This Row],[Position]],2)</f>
        <v>FW</v>
      </c>
      <c r="G469" s="3">
        <v>22</v>
      </c>
      <c r="H46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69" s="3">
        <v>29</v>
      </c>
      <c r="J469" s="3">
        <v>21</v>
      </c>
      <c r="K469" s="2">
        <v>1832</v>
      </c>
      <c r="L469" s="2" t="str">
        <f>IF(premier_player_23_24[[#This Row],[Minutes]]&gt;1000,"More than 1000 minutes","Less than 1000 minutes")</f>
        <v>More than 1000 minutes</v>
      </c>
      <c r="M469" s="2">
        <v>20.399999999999999</v>
      </c>
      <c r="N469" s="3">
        <v>4</v>
      </c>
      <c r="O469" s="3">
        <v>1</v>
      </c>
      <c r="P469" s="3">
        <v>5</v>
      </c>
      <c r="Q469" s="3">
        <v>4</v>
      </c>
      <c r="R469" s="3">
        <v>0</v>
      </c>
      <c r="S469" s="3">
        <v>0</v>
      </c>
      <c r="T469" s="2">
        <v>1</v>
      </c>
      <c r="U469" s="2">
        <v>0</v>
      </c>
      <c r="V469" s="2">
        <v>5.5</v>
      </c>
      <c r="W469" s="2">
        <f>premier_player_23_24[[#This Row],[Goals]]-premier_player_23_24[[#This Row],[Expected Goals ]]</f>
        <v>-1.5</v>
      </c>
      <c r="X469" s="2">
        <v>5.5</v>
      </c>
      <c r="Y469" s="2">
        <v>2.8</v>
      </c>
      <c r="Z469" s="2">
        <v>8.3000000000000007</v>
      </c>
      <c r="AA469" s="3">
        <v>33</v>
      </c>
      <c r="AB469" s="3">
        <v>15</v>
      </c>
      <c r="AC469" s="3">
        <v>113</v>
      </c>
      <c r="AD469" s="1">
        <v>0.2</v>
      </c>
      <c r="AE469" s="1">
        <v>0.05</v>
      </c>
      <c r="AF469" s="1">
        <v>0.25</v>
      </c>
      <c r="AG469" s="1">
        <v>0.2</v>
      </c>
      <c r="AH469" s="1">
        <v>0.25</v>
      </c>
      <c r="AI469" s="1">
        <v>0.27</v>
      </c>
      <c r="AJ469" s="1">
        <v>0.14000000000000001</v>
      </c>
      <c r="AK469" s="1">
        <v>0.41</v>
      </c>
      <c r="AL469" s="1">
        <v>0.27</v>
      </c>
      <c r="AM469" s="1">
        <v>0.41</v>
      </c>
      <c r="AN469" t="s">
        <v>1658</v>
      </c>
    </row>
    <row r="470" spans="1:40" x14ac:dyDescent="0.25">
      <c r="A470" t="s">
        <v>1675</v>
      </c>
      <c r="B470" t="s">
        <v>57</v>
      </c>
      <c r="C470" s="4" t="s">
        <v>1744</v>
      </c>
      <c r="D470" t="s">
        <v>1745</v>
      </c>
      <c r="E470" t="s">
        <v>172</v>
      </c>
      <c r="F470" t="str">
        <f>LEFT(premier_player_23_24[[#This Row],[Position]],2)</f>
        <v>DF</v>
      </c>
      <c r="G470" s="3">
        <v>28</v>
      </c>
      <c r="H47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70" s="3">
        <v>24</v>
      </c>
      <c r="J470" s="3">
        <v>14</v>
      </c>
      <c r="K470" s="2">
        <v>1367</v>
      </c>
      <c r="L470" s="2" t="str">
        <f>IF(premier_player_23_24[[#This Row],[Minutes]]&gt;1000,"More than 1000 minutes","Less than 1000 minutes")</f>
        <v>More than 1000 minutes</v>
      </c>
      <c r="M470" s="2">
        <v>15.2</v>
      </c>
      <c r="N470" s="3">
        <v>0</v>
      </c>
      <c r="O470" s="3">
        <v>2</v>
      </c>
      <c r="P470" s="3">
        <v>2</v>
      </c>
      <c r="Q470" s="3">
        <v>0</v>
      </c>
      <c r="R470" s="3">
        <v>0</v>
      </c>
      <c r="S470" s="3">
        <v>0</v>
      </c>
      <c r="T470" s="2">
        <v>3</v>
      </c>
      <c r="U470" s="2">
        <v>0</v>
      </c>
      <c r="V470" s="2">
        <v>0.2</v>
      </c>
      <c r="W470" s="2">
        <f>premier_player_23_24[[#This Row],[Goals]]-premier_player_23_24[[#This Row],[Expected Goals ]]</f>
        <v>-0.2</v>
      </c>
      <c r="X470" s="2">
        <v>0.2</v>
      </c>
      <c r="Y470" s="2">
        <v>0.9</v>
      </c>
      <c r="Z470" s="2">
        <v>1.1000000000000001</v>
      </c>
      <c r="AA470" s="3">
        <v>16</v>
      </c>
      <c r="AB470" s="3">
        <v>55</v>
      </c>
      <c r="AC470" s="3">
        <v>44</v>
      </c>
      <c r="AD470" s="1">
        <v>0</v>
      </c>
      <c r="AE470" s="1">
        <v>0.13</v>
      </c>
      <c r="AF470" s="1">
        <v>0.13</v>
      </c>
      <c r="AG470" s="1">
        <v>0</v>
      </c>
      <c r="AH470" s="1">
        <v>0.13</v>
      </c>
      <c r="AI470" s="1">
        <v>0.01</v>
      </c>
      <c r="AJ470" s="1">
        <v>0.06</v>
      </c>
      <c r="AK470" s="1">
        <v>7.0000000000000007E-2</v>
      </c>
      <c r="AL470" s="1">
        <v>0.01</v>
      </c>
      <c r="AM470" s="1">
        <v>7.0000000000000007E-2</v>
      </c>
      <c r="AN470" t="s">
        <v>1658</v>
      </c>
    </row>
    <row r="471" spans="1:40" x14ac:dyDescent="0.25">
      <c r="A471" t="s">
        <v>1659</v>
      </c>
      <c r="B471" t="s">
        <v>57</v>
      </c>
      <c r="C471" s="4" t="s">
        <v>1744</v>
      </c>
      <c r="D471" t="s">
        <v>1745</v>
      </c>
      <c r="E471" t="s">
        <v>108</v>
      </c>
      <c r="F471" t="str">
        <f>LEFT(premier_player_23_24[[#This Row],[Position]],2)</f>
        <v>DF</v>
      </c>
      <c r="G471" s="3">
        <v>23</v>
      </c>
      <c r="H47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71" s="3">
        <v>34</v>
      </c>
      <c r="J471" s="3">
        <v>32</v>
      </c>
      <c r="K471" s="2">
        <v>2788</v>
      </c>
      <c r="L471" s="2" t="str">
        <f>IF(premier_player_23_24[[#This Row],[Minutes]]&gt;1000,"More than 1000 minutes","Less than 1000 minutes")</f>
        <v>More than 1000 minutes</v>
      </c>
      <c r="M471" s="2">
        <v>31</v>
      </c>
      <c r="N471" s="3">
        <v>3</v>
      </c>
      <c r="O471" s="3">
        <v>0</v>
      </c>
      <c r="P471" s="3">
        <v>3</v>
      </c>
      <c r="Q471" s="3">
        <v>3</v>
      </c>
      <c r="R471" s="3">
        <v>0</v>
      </c>
      <c r="S471" s="3">
        <v>0</v>
      </c>
      <c r="T471" s="2">
        <v>9</v>
      </c>
      <c r="U471" s="2">
        <v>0</v>
      </c>
      <c r="V471" s="2">
        <v>2.2999999999999998</v>
      </c>
      <c r="W471" s="2">
        <f>premier_player_23_24[[#This Row],[Goals]]-premier_player_23_24[[#This Row],[Expected Goals ]]</f>
        <v>0.70000000000000018</v>
      </c>
      <c r="X471" s="2">
        <v>2.2999999999999998</v>
      </c>
      <c r="Y471" s="2">
        <v>1</v>
      </c>
      <c r="Z471" s="2">
        <v>3.3</v>
      </c>
      <c r="AA471" s="3">
        <v>38</v>
      </c>
      <c r="AB471" s="3">
        <v>60</v>
      </c>
      <c r="AC471" s="3">
        <v>92</v>
      </c>
      <c r="AD471" s="1">
        <v>0.1</v>
      </c>
      <c r="AE471" s="1">
        <v>0</v>
      </c>
      <c r="AF471" s="1">
        <v>0.1</v>
      </c>
      <c r="AG471" s="1">
        <v>0.1</v>
      </c>
      <c r="AH471" s="1">
        <v>0.1</v>
      </c>
      <c r="AI471" s="1">
        <v>7.0000000000000007E-2</v>
      </c>
      <c r="AJ471" s="1">
        <v>0.03</v>
      </c>
      <c r="AK471" s="1">
        <v>0.11</v>
      </c>
      <c r="AL471" s="1">
        <v>7.0000000000000007E-2</v>
      </c>
      <c r="AM471" s="1">
        <v>0.11</v>
      </c>
      <c r="AN471" t="s">
        <v>1658</v>
      </c>
    </row>
    <row r="472" spans="1:40" x14ac:dyDescent="0.25">
      <c r="A472" t="s">
        <v>1680</v>
      </c>
      <c r="B472" t="s">
        <v>422</v>
      </c>
      <c r="C472" s="4" t="s">
        <v>1844</v>
      </c>
      <c r="D472" t="s">
        <v>1845</v>
      </c>
      <c r="E472" t="s">
        <v>108</v>
      </c>
      <c r="F472" t="str">
        <f>LEFT(premier_player_23_24[[#This Row],[Position]],2)</f>
        <v>DF</v>
      </c>
      <c r="G472" s="3">
        <v>30</v>
      </c>
      <c r="H47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72" s="3">
        <v>13</v>
      </c>
      <c r="J472" s="3">
        <v>11</v>
      </c>
      <c r="K472" s="2">
        <v>969</v>
      </c>
      <c r="L472" s="2" t="str">
        <f>IF(premier_player_23_24[[#This Row],[Minutes]]&gt;1000,"More than 1000 minutes","Less than 1000 minutes")</f>
        <v>Less than 1000 minutes</v>
      </c>
      <c r="M472" s="2">
        <v>10.8</v>
      </c>
      <c r="N472" s="3">
        <v>0</v>
      </c>
      <c r="O472" s="3">
        <v>1</v>
      </c>
      <c r="P472" s="3">
        <v>1</v>
      </c>
      <c r="Q472" s="3">
        <v>0</v>
      </c>
      <c r="R472" s="3">
        <v>0</v>
      </c>
      <c r="S472" s="3">
        <v>0</v>
      </c>
      <c r="T472" s="2">
        <v>4</v>
      </c>
      <c r="U472" s="2">
        <v>0</v>
      </c>
      <c r="V472" s="2">
        <v>0</v>
      </c>
      <c r="W472" s="2">
        <f>premier_player_23_24[[#This Row],[Goals]]-premier_player_23_24[[#This Row],[Expected Goals ]]</f>
        <v>0</v>
      </c>
      <c r="X472" s="2">
        <v>0</v>
      </c>
      <c r="Y472" s="2">
        <v>0.8</v>
      </c>
      <c r="Z472" s="2">
        <v>0.8</v>
      </c>
      <c r="AA472" s="3">
        <v>9</v>
      </c>
      <c r="AB472" s="3">
        <v>31</v>
      </c>
      <c r="AC472" s="3">
        <v>24</v>
      </c>
      <c r="AD472" s="1">
        <v>0</v>
      </c>
      <c r="AE472" s="1">
        <v>0.09</v>
      </c>
      <c r="AF472" s="1">
        <v>0.09</v>
      </c>
      <c r="AG472" s="1">
        <v>0</v>
      </c>
      <c r="AH472" s="1">
        <v>0.09</v>
      </c>
      <c r="AI472" s="1">
        <v>0</v>
      </c>
      <c r="AJ472" s="1">
        <v>7.0000000000000007E-2</v>
      </c>
      <c r="AK472" s="1">
        <v>0.08</v>
      </c>
      <c r="AL472" s="1">
        <v>0</v>
      </c>
      <c r="AM472" s="1">
        <v>0.08</v>
      </c>
      <c r="AN472" t="s">
        <v>1658</v>
      </c>
    </row>
    <row r="473" spans="1:40" x14ac:dyDescent="0.25">
      <c r="A473" t="s">
        <v>1666</v>
      </c>
      <c r="B473" t="s">
        <v>1667</v>
      </c>
      <c r="C473" s="4" t="s">
        <v>1860</v>
      </c>
      <c r="D473" t="s">
        <v>1861</v>
      </c>
      <c r="E473" t="s">
        <v>108</v>
      </c>
      <c r="F473" t="str">
        <f>LEFT(premier_player_23_24[[#This Row],[Position]],2)</f>
        <v>DF</v>
      </c>
      <c r="G473" s="3">
        <v>24</v>
      </c>
      <c r="H47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73" s="3">
        <v>31</v>
      </c>
      <c r="J473" s="3">
        <v>29</v>
      </c>
      <c r="K473" s="2">
        <v>2649</v>
      </c>
      <c r="L473" s="2" t="str">
        <f>IF(premier_player_23_24[[#This Row],[Minutes]]&gt;1000,"More than 1000 minutes","Less than 1000 minutes")</f>
        <v>More than 1000 minutes</v>
      </c>
      <c r="M473" s="2">
        <v>29.4</v>
      </c>
      <c r="N473" s="3">
        <v>2</v>
      </c>
      <c r="O473" s="3">
        <v>0</v>
      </c>
      <c r="P473" s="3">
        <v>2</v>
      </c>
      <c r="Q473" s="3">
        <v>2</v>
      </c>
      <c r="R473" s="3">
        <v>0</v>
      </c>
      <c r="S473" s="3">
        <v>0</v>
      </c>
      <c r="T473" s="2">
        <v>11</v>
      </c>
      <c r="U473" s="2">
        <v>1</v>
      </c>
      <c r="V473" s="2">
        <v>3.1</v>
      </c>
      <c r="W473" s="2">
        <f>premier_player_23_24[[#This Row],[Goals]]-premier_player_23_24[[#This Row],[Expected Goals ]]</f>
        <v>-1.1000000000000001</v>
      </c>
      <c r="X473" s="2">
        <v>3.1</v>
      </c>
      <c r="Y473" s="2">
        <v>0.8</v>
      </c>
      <c r="Z473" s="2">
        <v>4</v>
      </c>
      <c r="AA473" s="3">
        <v>15</v>
      </c>
      <c r="AB473" s="3">
        <v>43</v>
      </c>
      <c r="AC473" s="3">
        <v>21</v>
      </c>
      <c r="AD473" s="1">
        <v>7.0000000000000007E-2</v>
      </c>
      <c r="AE473" s="1">
        <v>0</v>
      </c>
      <c r="AF473" s="1">
        <v>7.0000000000000007E-2</v>
      </c>
      <c r="AG473" s="1">
        <v>7.0000000000000007E-2</v>
      </c>
      <c r="AH473" s="1">
        <v>7.0000000000000007E-2</v>
      </c>
      <c r="AI473" s="1">
        <v>0.11</v>
      </c>
      <c r="AJ473" s="1">
        <v>0.03</v>
      </c>
      <c r="AK473" s="1">
        <v>0.14000000000000001</v>
      </c>
      <c r="AL473" s="1">
        <v>0.11</v>
      </c>
      <c r="AM473" s="1">
        <v>0.14000000000000001</v>
      </c>
      <c r="AN473" t="s">
        <v>1658</v>
      </c>
    </row>
    <row r="474" spans="1:40" x14ac:dyDescent="0.25">
      <c r="A474" t="s">
        <v>1661</v>
      </c>
      <c r="B474" t="s">
        <v>57</v>
      </c>
      <c r="C474" s="4" t="s">
        <v>1744</v>
      </c>
      <c r="D474" t="s">
        <v>1745</v>
      </c>
      <c r="E474" t="s">
        <v>108</v>
      </c>
      <c r="F474" t="str">
        <f>LEFT(premier_player_23_24[[#This Row],[Position]],2)</f>
        <v>DF</v>
      </c>
      <c r="G474" s="3">
        <v>29</v>
      </c>
      <c r="H47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74" s="3">
        <v>34</v>
      </c>
      <c r="J474" s="3">
        <v>31</v>
      </c>
      <c r="K474" s="2">
        <v>2885</v>
      </c>
      <c r="L474" s="2" t="str">
        <f>IF(premier_player_23_24[[#This Row],[Minutes]]&gt;1000,"More than 1000 minutes","Less than 1000 minutes")</f>
        <v>More than 1000 minutes</v>
      </c>
      <c r="M474" s="2">
        <v>32.1</v>
      </c>
      <c r="N474" s="3">
        <v>1</v>
      </c>
      <c r="O474" s="3">
        <v>1</v>
      </c>
      <c r="P474" s="3">
        <v>2</v>
      </c>
      <c r="Q474" s="3">
        <v>1</v>
      </c>
      <c r="R474" s="3">
        <v>0</v>
      </c>
      <c r="S474" s="3">
        <v>0</v>
      </c>
      <c r="T474" s="2">
        <v>10</v>
      </c>
      <c r="U474" s="2">
        <v>0</v>
      </c>
      <c r="V474" s="2">
        <v>1.2</v>
      </c>
      <c r="W474" s="2">
        <f>premier_player_23_24[[#This Row],[Goals]]-premier_player_23_24[[#This Row],[Expected Goals ]]</f>
        <v>-0.19999999999999996</v>
      </c>
      <c r="X474" s="2">
        <v>1.2</v>
      </c>
      <c r="Y474" s="2">
        <v>1.2</v>
      </c>
      <c r="Z474" s="2">
        <v>2.4</v>
      </c>
      <c r="AA474" s="3">
        <v>8</v>
      </c>
      <c r="AB474" s="3">
        <v>63</v>
      </c>
      <c r="AC474" s="3">
        <v>14</v>
      </c>
      <c r="AD474" s="1">
        <v>0.03</v>
      </c>
      <c r="AE474" s="1">
        <v>0.03</v>
      </c>
      <c r="AF474" s="1">
        <v>0.06</v>
      </c>
      <c r="AG474" s="1">
        <v>0.03</v>
      </c>
      <c r="AH474" s="1">
        <v>0.06</v>
      </c>
      <c r="AI474" s="1">
        <v>0.04</v>
      </c>
      <c r="AJ474" s="1">
        <v>0.04</v>
      </c>
      <c r="AK474" s="1">
        <v>0.08</v>
      </c>
      <c r="AL474" s="1">
        <v>0.04</v>
      </c>
      <c r="AM474" s="1">
        <v>0.08</v>
      </c>
      <c r="AN474" t="s">
        <v>1658</v>
      </c>
    </row>
    <row r="475" spans="1:40" x14ac:dyDescent="0.25">
      <c r="A475" t="s">
        <v>1672</v>
      </c>
      <c r="B475" t="s">
        <v>414</v>
      </c>
      <c r="C475" s="4" t="s">
        <v>1842</v>
      </c>
      <c r="D475" t="s">
        <v>1843</v>
      </c>
      <c r="E475" t="s">
        <v>36</v>
      </c>
      <c r="F475" t="str">
        <f>LEFT(premier_player_23_24[[#This Row],[Position]],2)</f>
        <v>MF</v>
      </c>
      <c r="G475" s="3">
        <v>32</v>
      </c>
      <c r="H47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75" s="3">
        <v>27</v>
      </c>
      <c r="J475" s="3">
        <v>16</v>
      </c>
      <c r="K475" s="2">
        <v>1440</v>
      </c>
      <c r="L475" s="2" t="str">
        <f>IF(premier_player_23_24[[#This Row],[Minutes]]&gt;1000,"More than 1000 minutes","Less than 1000 minutes")</f>
        <v>More than 1000 minutes</v>
      </c>
      <c r="M475" s="2">
        <v>16</v>
      </c>
      <c r="N475" s="3">
        <v>1</v>
      </c>
      <c r="O475" s="3">
        <v>0</v>
      </c>
      <c r="P475" s="3">
        <v>1</v>
      </c>
      <c r="Q475" s="3">
        <v>0</v>
      </c>
      <c r="R475" s="3">
        <v>1</v>
      </c>
      <c r="S475" s="3">
        <v>1</v>
      </c>
      <c r="T475" s="2">
        <v>8</v>
      </c>
      <c r="U475" s="2">
        <v>0</v>
      </c>
      <c r="V475" s="2">
        <v>1.1000000000000001</v>
      </c>
      <c r="W475" s="2">
        <f>premier_player_23_24[[#This Row],[Goals]]-premier_player_23_24[[#This Row],[Expected Goals ]]</f>
        <v>-0.10000000000000009</v>
      </c>
      <c r="X475" s="2">
        <v>0.3</v>
      </c>
      <c r="Y475" s="2">
        <v>0.6</v>
      </c>
      <c r="Z475" s="2">
        <v>0.9</v>
      </c>
      <c r="AA475" s="3">
        <v>3</v>
      </c>
      <c r="AB475" s="3">
        <v>73</v>
      </c>
      <c r="AC475" s="3">
        <v>10</v>
      </c>
      <c r="AD475" s="1">
        <v>0.06</v>
      </c>
      <c r="AE475" s="1">
        <v>0</v>
      </c>
      <c r="AF475" s="1">
        <v>0.06</v>
      </c>
      <c r="AG475" s="1">
        <v>0</v>
      </c>
      <c r="AH475" s="1">
        <v>0</v>
      </c>
      <c r="AI475" s="1">
        <v>7.0000000000000007E-2</v>
      </c>
      <c r="AJ475" s="1">
        <v>0.04</v>
      </c>
      <c r="AK475" s="1">
        <v>0.11</v>
      </c>
      <c r="AL475" s="1">
        <v>0.02</v>
      </c>
      <c r="AM475" s="1">
        <v>0.06</v>
      </c>
      <c r="AN475" t="s">
        <v>1658</v>
      </c>
    </row>
    <row r="476" spans="1:40" x14ac:dyDescent="0.25">
      <c r="A476" t="s">
        <v>1663</v>
      </c>
      <c r="B476" t="s">
        <v>76</v>
      </c>
      <c r="C476" s="4" t="s">
        <v>1750</v>
      </c>
      <c r="D476" t="s">
        <v>1751</v>
      </c>
      <c r="E476" t="s">
        <v>36</v>
      </c>
      <c r="F476" t="str">
        <f>LEFT(premier_player_23_24[[#This Row],[Position]],2)</f>
        <v>MF</v>
      </c>
      <c r="G476" s="3">
        <v>24</v>
      </c>
      <c r="H47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76" s="3">
        <v>36</v>
      </c>
      <c r="J476" s="3">
        <v>29</v>
      </c>
      <c r="K476" s="2">
        <v>2668</v>
      </c>
      <c r="L476" s="2" t="str">
        <f>IF(premier_player_23_24[[#This Row],[Minutes]]&gt;1000,"More than 1000 minutes","Less than 1000 minutes")</f>
        <v>More than 1000 minutes</v>
      </c>
      <c r="M476" s="2">
        <v>29.6</v>
      </c>
      <c r="N476" s="3">
        <v>1</v>
      </c>
      <c r="O476" s="3">
        <v>0</v>
      </c>
      <c r="P476" s="3">
        <v>1</v>
      </c>
      <c r="Q476" s="3">
        <v>1</v>
      </c>
      <c r="R476" s="3">
        <v>0</v>
      </c>
      <c r="S476" s="3">
        <v>0</v>
      </c>
      <c r="T476" s="2">
        <v>3</v>
      </c>
      <c r="U476" s="2">
        <v>0</v>
      </c>
      <c r="V476" s="2">
        <v>0.6</v>
      </c>
      <c r="W476" s="2">
        <f>premier_player_23_24[[#This Row],[Goals]]-premier_player_23_24[[#This Row],[Expected Goals ]]</f>
        <v>0.4</v>
      </c>
      <c r="X476" s="2">
        <v>0.6</v>
      </c>
      <c r="Y476" s="2">
        <v>0.2</v>
      </c>
      <c r="Z476" s="2">
        <v>0.8</v>
      </c>
      <c r="AA476" s="3">
        <v>7</v>
      </c>
      <c r="AB476" s="3">
        <v>66</v>
      </c>
      <c r="AC476" s="3">
        <v>21</v>
      </c>
      <c r="AD476" s="1">
        <v>0.03</v>
      </c>
      <c r="AE476" s="1">
        <v>0</v>
      </c>
      <c r="AF476" s="1">
        <v>0.03</v>
      </c>
      <c r="AG476" s="1">
        <v>0.03</v>
      </c>
      <c r="AH476" s="1">
        <v>0.03</v>
      </c>
      <c r="AI476" s="1">
        <v>0.02</v>
      </c>
      <c r="AJ476" s="1">
        <v>0.01</v>
      </c>
      <c r="AK476" s="1">
        <v>0.03</v>
      </c>
      <c r="AL476" s="1">
        <v>0.02</v>
      </c>
      <c r="AM476" s="1">
        <v>0.03</v>
      </c>
      <c r="AN476" t="s">
        <v>1658</v>
      </c>
    </row>
    <row r="477" spans="1:40" x14ac:dyDescent="0.25">
      <c r="A477" t="s">
        <v>1668</v>
      </c>
      <c r="B477" t="s">
        <v>57</v>
      </c>
      <c r="C477" s="4" t="s">
        <v>1744</v>
      </c>
      <c r="D477" t="s">
        <v>1745</v>
      </c>
      <c r="E477" t="s">
        <v>77</v>
      </c>
      <c r="F477" t="str">
        <f>LEFT(premier_player_23_24[[#This Row],[Position]],2)</f>
        <v>GK</v>
      </c>
      <c r="G477" s="3">
        <v>32</v>
      </c>
      <c r="H47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77" s="3">
        <v>30</v>
      </c>
      <c r="J477" s="3">
        <v>29</v>
      </c>
      <c r="K477" s="2">
        <v>2649</v>
      </c>
      <c r="L477" s="2" t="str">
        <f>IF(premier_player_23_24[[#This Row],[Minutes]]&gt;1000,"More than 1000 minutes","Less than 1000 minutes")</f>
        <v>More than 1000 minutes</v>
      </c>
      <c r="M477" s="2">
        <v>29.4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2">
        <v>2</v>
      </c>
      <c r="U477" s="2">
        <v>0</v>
      </c>
      <c r="V477" s="2">
        <v>0</v>
      </c>
      <c r="W477" s="2">
        <f>premier_player_23_24[[#This Row],[Goals]]-premier_player_23_24[[#This Row],[Expected Goals ]]</f>
        <v>0</v>
      </c>
      <c r="X477" s="2">
        <v>0</v>
      </c>
      <c r="Y477" s="2">
        <v>0.1</v>
      </c>
      <c r="Z477" s="2">
        <v>0.1</v>
      </c>
      <c r="AA477" s="3">
        <v>0</v>
      </c>
      <c r="AB477" s="3">
        <v>0</v>
      </c>
      <c r="AC477" s="3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v>0</v>
      </c>
      <c r="AL477" s="1">
        <v>0</v>
      </c>
      <c r="AM477" s="1">
        <v>0</v>
      </c>
      <c r="AN477" t="s">
        <v>1658</v>
      </c>
    </row>
    <row r="478" spans="1:40" x14ac:dyDescent="0.25">
      <c r="A478" t="s">
        <v>1669</v>
      </c>
      <c r="B478" t="s">
        <v>1073</v>
      </c>
      <c r="C478" s="4" t="s">
        <v>1796</v>
      </c>
      <c r="D478" t="s">
        <v>1797</v>
      </c>
      <c r="E478" t="s">
        <v>108</v>
      </c>
      <c r="F478" t="str">
        <f>LEFT(premier_player_23_24[[#This Row],[Position]],2)</f>
        <v>DF</v>
      </c>
      <c r="G478" s="3">
        <v>24</v>
      </c>
      <c r="H47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78" s="3">
        <v>32</v>
      </c>
      <c r="J478" s="3">
        <v>28</v>
      </c>
      <c r="K478" s="2">
        <v>2572</v>
      </c>
      <c r="L478" s="2" t="str">
        <f>IF(premier_player_23_24[[#This Row],[Minutes]]&gt;1000,"More than 1000 minutes","Less than 1000 minutes")</f>
        <v>More than 1000 minutes</v>
      </c>
      <c r="M478" s="2">
        <v>28.6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2">
        <v>4</v>
      </c>
      <c r="U478" s="2">
        <v>0</v>
      </c>
      <c r="V478" s="2">
        <v>0.4</v>
      </c>
      <c r="W478" s="2">
        <f>premier_player_23_24[[#This Row],[Goals]]-premier_player_23_24[[#This Row],[Expected Goals ]]</f>
        <v>-0.4</v>
      </c>
      <c r="X478" s="2">
        <v>0.4</v>
      </c>
      <c r="Y478" s="2">
        <v>1.1000000000000001</v>
      </c>
      <c r="Z478" s="2">
        <v>1.5</v>
      </c>
      <c r="AA478" s="3">
        <v>10</v>
      </c>
      <c r="AB478" s="3">
        <v>40</v>
      </c>
      <c r="AC478" s="3">
        <v>15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0.01</v>
      </c>
      <c r="AJ478" s="1">
        <v>0.04</v>
      </c>
      <c r="AK478" s="1">
        <v>0.05</v>
      </c>
      <c r="AL478" s="1">
        <v>0.01</v>
      </c>
      <c r="AM478" s="1">
        <v>0.05</v>
      </c>
      <c r="AN478" t="s">
        <v>1658</v>
      </c>
    </row>
    <row r="479" spans="1:40" x14ac:dyDescent="0.25">
      <c r="A479" t="s">
        <v>1679</v>
      </c>
      <c r="B479" t="s">
        <v>57</v>
      </c>
      <c r="C479" s="4" t="s">
        <v>1744</v>
      </c>
      <c r="D479" t="s">
        <v>1745</v>
      </c>
      <c r="E479" t="s">
        <v>524</v>
      </c>
      <c r="F479" t="str">
        <f>LEFT(premier_player_23_24[[#This Row],[Position]],2)</f>
        <v>MF</v>
      </c>
      <c r="G479" s="3">
        <v>19</v>
      </c>
      <c r="H47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79" s="3">
        <v>20</v>
      </c>
      <c r="J479" s="3">
        <v>12</v>
      </c>
      <c r="K479" s="2">
        <v>938</v>
      </c>
      <c r="L479" s="2" t="str">
        <f>IF(premier_player_23_24[[#This Row],[Minutes]]&gt;1000,"More than 1000 minutes","Less than 1000 minutes")</f>
        <v>Less than 1000 minutes</v>
      </c>
      <c r="M479" s="2">
        <v>10.4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2">
        <v>1</v>
      </c>
      <c r="U479" s="2">
        <v>0</v>
      </c>
      <c r="V479" s="2">
        <v>0.4</v>
      </c>
      <c r="W479" s="2">
        <f>premier_player_23_24[[#This Row],[Goals]]-premier_player_23_24[[#This Row],[Expected Goals ]]</f>
        <v>-0.4</v>
      </c>
      <c r="X479" s="2">
        <v>0.4</v>
      </c>
      <c r="Y479" s="2">
        <v>0.1</v>
      </c>
      <c r="Z479" s="2">
        <v>0.5</v>
      </c>
      <c r="AA479" s="3">
        <v>12</v>
      </c>
      <c r="AB479" s="3">
        <v>18</v>
      </c>
      <c r="AC479" s="3">
        <v>22</v>
      </c>
      <c r="AD479" s="1">
        <v>0</v>
      </c>
      <c r="AE479" s="1">
        <v>0</v>
      </c>
      <c r="AF479" s="1">
        <v>0</v>
      </c>
      <c r="AG479" s="1">
        <v>0</v>
      </c>
      <c r="AH479" s="1">
        <v>0</v>
      </c>
      <c r="AI479" s="1">
        <v>0.04</v>
      </c>
      <c r="AJ479" s="1">
        <v>0.01</v>
      </c>
      <c r="AK479" s="1">
        <v>0.05</v>
      </c>
      <c r="AL479" s="1">
        <v>0.04</v>
      </c>
      <c r="AM479" s="1">
        <v>0.05</v>
      </c>
      <c r="AN479" t="s">
        <v>1658</v>
      </c>
    </row>
    <row r="480" spans="1:40" x14ac:dyDescent="0.25">
      <c r="A480" t="s">
        <v>1682</v>
      </c>
      <c r="B480" t="s">
        <v>57</v>
      </c>
      <c r="C480" s="4" t="s">
        <v>1744</v>
      </c>
      <c r="D480" t="s">
        <v>1745</v>
      </c>
      <c r="E480" t="s">
        <v>36</v>
      </c>
      <c r="F480" t="str">
        <f>LEFT(premier_player_23_24[[#This Row],[Position]],2)</f>
        <v>MF</v>
      </c>
      <c r="G480" s="3">
        <v>19</v>
      </c>
      <c r="H48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80" s="3">
        <v>12</v>
      </c>
      <c r="J480" s="3">
        <v>11</v>
      </c>
      <c r="K480" s="2">
        <v>943</v>
      </c>
      <c r="L480" s="2" t="str">
        <f>IF(premier_player_23_24[[#This Row],[Minutes]]&gt;1000,"More than 1000 minutes","Less than 1000 minutes")</f>
        <v>Less than 1000 minutes</v>
      </c>
      <c r="M480" s="2">
        <v>10.5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2">
        <v>2</v>
      </c>
      <c r="U480" s="2">
        <v>0</v>
      </c>
      <c r="V480" s="2">
        <v>0</v>
      </c>
      <c r="W480" s="2">
        <f>premier_player_23_24[[#This Row],[Goals]]-premier_player_23_24[[#This Row],[Expected Goals ]]</f>
        <v>0</v>
      </c>
      <c r="X480" s="2">
        <v>0</v>
      </c>
      <c r="Y480" s="2">
        <v>0.7</v>
      </c>
      <c r="Z480" s="2">
        <v>0.8</v>
      </c>
      <c r="AA480" s="3">
        <v>13</v>
      </c>
      <c r="AB480" s="3">
        <v>43</v>
      </c>
      <c r="AC480" s="3">
        <v>4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7.0000000000000007E-2</v>
      </c>
      <c r="AK480" s="1">
        <v>7.0000000000000007E-2</v>
      </c>
      <c r="AL480" s="1">
        <v>0</v>
      </c>
      <c r="AM480" s="1">
        <v>7.0000000000000007E-2</v>
      </c>
      <c r="AN480" t="s">
        <v>1658</v>
      </c>
    </row>
    <row r="481" spans="1:40" x14ac:dyDescent="0.25">
      <c r="A481" t="s">
        <v>1684</v>
      </c>
      <c r="B481" t="s">
        <v>57</v>
      </c>
      <c r="C481" s="4" t="s">
        <v>1744</v>
      </c>
      <c r="D481" t="s">
        <v>1745</v>
      </c>
      <c r="E481" t="s">
        <v>108</v>
      </c>
      <c r="F481" t="str">
        <f>LEFT(premier_player_23_24[[#This Row],[Position]],2)</f>
        <v>DF</v>
      </c>
      <c r="G481" s="3">
        <v>22</v>
      </c>
      <c r="H48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81" s="3">
        <v>12</v>
      </c>
      <c r="J481" s="3">
        <v>11</v>
      </c>
      <c r="K481" s="2">
        <v>917</v>
      </c>
      <c r="L481" s="2" t="str">
        <f>IF(premier_player_23_24[[#This Row],[Minutes]]&gt;1000,"More than 1000 minutes","Less than 1000 minutes")</f>
        <v>Less than 1000 minutes</v>
      </c>
      <c r="M481" s="2">
        <v>10.199999999999999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2">
        <v>3</v>
      </c>
      <c r="U481" s="2">
        <v>0</v>
      </c>
      <c r="V481" s="2">
        <v>0.5</v>
      </c>
      <c r="W481" s="2">
        <f>premier_player_23_24[[#This Row],[Goals]]-premier_player_23_24[[#This Row],[Expected Goals ]]</f>
        <v>-0.5</v>
      </c>
      <c r="X481" s="2">
        <v>0.5</v>
      </c>
      <c r="Y481" s="2">
        <v>0.1</v>
      </c>
      <c r="Z481" s="2">
        <v>0.6</v>
      </c>
      <c r="AA481" s="3">
        <v>8</v>
      </c>
      <c r="AB481" s="3">
        <v>33</v>
      </c>
      <c r="AC481" s="3">
        <v>22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0.05</v>
      </c>
      <c r="AJ481" s="1">
        <v>0</v>
      </c>
      <c r="AK481" s="1">
        <v>0.06</v>
      </c>
      <c r="AL481" s="1">
        <v>0.05</v>
      </c>
      <c r="AM481" s="1">
        <v>0.06</v>
      </c>
      <c r="AN481" t="s">
        <v>1658</v>
      </c>
    </row>
    <row r="482" spans="1:40" x14ac:dyDescent="0.25">
      <c r="A482" t="s">
        <v>1686</v>
      </c>
      <c r="B482" t="s">
        <v>804</v>
      </c>
      <c r="C482" s="4" t="s">
        <v>1788</v>
      </c>
      <c r="D482" t="s">
        <v>1789</v>
      </c>
      <c r="E482" t="s">
        <v>137</v>
      </c>
      <c r="F482" t="str">
        <f>LEFT(premier_player_23_24[[#This Row],[Position]],2)</f>
        <v>FW</v>
      </c>
      <c r="G482" s="3">
        <v>19</v>
      </c>
      <c r="H48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82" s="3">
        <v>21</v>
      </c>
      <c r="J482" s="3">
        <v>9</v>
      </c>
      <c r="K482" s="2">
        <v>786</v>
      </c>
      <c r="L482" s="2" t="str">
        <f>IF(premier_player_23_24[[#This Row],[Minutes]]&gt;1000,"More than 1000 minutes","Less than 1000 minutes")</f>
        <v>Less than 1000 minutes</v>
      </c>
      <c r="M482" s="2">
        <v>8.6999999999999993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2">
        <v>4</v>
      </c>
      <c r="U482" s="2">
        <v>0</v>
      </c>
      <c r="V482" s="2">
        <v>1.6</v>
      </c>
      <c r="W482" s="2">
        <f>premier_player_23_24[[#This Row],[Goals]]-premier_player_23_24[[#This Row],[Expected Goals ]]</f>
        <v>-1.6</v>
      </c>
      <c r="X482" s="2">
        <v>1.6</v>
      </c>
      <c r="Y482" s="2">
        <v>0.1</v>
      </c>
      <c r="Z482" s="2">
        <v>1.7</v>
      </c>
      <c r="AA482" s="3">
        <v>7</v>
      </c>
      <c r="AB482" s="3">
        <v>2</v>
      </c>
      <c r="AC482" s="3">
        <v>41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0.19</v>
      </c>
      <c r="AJ482" s="1">
        <v>0.01</v>
      </c>
      <c r="AK482" s="1">
        <v>0.2</v>
      </c>
      <c r="AL482" s="1">
        <v>0.19</v>
      </c>
      <c r="AM482" s="1">
        <v>0.2</v>
      </c>
      <c r="AN482" t="s">
        <v>1658</v>
      </c>
    </row>
    <row r="483" spans="1:40" x14ac:dyDescent="0.25">
      <c r="A483" t="s">
        <v>1688</v>
      </c>
      <c r="B483" t="s">
        <v>184</v>
      </c>
      <c r="C483" s="4" t="s">
        <v>1848</v>
      </c>
      <c r="D483" t="s">
        <v>1849</v>
      </c>
      <c r="E483" t="s">
        <v>77</v>
      </c>
      <c r="F483" t="str">
        <f>LEFT(premier_player_23_24[[#This Row],[Position]],2)</f>
        <v>GK</v>
      </c>
      <c r="G483" s="3">
        <v>27</v>
      </c>
      <c r="H48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83" s="3">
        <v>9</v>
      </c>
      <c r="J483" s="3">
        <v>9</v>
      </c>
      <c r="K483" s="2">
        <v>771</v>
      </c>
      <c r="L483" s="2" t="str">
        <f>IF(premier_player_23_24[[#This Row],[Minutes]]&gt;1000,"More than 1000 minutes","Less than 1000 minutes")</f>
        <v>Less than 1000 minutes</v>
      </c>
      <c r="M483" s="2">
        <v>8.6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2">
        <v>1</v>
      </c>
      <c r="U483" s="2">
        <v>0</v>
      </c>
      <c r="V483" s="2">
        <v>0</v>
      </c>
      <c r="W483" s="2">
        <f>premier_player_23_24[[#This Row],[Goals]]-premier_player_23_24[[#This Row],[Expected Goals ]]</f>
        <v>0</v>
      </c>
      <c r="X483" s="2">
        <v>0</v>
      </c>
      <c r="Y483" s="2">
        <v>0</v>
      </c>
      <c r="Z483" s="2">
        <v>0</v>
      </c>
      <c r="AA483" s="3">
        <v>0</v>
      </c>
      <c r="AB483" s="3">
        <v>0</v>
      </c>
      <c r="AC483" s="3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v>0</v>
      </c>
      <c r="AL483" s="1">
        <v>0</v>
      </c>
      <c r="AM483" s="1">
        <v>0</v>
      </c>
      <c r="AN483" t="s">
        <v>1658</v>
      </c>
    </row>
    <row r="484" spans="1:40" x14ac:dyDescent="0.25">
      <c r="A484" t="s">
        <v>1690</v>
      </c>
      <c r="B484" t="s">
        <v>57</v>
      </c>
      <c r="C484" s="4" t="s">
        <v>1744</v>
      </c>
      <c r="D484" t="s">
        <v>1745</v>
      </c>
      <c r="E484" t="s">
        <v>108</v>
      </c>
      <c r="F484" t="str">
        <f>LEFT(premier_player_23_24[[#This Row],[Position]],2)</f>
        <v>DF</v>
      </c>
      <c r="G484" s="3">
        <v>26</v>
      </c>
      <c r="H48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84" s="3">
        <v>10</v>
      </c>
      <c r="J484" s="3">
        <v>9</v>
      </c>
      <c r="K484" s="2">
        <v>710</v>
      </c>
      <c r="L484" s="2" t="str">
        <f>IF(premier_player_23_24[[#This Row],[Minutes]]&gt;1000,"More than 1000 minutes","Less than 1000 minutes")</f>
        <v>Less than 1000 minutes</v>
      </c>
      <c r="M484" s="2">
        <v>7.9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2">
        <v>3</v>
      </c>
      <c r="U484" s="2">
        <v>1</v>
      </c>
      <c r="V484" s="2">
        <v>0.6</v>
      </c>
      <c r="W484" s="2">
        <f>premier_player_23_24[[#This Row],[Goals]]-premier_player_23_24[[#This Row],[Expected Goals ]]</f>
        <v>-0.6</v>
      </c>
      <c r="X484" s="2">
        <v>0.6</v>
      </c>
      <c r="Y484" s="2">
        <v>0.4</v>
      </c>
      <c r="Z484" s="2">
        <v>1.1000000000000001</v>
      </c>
      <c r="AA484" s="3">
        <v>0</v>
      </c>
      <c r="AB484" s="3">
        <v>13</v>
      </c>
      <c r="AC484" s="3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0</v>
      </c>
      <c r="AI484" s="1">
        <v>0.08</v>
      </c>
      <c r="AJ484" s="1">
        <v>0.05</v>
      </c>
      <c r="AK484" s="1">
        <v>0.13</v>
      </c>
      <c r="AL484" s="1">
        <v>0.08</v>
      </c>
      <c r="AM484" s="1">
        <v>0.13</v>
      </c>
      <c r="AN484" t="s">
        <v>1658</v>
      </c>
    </row>
    <row r="485" spans="1:40" x14ac:dyDescent="0.25">
      <c r="A485" t="s">
        <v>1692</v>
      </c>
      <c r="B485" t="s">
        <v>1032</v>
      </c>
      <c r="C485" s="4" t="s">
        <v>1862</v>
      </c>
      <c r="D485" t="s">
        <v>1863</v>
      </c>
      <c r="E485" t="s">
        <v>108</v>
      </c>
      <c r="F485" t="str">
        <f>LEFT(premier_player_23_24[[#This Row],[Position]],2)</f>
        <v>DF</v>
      </c>
      <c r="G485" s="3">
        <v>22</v>
      </c>
      <c r="H48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85" s="3">
        <v>11</v>
      </c>
      <c r="J485" s="3">
        <v>6</v>
      </c>
      <c r="K485" s="2">
        <v>531</v>
      </c>
      <c r="L485" s="2" t="str">
        <f>IF(premier_player_23_24[[#This Row],[Minutes]]&gt;1000,"More than 1000 minutes","Less than 1000 minutes")</f>
        <v>Less than 1000 minutes</v>
      </c>
      <c r="M485" s="2">
        <v>5.9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2">
        <v>1</v>
      </c>
      <c r="U485" s="2">
        <v>0</v>
      </c>
      <c r="V485" s="2">
        <v>0.2</v>
      </c>
      <c r="W485" s="2">
        <f>premier_player_23_24[[#This Row],[Goals]]-premier_player_23_24[[#This Row],[Expected Goals ]]</f>
        <v>-0.2</v>
      </c>
      <c r="X485" s="2">
        <v>0.2</v>
      </c>
      <c r="Y485" s="2">
        <v>0.3</v>
      </c>
      <c r="Z485" s="2">
        <v>0.5</v>
      </c>
      <c r="AA485" s="3">
        <v>18</v>
      </c>
      <c r="AB485" s="3">
        <v>14</v>
      </c>
      <c r="AC485" s="3">
        <v>12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0.04</v>
      </c>
      <c r="AJ485" s="1">
        <v>0.05</v>
      </c>
      <c r="AK485" s="1">
        <v>0.09</v>
      </c>
      <c r="AL485" s="1">
        <v>0.04</v>
      </c>
      <c r="AM485" s="1">
        <v>0.09</v>
      </c>
      <c r="AN485" t="s">
        <v>1658</v>
      </c>
    </row>
    <row r="486" spans="1:40" x14ac:dyDescent="0.25">
      <c r="A486" t="s">
        <v>1694</v>
      </c>
      <c r="B486" t="s">
        <v>411</v>
      </c>
      <c r="C486" s="4" t="s">
        <v>1792</v>
      </c>
      <c r="D486" t="s">
        <v>1793</v>
      </c>
      <c r="E486" t="s">
        <v>108</v>
      </c>
      <c r="F486" t="str">
        <f>LEFT(premier_player_23_24[[#This Row],[Position]],2)</f>
        <v>DF</v>
      </c>
      <c r="G486" s="3">
        <v>30</v>
      </c>
      <c r="H48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86" s="3">
        <v>6</v>
      </c>
      <c r="J486" s="3">
        <v>6</v>
      </c>
      <c r="K486" s="2">
        <v>482</v>
      </c>
      <c r="L486" s="2" t="str">
        <f>IF(premier_player_23_24[[#This Row],[Minutes]]&gt;1000,"More than 1000 minutes","Less than 1000 minutes")</f>
        <v>Less than 1000 minutes</v>
      </c>
      <c r="M486" s="2">
        <v>5.4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2">
        <v>2</v>
      </c>
      <c r="U486" s="2">
        <v>0</v>
      </c>
      <c r="V486" s="2">
        <v>0.2</v>
      </c>
      <c r="W486" s="2">
        <f>premier_player_23_24[[#This Row],[Goals]]-premier_player_23_24[[#This Row],[Expected Goals ]]</f>
        <v>-0.2</v>
      </c>
      <c r="X486" s="2">
        <v>0.2</v>
      </c>
      <c r="Y486" s="2">
        <v>0</v>
      </c>
      <c r="Z486" s="2">
        <v>0.2</v>
      </c>
      <c r="AA486" s="3">
        <v>0</v>
      </c>
      <c r="AB486" s="3">
        <v>5</v>
      </c>
      <c r="AC486" s="3">
        <v>1</v>
      </c>
      <c r="AD486" s="1">
        <v>0</v>
      </c>
      <c r="AE486" s="1">
        <v>0</v>
      </c>
      <c r="AF486" s="1">
        <v>0</v>
      </c>
      <c r="AG486" s="1">
        <v>0</v>
      </c>
      <c r="AH486" s="1">
        <v>0</v>
      </c>
      <c r="AI486" s="1">
        <v>0.03</v>
      </c>
      <c r="AJ486" s="1">
        <v>0</v>
      </c>
      <c r="AK486" s="1">
        <v>0.03</v>
      </c>
      <c r="AL486" s="1">
        <v>0.03</v>
      </c>
      <c r="AM486" s="1">
        <v>0.03</v>
      </c>
      <c r="AN486" t="s">
        <v>1658</v>
      </c>
    </row>
    <row r="487" spans="1:40" x14ac:dyDescent="0.25">
      <c r="A487" t="s">
        <v>1696</v>
      </c>
      <c r="B487" t="s">
        <v>57</v>
      </c>
      <c r="C487" s="4" t="s">
        <v>1744</v>
      </c>
      <c r="D487" t="s">
        <v>1745</v>
      </c>
      <c r="E487" t="s">
        <v>172</v>
      </c>
      <c r="F487" t="str">
        <f>LEFT(premier_player_23_24[[#This Row],[Position]],2)</f>
        <v>DF</v>
      </c>
      <c r="G487" s="3">
        <v>26</v>
      </c>
      <c r="H48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87" s="3">
        <v>10</v>
      </c>
      <c r="J487" s="3">
        <v>4</v>
      </c>
      <c r="K487" s="2">
        <v>503</v>
      </c>
      <c r="L487" s="2" t="str">
        <f>IF(premier_player_23_24[[#This Row],[Minutes]]&gt;1000,"More than 1000 minutes","Less than 1000 minutes")</f>
        <v>Less than 1000 minutes</v>
      </c>
      <c r="M487" s="2">
        <v>5.6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2">
        <v>1</v>
      </c>
      <c r="U487" s="2">
        <v>0</v>
      </c>
      <c r="V487" s="2">
        <v>0.6</v>
      </c>
      <c r="W487" s="2">
        <f>premier_player_23_24[[#This Row],[Goals]]-premier_player_23_24[[#This Row],[Expected Goals ]]</f>
        <v>-0.6</v>
      </c>
      <c r="X487" s="2">
        <v>0.6</v>
      </c>
      <c r="Y487" s="2">
        <v>0.7</v>
      </c>
      <c r="Z487" s="2">
        <v>1.3</v>
      </c>
      <c r="AA487" s="3">
        <v>5</v>
      </c>
      <c r="AB487" s="3">
        <v>12</v>
      </c>
      <c r="AC487" s="3">
        <v>11</v>
      </c>
      <c r="AD487" s="1">
        <v>0</v>
      </c>
      <c r="AE487" s="1">
        <v>0</v>
      </c>
      <c r="AF487" s="1">
        <v>0</v>
      </c>
      <c r="AG487" s="1">
        <v>0</v>
      </c>
      <c r="AH487" s="1">
        <v>0</v>
      </c>
      <c r="AI487" s="1">
        <v>0.1</v>
      </c>
      <c r="AJ487" s="1">
        <v>0.13</v>
      </c>
      <c r="AK487" s="1">
        <v>0.23</v>
      </c>
      <c r="AL487" s="1">
        <v>0.1</v>
      </c>
      <c r="AM487" s="1">
        <v>0.23</v>
      </c>
      <c r="AN487" t="s">
        <v>1658</v>
      </c>
    </row>
    <row r="488" spans="1:40" x14ac:dyDescent="0.25">
      <c r="A488" t="s">
        <v>1697</v>
      </c>
      <c r="B488" t="s">
        <v>897</v>
      </c>
      <c r="C488" s="4" t="s">
        <v>1850</v>
      </c>
      <c r="D488" t="s">
        <v>1851</v>
      </c>
      <c r="E488" t="s">
        <v>36</v>
      </c>
      <c r="F488" t="str">
        <f>LEFT(premier_player_23_24[[#This Row],[Position]],2)</f>
        <v>MF</v>
      </c>
      <c r="G488" s="3">
        <v>22</v>
      </c>
      <c r="H48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88" s="3">
        <v>15</v>
      </c>
      <c r="J488" s="3">
        <v>4</v>
      </c>
      <c r="K488" s="2">
        <v>419</v>
      </c>
      <c r="L488" s="2" t="str">
        <f>IF(premier_player_23_24[[#This Row],[Minutes]]&gt;1000,"More than 1000 minutes","Less than 1000 minutes")</f>
        <v>Less than 1000 minutes</v>
      </c>
      <c r="M488" s="2">
        <v>4.7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2">
        <v>2</v>
      </c>
      <c r="U488" s="2">
        <v>0</v>
      </c>
      <c r="V488" s="2">
        <v>0.8</v>
      </c>
      <c r="W488" s="2">
        <f>premier_player_23_24[[#This Row],[Goals]]-premier_player_23_24[[#This Row],[Expected Goals ]]</f>
        <v>-0.8</v>
      </c>
      <c r="X488" s="2">
        <v>0.8</v>
      </c>
      <c r="Y488" s="2">
        <v>0.3</v>
      </c>
      <c r="Z488" s="2">
        <v>1.1000000000000001</v>
      </c>
      <c r="AA488" s="3">
        <v>3</v>
      </c>
      <c r="AB488" s="3">
        <v>12</v>
      </c>
      <c r="AC488" s="3">
        <v>21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0.17</v>
      </c>
      <c r="AJ488" s="1">
        <v>0.06</v>
      </c>
      <c r="AK488" s="1">
        <v>0.23</v>
      </c>
      <c r="AL488" s="1">
        <v>0.17</v>
      </c>
      <c r="AM488" s="1">
        <v>0.23</v>
      </c>
      <c r="AN488" t="s">
        <v>1658</v>
      </c>
    </row>
    <row r="489" spans="1:40" x14ac:dyDescent="0.25">
      <c r="A489" t="s">
        <v>1698</v>
      </c>
      <c r="B489" t="s">
        <v>891</v>
      </c>
      <c r="C489" s="4" t="s">
        <v>1798</v>
      </c>
      <c r="D489" t="s">
        <v>1799</v>
      </c>
      <c r="E489" t="s">
        <v>58</v>
      </c>
      <c r="F489" t="str">
        <f>LEFT(premier_player_23_24[[#This Row],[Position]],2)</f>
        <v>FW</v>
      </c>
      <c r="G489" s="3">
        <v>20</v>
      </c>
      <c r="H48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89" s="3">
        <v>8</v>
      </c>
      <c r="J489" s="3">
        <v>3</v>
      </c>
      <c r="K489" s="2">
        <v>387</v>
      </c>
      <c r="L489" s="2" t="str">
        <f>IF(premier_player_23_24[[#This Row],[Minutes]]&gt;1000,"More than 1000 minutes","Less than 1000 minutes")</f>
        <v>Less than 1000 minutes</v>
      </c>
      <c r="M489" s="2">
        <v>4.3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2">
        <v>0</v>
      </c>
      <c r="U489" s="2">
        <v>0</v>
      </c>
      <c r="V489" s="2">
        <v>0.3</v>
      </c>
      <c r="W489" s="2">
        <f>premier_player_23_24[[#This Row],[Goals]]-premier_player_23_24[[#This Row],[Expected Goals ]]</f>
        <v>-0.3</v>
      </c>
      <c r="X489" s="2">
        <v>0.3</v>
      </c>
      <c r="Y489" s="2">
        <v>0.5</v>
      </c>
      <c r="Z489" s="2">
        <v>0.8</v>
      </c>
      <c r="AA489" s="3">
        <v>7</v>
      </c>
      <c r="AB489" s="3">
        <v>9</v>
      </c>
      <c r="AC489" s="3">
        <v>14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0.06</v>
      </c>
      <c r="AJ489" s="1">
        <v>0.13</v>
      </c>
      <c r="AK489" s="1">
        <v>0.19</v>
      </c>
      <c r="AL489" s="1">
        <v>0.06</v>
      </c>
      <c r="AM489" s="1">
        <v>0.19</v>
      </c>
      <c r="AN489" t="s">
        <v>1658</v>
      </c>
    </row>
    <row r="490" spans="1:40" x14ac:dyDescent="0.25">
      <c r="A490" t="s">
        <v>1700</v>
      </c>
      <c r="B490" t="s">
        <v>57</v>
      </c>
      <c r="C490" s="4" t="s">
        <v>1744</v>
      </c>
      <c r="D490" t="s">
        <v>1745</v>
      </c>
      <c r="E490" t="s">
        <v>58</v>
      </c>
      <c r="F490" t="str">
        <f>LEFT(premier_player_23_24[[#This Row],[Position]],2)</f>
        <v>FW</v>
      </c>
      <c r="G490" s="3">
        <v>23</v>
      </c>
      <c r="H49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490" s="3">
        <v>13</v>
      </c>
      <c r="J490" s="3">
        <v>3</v>
      </c>
      <c r="K490" s="2">
        <v>346</v>
      </c>
      <c r="L490" s="2" t="str">
        <f>IF(premier_player_23_24[[#This Row],[Minutes]]&gt;1000,"More than 1000 minutes","Less than 1000 minutes")</f>
        <v>Less than 1000 minutes</v>
      </c>
      <c r="M490" s="2">
        <v>3.8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2">
        <v>0</v>
      </c>
      <c r="U490" s="2">
        <v>1</v>
      </c>
      <c r="V490" s="2">
        <v>0.4</v>
      </c>
      <c r="W490" s="2">
        <f>premier_player_23_24[[#This Row],[Goals]]-premier_player_23_24[[#This Row],[Expected Goals ]]</f>
        <v>-0.4</v>
      </c>
      <c r="X490" s="2">
        <v>0.4</v>
      </c>
      <c r="Y490" s="2">
        <v>0.1</v>
      </c>
      <c r="Z490" s="2">
        <v>0.5</v>
      </c>
      <c r="AA490" s="3">
        <v>1</v>
      </c>
      <c r="AB490" s="3">
        <v>3</v>
      </c>
      <c r="AC490" s="3">
        <v>21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0.09</v>
      </c>
      <c r="AJ490" s="1">
        <v>0.03</v>
      </c>
      <c r="AK490" s="1">
        <v>0.12</v>
      </c>
      <c r="AL490" s="1">
        <v>0.09</v>
      </c>
      <c r="AM490" s="1">
        <v>0.12</v>
      </c>
      <c r="AN490" t="s">
        <v>1658</v>
      </c>
    </row>
    <row r="491" spans="1:40" x14ac:dyDescent="0.25">
      <c r="A491" t="s">
        <v>1702</v>
      </c>
      <c r="B491" t="s">
        <v>57</v>
      </c>
      <c r="C491" s="4" t="s">
        <v>1744</v>
      </c>
      <c r="D491" t="s">
        <v>1745</v>
      </c>
      <c r="E491" t="s">
        <v>172</v>
      </c>
      <c r="F491" t="str">
        <f>LEFT(premier_player_23_24[[#This Row],[Position]],2)</f>
        <v>DF</v>
      </c>
      <c r="G491" s="3">
        <v>35</v>
      </c>
      <c r="H49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Veterans</v>
      </c>
      <c r="I491" s="3">
        <v>8</v>
      </c>
      <c r="J491" s="3">
        <v>3</v>
      </c>
      <c r="K491" s="2">
        <v>321</v>
      </c>
      <c r="L491" s="2" t="str">
        <f>IF(premier_player_23_24[[#This Row],[Minutes]]&gt;1000,"More than 1000 minutes","Less than 1000 minutes")</f>
        <v>Less than 1000 minutes</v>
      </c>
      <c r="M491" s="2">
        <v>3.6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2">
        <v>1</v>
      </c>
      <c r="U491" s="2">
        <v>0</v>
      </c>
      <c r="V491" s="2">
        <v>0.1</v>
      </c>
      <c r="W491" s="2">
        <f>premier_player_23_24[[#This Row],[Goals]]-premier_player_23_24[[#This Row],[Expected Goals ]]</f>
        <v>-0.1</v>
      </c>
      <c r="X491" s="2">
        <v>0.1</v>
      </c>
      <c r="Y491" s="2">
        <v>0.3</v>
      </c>
      <c r="Z491" s="2">
        <v>0.4</v>
      </c>
      <c r="AA491" s="3">
        <v>1</v>
      </c>
      <c r="AB491" s="3">
        <v>7</v>
      </c>
      <c r="AC491" s="3">
        <v>6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0.04</v>
      </c>
      <c r="AJ491" s="1">
        <v>7.0000000000000007E-2</v>
      </c>
      <c r="AK491" s="1">
        <v>0.1</v>
      </c>
      <c r="AL491" s="1">
        <v>0.04</v>
      </c>
      <c r="AM491" s="1">
        <v>0.1</v>
      </c>
      <c r="AN491" t="s">
        <v>1658</v>
      </c>
    </row>
    <row r="492" spans="1:40" x14ac:dyDescent="0.25">
      <c r="A492" t="s">
        <v>1704</v>
      </c>
      <c r="B492" t="s">
        <v>57</v>
      </c>
      <c r="C492" s="4" t="s">
        <v>1744</v>
      </c>
      <c r="D492" t="s">
        <v>1745</v>
      </c>
      <c r="E492" t="s">
        <v>36</v>
      </c>
      <c r="F492" t="str">
        <f>LEFT(premier_player_23_24[[#This Row],[Position]],2)</f>
        <v>MF</v>
      </c>
      <c r="G492" s="3">
        <v>25</v>
      </c>
      <c r="H49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92" s="3">
        <v>9</v>
      </c>
      <c r="J492" s="3">
        <v>2</v>
      </c>
      <c r="K492" s="2">
        <v>221</v>
      </c>
      <c r="L492" s="2" t="str">
        <f>IF(premier_player_23_24[[#This Row],[Minutes]]&gt;1000,"More than 1000 minutes","Less than 1000 minutes")</f>
        <v>Less than 1000 minutes</v>
      </c>
      <c r="M492" s="2">
        <v>2.5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2">
        <v>2</v>
      </c>
      <c r="U492" s="2">
        <v>0</v>
      </c>
      <c r="V492" s="2">
        <v>0.4</v>
      </c>
      <c r="W492" s="2">
        <f>premier_player_23_24[[#This Row],[Goals]]-premier_player_23_24[[#This Row],[Expected Goals ]]</f>
        <v>-0.4</v>
      </c>
      <c r="X492" s="2">
        <v>0.4</v>
      </c>
      <c r="Y492" s="2">
        <v>0.1</v>
      </c>
      <c r="Z492" s="2">
        <v>0.4</v>
      </c>
      <c r="AA492" s="3">
        <v>3</v>
      </c>
      <c r="AB492" s="3">
        <v>8</v>
      </c>
      <c r="AC492" s="3">
        <v>3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0.14000000000000001</v>
      </c>
      <c r="AJ492" s="1">
        <v>0.03</v>
      </c>
      <c r="AK492" s="1">
        <v>0.17</v>
      </c>
      <c r="AL492" s="1">
        <v>0.14000000000000001</v>
      </c>
      <c r="AM492" s="1">
        <v>0.17</v>
      </c>
      <c r="AN492" t="s">
        <v>1658</v>
      </c>
    </row>
    <row r="493" spans="1:40" x14ac:dyDescent="0.25">
      <c r="A493" t="s">
        <v>1706</v>
      </c>
      <c r="B493" t="s">
        <v>432</v>
      </c>
      <c r="C493" s="4" t="s">
        <v>1786</v>
      </c>
      <c r="D493" t="s">
        <v>1787</v>
      </c>
      <c r="E493" t="s">
        <v>108</v>
      </c>
      <c r="F493" t="str">
        <f>LEFT(premier_player_23_24[[#This Row],[Position]],2)</f>
        <v>DF</v>
      </c>
      <c r="G493" s="3">
        <v>24</v>
      </c>
      <c r="H49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493" s="3">
        <v>5</v>
      </c>
      <c r="J493" s="3">
        <v>2</v>
      </c>
      <c r="K493" s="2">
        <v>110</v>
      </c>
      <c r="L493" s="2" t="str">
        <f>IF(premier_player_23_24[[#This Row],[Minutes]]&gt;1000,"More than 1000 minutes","Less than 1000 minutes")</f>
        <v>Less than 1000 minutes</v>
      </c>
      <c r="M493" s="2">
        <v>1.2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2">
        <v>1</v>
      </c>
      <c r="U493" s="2">
        <v>0</v>
      </c>
      <c r="V493" s="2">
        <v>0</v>
      </c>
      <c r="W493" s="2">
        <f>premier_player_23_24[[#This Row],[Goals]]-premier_player_23_24[[#This Row],[Expected Goals ]]</f>
        <v>0</v>
      </c>
      <c r="X493" s="2">
        <v>0</v>
      </c>
      <c r="Y493" s="2">
        <v>0</v>
      </c>
      <c r="Z493" s="2">
        <v>0</v>
      </c>
      <c r="AA493" s="3">
        <v>3</v>
      </c>
      <c r="AB493" s="3">
        <v>2</v>
      </c>
      <c r="AC493" s="3">
        <v>6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0.01</v>
      </c>
      <c r="AK493" s="1">
        <v>0.01</v>
      </c>
      <c r="AL493" s="1">
        <v>0</v>
      </c>
      <c r="AM493" s="1">
        <v>0.01</v>
      </c>
      <c r="AN493" t="s">
        <v>1658</v>
      </c>
    </row>
    <row r="494" spans="1:40" x14ac:dyDescent="0.25">
      <c r="A494" t="s">
        <v>1707</v>
      </c>
      <c r="B494" t="s">
        <v>360</v>
      </c>
      <c r="C494" s="4" t="s">
        <v>1776</v>
      </c>
      <c r="D494" t="s">
        <v>1777</v>
      </c>
      <c r="E494" t="s">
        <v>524</v>
      </c>
      <c r="F494" t="str">
        <f>LEFT(premier_player_23_24[[#This Row],[Position]],2)</f>
        <v>MF</v>
      </c>
      <c r="G494" s="3">
        <v>31</v>
      </c>
      <c r="H49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494" s="3">
        <v>4</v>
      </c>
      <c r="J494" s="3">
        <v>1</v>
      </c>
      <c r="K494" s="2">
        <v>92</v>
      </c>
      <c r="L494" s="2" t="str">
        <f>IF(premier_player_23_24[[#This Row],[Minutes]]&gt;1000,"More than 1000 minutes","Less than 1000 minutes")</f>
        <v>Less than 1000 minutes</v>
      </c>
      <c r="M494" s="2">
        <v>1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2">
        <v>1</v>
      </c>
      <c r="U494" s="2">
        <v>0</v>
      </c>
      <c r="V494" s="2">
        <v>0</v>
      </c>
      <c r="W494" s="2">
        <f>premier_player_23_24[[#This Row],[Goals]]-premier_player_23_24[[#This Row],[Expected Goals ]]</f>
        <v>0</v>
      </c>
      <c r="X494" s="2">
        <v>0</v>
      </c>
      <c r="Y494" s="2">
        <v>0.4</v>
      </c>
      <c r="Z494" s="2">
        <v>0.4</v>
      </c>
      <c r="AA494" s="3">
        <v>2</v>
      </c>
      <c r="AB494" s="3">
        <v>3</v>
      </c>
      <c r="AC494" s="3">
        <v>0</v>
      </c>
      <c r="AD494" s="1">
        <v>0</v>
      </c>
      <c r="AE494" s="1">
        <v>0</v>
      </c>
      <c r="AF494" s="1">
        <v>0</v>
      </c>
      <c r="AG494" s="1">
        <v>0</v>
      </c>
      <c r="AH494" s="1">
        <v>0</v>
      </c>
      <c r="AI494" s="1">
        <v>0</v>
      </c>
      <c r="AJ494" s="1">
        <v>0.44</v>
      </c>
      <c r="AK494" s="1">
        <v>0.44</v>
      </c>
      <c r="AL494" s="1">
        <v>0</v>
      </c>
      <c r="AM494" s="1">
        <v>0.44</v>
      </c>
      <c r="AN494" t="s">
        <v>1658</v>
      </c>
    </row>
    <row r="495" spans="1:40" x14ac:dyDescent="0.25">
      <c r="A495" t="s">
        <v>1708</v>
      </c>
      <c r="B495" t="s">
        <v>411</v>
      </c>
      <c r="C495" s="4" t="s">
        <v>1792</v>
      </c>
      <c r="D495" t="s">
        <v>1793</v>
      </c>
      <c r="E495" t="s">
        <v>108</v>
      </c>
      <c r="F495" t="str">
        <f>LEFT(premier_player_23_24[[#This Row],[Position]],2)</f>
        <v>DF</v>
      </c>
      <c r="G495" s="3">
        <v>17</v>
      </c>
      <c r="H49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95" s="3">
        <v>1</v>
      </c>
      <c r="J495" s="3">
        <v>0</v>
      </c>
      <c r="K495" s="2">
        <v>28</v>
      </c>
      <c r="L495" s="2" t="str">
        <f>IF(premier_player_23_24[[#This Row],[Minutes]]&gt;1000,"More than 1000 minutes","Less than 1000 minutes")</f>
        <v>Less than 1000 minutes</v>
      </c>
      <c r="M495" s="2">
        <v>0.3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2">
        <v>0</v>
      </c>
      <c r="U495" s="2">
        <v>0</v>
      </c>
      <c r="V495" s="2">
        <v>0</v>
      </c>
      <c r="W495" s="2">
        <f>premier_player_23_24[[#This Row],[Goals]]-premier_player_23_24[[#This Row],[Expected Goals ]]</f>
        <v>0</v>
      </c>
      <c r="X495" s="2">
        <v>0</v>
      </c>
      <c r="Y495" s="2">
        <v>0</v>
      </c>
      <c r="Z495" s="2">
        <v>0</v>
      </c>
      <c r="AA495" s="3">
        <v>0</v>
      </c>
      <c r="AB495" s="3">
        <v>1</v>
      </c>
      <c r="AC495" s="3">
        <v>1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0</v>
      </c>
      <c r="AL495" s="1">
        <v>0</v>
      </c>
      <c r="AM495" s="1">
        <v>0</v>
      </c>
      <c r="AN495" t="s">
        <v>1658</v>
      </c>
    </row>
    <row r="496" spans="1:40" x14ac:dyDescent="0.25">
      <c r="A496" t="s">
        <v>1709</v>
      </c>
      <c r="B496" t="s">
        <v>57</v>
      </c>
      <c r="C496" s="4" t="s">
        <v>1744</v>
      </c>
      <c r="D496" t="s">
        <v>1745</v>
      </c>
      <c r="E496" t="s">
        <v>137</v>
      </c>
      <c r="F496" t="str">
        <f>LEFT(premier_player_23_24[[#This Row],[Position]],2)</f>
        <v>FW</v>
      </c>
      <c r="G496" s="3">
        <v>19</v>
      </c>
      <c r="H49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96" s="3">
        <v>1</v>
      </c>
      <c r="J496" s="3">
        <v>0</v>
      </c>
      <c r="K496" s="2">
        <v>21</v>
      </c>
      <c r="L496" s="2" t="str">
        <f>IF(premier_player_23_24[[#This Row],[Minutes]]&gt;1000,"More than 1000 minutes","Less than 1000 minutes")</f>
        <v>Less than 1000 minutes</v>
      </c>
      <c r="M496" s="2">
        <v>0.2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2">
        <v>0</v>
      </c>
      <c r="U496" s="2">
        <v>0</v>
      </c>
      <c r="V496" s="2">
        <v>0</v>
      </c>
      <c r="W496" s="2">
        <f>premier_player_23_24[[#This Row],[Goals]]-premier_player_23_24[[#This Row],[Expected Goals ]]</f>
        <v>0</v>
      </c>
      <c r="X496" s="2">
        <v>0</v>
      </c>
      <c r="Y496" s="2">
        <v>0</v>
      </c>
      <c r="Z496" s="2">
        <v>0</v>
      </c>
      <c r="AA496" s="3">
        <v>0</v>
      </c>
      <c r="AB496" s="3">
        <v>0</v>
      </c>
      <c r="AC496" s="3">
        <v>1</v>
      </c>
      <c r="AD496" s="1">
        <v>0</v>
      </c>
      <c r="AE496" s="1">
        <v>0</v>
      </c>
      <c r="AF496" s="1">
        <v>0</v>
      </c>
      <c r="AG496" s="1">
        <v>0</v>
      </c>
      <c r="AH496" s="1">
        <v>0</v>
      </c>
      <c r="AI496" s="1">
        <v>0</v>
      </c>
      <c r="AJ496" s="1">
        <v>0</v>
      </c>
      <c r="AK496" s="1">
        <v>0</v>
      </c>
      <c r="AL496" s="1">
        <v>0</v>
      </c>
      <c r="AM496" s="1">
        <v>0</v>
      </c>
      <c r="AN496" t="s">
        <v>1658</v>
      </c>
    </row>
    <row r="497" spans="1:40" x14ac:dyDescent="0.25">
      <c r="A497" t="s">
        <v>1710</v>
      </c>
      <c r="B497" t="s">
        <v>57</v>
      </c>
      <c r="C497" s="4" t="s">
        <v>1744</v>
      </c>
      <c r="D497" t="s">
        <v>1745</v>
      </c>
      <c r="E497" t="s">
        <v>137</v>
      </c>
      <c r="F497" t="str">
        <f>LEFT(premier_player_23_24[[#This Row],[Position]],2)</f>
        <v>FW</v>
      </c>
      <c r="G497" s="3">
        <v>19</v>
      </c>
      <c r="H49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97" s="3">
        <v>2</v>
      </c>
      <c r="J497" s="3">
        <v>0</v>
      </c>
      <c r="K497" s="2">
        <v>13</v>
      </c>
      <c r="L497" s="2" t="str">
        <f>IF(premier_player_23_24[[#This Row],[Minutes]]&gt;1000,"More than 1000 minutes","Less than 1000 minutes")</f>
        <v>Less than 1000 minutes</v>
      </c>
      <c r="M497" s="2">
        <v>0.1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2">
        <v>0</v>
      </c>
      <c r="U497" s="2">
        <v>0</v>
      </c>
      <c r="V497" s="2">
        <v>0</v>
      </c>
      <c r="W497" s="2">
        <f>premier_player_23_24[[#This Row],[Goals]]-premier_player_23_24[[#This Row],[Expected Goals ]]</f>
        <v>0</v>
      </c>
      <c r="X497" s="2">
        <v>0</v>
      </c>
      <c r="Y497" s="2">
        <v>0</v>
      </c>
      <c r="Z497" s="2">
        <v>0</v>
      </c>
      <c r="AA497" s="3">
        <v>0</v>
      </c>
      <c r="AB497" s="3">
        <v>0</v>
      </c>
      <c r="AC497" s="3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  <c r="AM497" s="1">
        <v>0</v>
      </c>
      <c r="AN497" t="s">
        <v>1658</v>
      </c>
    </row>
    <row r="498" spans="1:40" x14ac:dyDescent="0.25">
      <c r="A498" t="s">
        <v>1711</v>
      </c>
      <c r="B498" t="s">
        <v>57</v>
      </c>
      <c r="C498" s="4" t="s">
        <v>1744</v>
      </c>
      <c r="D498" t="s">
        <v>1745</v>
      </c>
      <c r="E498" t="s">
        <v>36</v>
      </c>
      <c r="F498" t="str">
        <f>LEFT(premier_player_23_24[[#This Row],[Position]],2)</f>
        <v>MF</v>
      </c>
      <c r="G498" s="3">
        <v>18</v>
      </c>
      <c r="H49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98" s="3">
        <v>1</v>
      </c>
      <c r="J498" s="3">
        <v>0</v>
      </c>
      <c r="K498" s="2">
        <v>10</v>
      </c>
      <c r="L498" s="2" t="str">
        <f>IF(premier_player_23_24[[#This Row],[Minutes]]&gt;1000,"More than 1000 minutes","Less than 1000 minutes")</f>
        <v>Less than 1000 minutes</v>
      </c>
      <c r="M498" s="2">
        <v>0.1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2">
        <v>0</v>
      </c>
      <c r="U498" s="2">
        <v>0</v>
      </c>
      <c r="V498" s="2">
        <v>0</v>
      </c>
      <c r="W498" s="2">
        <f>premier_player_23_24[[#This Row],[Goals]]-premier_player_23_24[[#This Row],[Expected Goals ]]</f>
        <v>0</v>
      </c>
      <c r="X498" s="2">
        <v>0</v>
      </c>
      <c r="Y498" s="2">
        <v>0</v>
      </c>
      <c r="Z498" s="2">
        <v>0</v>
      </c>
      <c r="AA498" s="3">
        <v>0</v>
      </c>
      <c r="AB498" s="3">
        <v>0</v>
      </c>
      <c r="AC498" s="3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  <c r="AM498" s="1">
        <v>0</v>
      </c>
      <c r="AN498" t="s">
        <v>1658</v>
      </c>
    </row>
    <row r="499" spans="1:40" x14ac:dyDescent="0.25">
      <c r="A499" t="s">
        <v>1712</v>
      </c>
      <c r="B499" t="s">
        <v>360</v>
      </c>
      <c r="C499" s="4" t="s">
        <v>1776</v>
      </c>
      <c r="D499" t="s">
        <v>1777</v>
      </c>
      <c r="E499" t="s">
        <v>137</v>
      </c>
      <c r="F499" t="str">
        <f>LEFT(premier_player_23_24[[#This Row],[Position]],2)</f>
        <v>FW</v>
      </c>
      <c r="G499" s="3">
        <v>17</v>
      </c>
      <c r="H49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499" s="3">
        <v>1</v>
      </c>
      <c r="J499" s="3">
        <v>0</v>
      </c>
      <c r="K499" s="2">
        <v>8</v>
      </c>
      <c r="L499" s="2" t="str">
        <f>IF(premier_player_23_24[[#This Row],[Minutes]]&gt;1000,"More than 1000 minutes","Less than 1000 minutes")</f>
        <v>Less than 1000 minutes</v>
      </c>
      <c r="M499" s="2">
        <v>0.1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2">
        <v>0</v>
      </c>
      <c r="U499" s="2">
        <v>0</v>
      </c>
      <c r="V499" s="2">
        <v>0</v>
      </c>
      <c r="W499" s="2">
        <f>premier_player_23_24[[#This Row],[Goals]]-premier_player_23_24[[#This Row],[Expected Goals ]]</f>
        <v>0</v>
      </c>
      <c r="X499" s="2">
        <v>0</v>
      </c>
      <c r="Y499" s="2">
        <v>0</v>
      </c>
      <c r="Z499" s="2">
        <v>0</v>
      </c>
      <c r="AA499" s="3">
        <v>1</v>
      </c>
      <c r="AB499" s="3">
        <v>0</v>
      </c>
      <c r="AC499" s="3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>
        <v>0</v>
      </c>
      <c r="AJ499" s="1">
        <v>0</v>
      </c>
      <c r="AK499" s="1">
        <v>0</v>
      </c>
      <c r="AL499" s="1">
        <v>0</v>
      </c>
      <c r="AM499" s="1">
        <v>0</v>
      </c>
      <c r="AN499" t="s">
        <v>1658</v>
      </c>
    </row>
    <row r="500" spans="1:40" x14ac:dyDescent="0.25">
      <c r="A500" t="s">
        <v>824</v>
      </c>
      <c r="B500" t="s">
        <v>85</v>
      </c>
      <c r="C500" s="4" t="s">
        <v>1778</v>
      </c>
      <c r="D500" t="s">
        <v>1779</v>
      </c>
      <c r="E500" t="s">
        <v>137</v>
      </c>
      <c r="F500" t="str">
        <f>LEFT(premier_player_23_24[[#This Row],[Position]],2)</f>
        <v>FW</v>
      </c>
      <c r="G500" s="3">
        <v>19</v>
      </c>
      <c r="H50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00" s="3">
        <v>8</v>
      </c>
      <c r="J500" s="3">
        <v>0</v>
      </c>
      <c r="K500" s="2">
        <v>50</v>
      </c>
      <c r="L500" s="2" t="str">
        <f>IF(premier_player_23_24[[#This Row],[Minutes]]&gt;1000,"More than 1000 minutes","Less than 1000 minutes")</f>
        <v>Less than 1000 minutes</v>
      </c>
      <c r="M500" s="2">
        <v>0.6</v>
      </c>
      <c r="N500" s="3">
        <v>1</v>
      </c>
      <c r="O500" s="3">
        <v>0</v>
      </c>
      <c r="P500" s="3">
        <v>1</v>
      </c>
      <c r="Q500" s="3">
        <v>1</v>
      </c>
      <c r="R500" s="3">
        <v>0</v>
      </c>
      <c r="S500" s="3">
        <v>0</v>
      </c>
      <c r="T500" s="2">
        <v>1</v>
      </c>
      <c r="U500" s="2">
        <v>0</v>
      </c>
      <c r="V500" s="2">
        <v>0.2</v>
      </c>
      <c r="W500" s="2">
        <f>premier_player_23_24[[#This Row],[Goals]]-premier_player_23_24[[#This Row],[Expected Goals ]]</f>
        <v>0.8</v>
      </c>
      <c r="X500" s="2">
        <v>0.2</v>
      </c>
      <c r="Y500" s="2">
        <v>0</v>
      </c>
      <c r="Z500" s="2">
        <v>0.2</v>
      </c>
      <c r="AA500" s="3">
        <v>0</v>
      </c>
      <c r="AB500" s="3">
        <v>1</v>
      </c>
      <c r="AC500" s="3">
        <v>3</v>
      </c>
      <c r="AD500" s="1">
        <v>1.8</v>
      </c>
      <c r="AE500" s="1">
        <v>0</v>
      </c>
      <c r="AF500" s="1">
        <v>1.8</v>
      </c>
      <c r="AG500" s="1">
        <v>1.8</v>
      </c>
      <c r="AH500" s="1">
        <v>1.8</v>
      </c>
      <c r="AI500" s="1">
        <v>0.45</v>
      </c>
      <c r="AJ500" s="1">
        <v>0</v>
      </c>
      <c r="AK500" s="1">
        <v>0.45</v>
      </c>
      <c r="AL500" s="1">
        <v>0.45</v>
      </c>
      <c r="AM500" s="1">
        <v>0.45</v>
      </c>
      <c r="AN500" t="s">
        <v>745</v>
      </c>
    </row>
    <row r="501" spans="1:40" x14ac:dyDescent="0.25">
      <c r="A501" t="s">
        <v>789</v>
      </c>
      <c r="B501" t="s">
        <v>76</v>
      </c>
      <c r="C501" s="4" t="s">
        <v>1750</v>
      </c>
      <c r="D501" t="s">
        <v>1751</v>
      </c>
      <c r="E501" t="s">
        <v>137</v>
      </c>
      <c r="F501" t="str">
        <f>LEFT(premier_player_23_24[[#This Row],[Position]],2)</f>
        <v>FW</v>
      </c>
      <c r="G501" s="3">
        <v>26</v>
      </c>
      <c r="H50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01" s="3">
        <v>28</v>
      </c>
      <c r="J501" s="3">
        <v>18</v>
      </c>
      <c r="K501" s="2">
        <v>1491</v>
      </c>
      <c r="L501" s="2" t="str">
        <f>IF(premier_player_23_24[[#This Row],[Minutes]]&gt;1000,"More than 1000 minutes","Less than 1000 minutes")</f>
        <v>More than 1000 minutes</v>
      </c>
      <c r="M501" s="2">
        <v>16.600000000000001</v>
      </c>
      <c r="N501" s="3">
        <v>11</v>
      </c>
      <c r="O501" s="3">
        <v>4</v>
      </c>
      <c r="P501" s="3">
        <v>15</v>
      </c>
      <c r="Q501" s="3">
        <v>11</v>
      </c>
      <c r="R501" s="3">
        <v>0</v>
      </c>
      <c r="S501" s="3">
        <v>0</v>
      </c>
      <c r="T501" s="2">
        <v>3</v>
      </c>
      <c r="U501" s="2">
        <v>0</v>
      </c>
      <c r="V501" s="2">
        <v>9.6</v>
      </c>
      <c r="W501" s="2">
        <f>premier_player_23_24[[#This Row],[Goals]]-premier_player_23_24[[#This Row],[Expected Goals ]]</f>
        <v>1.4000000000000004</v>
      </c>
      <c r="X501" s="2">
        <v>9.6</v>
      </c>
      <c r="Y501" s="2">
        <v>2.1</v>
      </c>
      <c r="Z501" s="2">
        <v>11.7</v>
      </c>
      <c r="AA501" s="3">
        <v>26</v>
      </c>
      <c r="AB501" s="3">
        <v>38</v>
      </c>
      <c r="AC501" s="3">
        <v>106</v>
      </c>
      <c r="AD501" s="1">
        <v>0.66</v>
      </c>
      <c r="AE501" s="1">
        <v>0.24</v>
      </c>
      <c r="AF501" s="1">
        <v>0.91</v>
      </c>
      <c r="AG501" s="1">
        <v>0.66</v>
      </c>
      <c r="AH501" s="1">
        <v>0.91</v>
      </c>
      <c r="AI501" s="1">
        <v>0.57999999999999996</v>
      </c>
      <c r="AJ501" s="1">
        <v>0.13</v>
      </c>
      <c r="AK501" s="1">
        <v>0.7</v>
      </c>
      <c r="AL501" s="1">
        <v>0.57999999999999996</v>
      </c>
      <c r="AM501" s="1">
        <v>0.7</v>
      </c>
      <c r="AN501" t="s">
        <v>745</v>
      </c>
    </row>
    <row r="502" spans="1:40" x14ac:dyDescent="0.25">
      <c r="A502" t="s">
        <v>817</v>
      </c>
      <c r="B502" t="s">
        <v>818</v>
      </c>
      <c r="C502" s="4" t="s">
        <v>1864</v>
      </c>
      <c r="D502" t="s">
        <v>1865</v>
      </c>
      <c r="E502" t="s">
        <v>137</v>
      </c>
      <c r="F502" t="str">
        <f>LEFT(premier_player_23_24[[#This Row],[Position]],2)</f>
        <v>FW</v>
      </c>
      <c r="G502" s="3">
        <v>24</v>
      </c>
      <c r="H50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02" s="3">
        <v>5</v>
      </c>
      <c r="J502" s="3">
        <v>2</v>
      </c>
      <c r="K502" s="2">
        <v>199</v>
      </c>
      <c r="L502" s="2" t="str">
        <f>IF(premier_player_23_24[[#This Row],[Minutes]]&gt;1000,"More than 1000 minutes","Less than 1000 minutes")</f>
        <v>Less than 1000 minutes</v>
      </c>
      <c r="M502" s="2">
        <v>2.2000000000000002</v>
      </c>
      <c r="N502" s="3">
        <v>0</v>
      </c>
      <c r="O502" s="3">
        <v>2</v>
      </c>
      <c r="P502" s="3">
        <v>2</v>
      </c>
      <c r="Q502" s="3">
        <v>0</v>
      </c>
      <c r="R502" s="3">
        <v>0</v>
      </c>
      <c r="S502" s="3">
        <v>0</v>
      </c>
      <c r="T502" s="2">
        <v>1</v>
      </c>
      <c r="U502" s="2">
        <v>0</v>
      </c>
      <c r="V502" s="2">
        <v>0.4</v>
      </c>
      <c r="W502" s="2">
        <f>premier_player_23_24[[#This Row],[Goals]]-premier_player_23_24[[#This Row],[Expected Goals ]]</f>
        <v>-0.4</v>
      </c>
      <c r="X502" s="2">
        <v>0.4</v>
      </c>
      <c r="Y502" s="2">
        <v>0.8</v>
      </c>
      <c r="Z502" s="2">
        <v>1.2</v>
      </c>
      <c r="AA502" s="3">
        <v>17</v>
      </c>
      <c r="AB502" s="3">
        <v>11</v>
      </c>
      <c r="AC502" s="3">
        <v>44</v>
      </c>
      <c r="AD502" s="1">
        <v>0</v>
      </c>
      <c r="AE502" s="1">
        <v>0.9</v>
      </c>
      <c r="AF502" s="1">
        <v>0.9</v>
      </c>
      <c r="AG502" s="1">
        <v>0</v>
      </c>
      <c r="AH502" s="1">
        <v>0.9</v>
      </c>
      <c r="AI502" s="1">
        <v>0.19</v>
      </c>
      <c r="AJ502" s="1">
        <v>0.38</v>
      </c>
      <c r="AK502" s="1">
        <v>0.56000000000000005</v>
      </c>
      <c r="AL502" s="1">
        <v>0.19</v>
      </c>
      <c r="AM502" s="1">
        <v>0.56000000000000005</v>
      </c>
      <c r="AN502" t="s">
        <v>745</v>
      </c>
    </row>
    <row r="503" spans="1:40" x14ac:dyDescent="0.25">
      <c r="A503" t="s">
        <v>822</v>
      </c>
      <c r="B503" t="s">
        <v>184</v>
      </c>
      <c r="C503" s="4" t="s">
        <v>1848</v>
      </c>
      <c r="D503" t="s">
        <v>1849</v>
      </c>
      <c r="E503" t="s">
        <v>137</v>
      </c>
      <c r="F503" t="str">
        <f>LEFT(premier_player_23_24[[#This Row],[Position]],2)</f>
        <v>FW</v>
      </c>
      <c r="G503" s="3">
        <v>34</v>
      </c>
      <c r="H50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03" s="3">
        <v>5</v>
      </c>
      <c r="J503" s="3">
        <v>0</v>
      </c>
      <c r="K503" s="2">
        <v>103</v>
      </c>
      <c r="L503" s="2" t="str">
        <f>IF(premier_player_23_24[[#This Row],[Minutes]]&gt;1000,"More than 1000 minutes","Less than 1000 minutes")</f>
        <v>Less than 1000 minutes</v>
      </c>
      <c r="M503" s="2">
        <v>1.1000000000000001</v>
      </c>
      <c r="N503" s="3">
        <v>0</v>
      </c>
      <c r="O503" s="3">
        <v>1</v>
      </c>
      <c r="P503" s="3">
        <v>1</v>
      </c>
      <c r="Q503" s="3">
        <v>0</v>
      </c>
      <c r="R503" s="3">
        <v>0</v>
      </c>
      <c r="S503" s="3">
        <v>0</v>
      </c>
      <c r="T503" s="2">
        <v>2</v>
      </c>
      <c r="U503" s="2">
        <v>0</v>
      </c>
      <c r="V503" s="2">
        <v>0.1</v>
      </c>
      <c r="W503" s="2">
        <f>premier_player_23_24[[#This Row],[Goals]]-premier_player_23_24[[#This Row],[Expected Goals ]]</f>
        <v>-0.1</v>
      </c>
      <c r="X503" s="2">
        <v>0.1</v>
      </c>
      <c r="Y503" s="2">
        <v>0.9</v>
      </c>
      <c r="Z503" s="2">
        <v>1</v>
      </c>
      <c r="AA503" s="3">
        <v>15</v>
      </c>
      <c r="AB503" s="3">
        <v>9</v>
      </c>
      <c r="AC503" s="3">
        <v>17</v>
      </c>
      <c r="AD503" s="1">
        <v>0</v>
      </c>
      <c r="AE503" s="1">
        <v>0.87</v>
      </c>
      <c r="AF503" s="1">
        <v>0.87</v>
      </c>
      <c r="AG503" s="1">
        <v>0</v>
      </c>
      <c r="AH503" s="1">
        <v>0.87</v>
      </c>
      <c r="AI503" s="1">
        <v>0.1</v>
      </c>
      <c r="AJ503" s="1">
        <v>0.75</v>
      </c>
      <c r="AK503" s="1">
        <v>0.85</v>
      </c>
      <c r="AL503" s="1">
        <v>0.1</v>
      </c>
      <c r="AM503" s="1">
        <v>0.85</v>
      </c>
      <c r="AN503" t="s">
        <v>745</v>
      </c>
    </row>
    <row r="504" spans="1:40" x14ac:dyDescent="0.25">
      <c r="A504" t="s">
        <v>750</v>
      </c>
      <c r="B504" t="s">
        <v>751</v>
      </c>
      <c r="C504" s="4" t="s">
        <v>1866</v>
      </c>
      <c r="D504" t="s">
        <v>1867</v>
      </c>
      <c r="E504" t="s">
        <v>137</v>
      </c>
      <c r="F504" t="str">
        <f>LEFT(premier_player_23_24[[#This Row],[Position]],2)</f>
        <v>FW</v>
      </c>
      <c r="G504" s="3">
        <v>31</v>
      </c>
      <c r="H50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04" s="3">
        <v>35</v>
      </c>
      <c r="J504" s="3">
        <v>34</v>
      </c>
      <c r="K504" s="2">
        <v>2934</v>
      </c>
      <c r="L504" s="2" t="str">
        <f>IF(premier_player_23_24[[#This Row],[Minutes]]&gt;1000,"More than 1000 minutes","Less than 1000 minutes")</f>
        <v>More than 1000 minutes</v>
      </c>
      <c r="M504" s="2">
        <v>32.6</v>
      </c>
      <c r="N504" s="3">
        <v>17</v>
      </c>
      <c r="O504" s="3">
        <v>10</v>
      </c>
      <c r="P504" s="3">
        <v>27</v>
      </c>
      <c r="Q504" s="3">
        <v>15</v>
      </c>
      <c r="R504" s="3">
        <v>2</v>
      </c>
      <c r="S504" s="3">
        <v>2</v>
      </c>
      <c r="T504" s="2">
        <v>1</v>
      </c>
      <c r="U504" s="2">
        <v>0</v>
      </c>
      <c r="V504" s="2">
        <v>12</v>
      </c>
      <c r="W504" s="2">
        <f>premier_player_23_24[[#This Row],[Goals]]-premier_player_23_24[[#This Row],[Expected Goals ]]</f>
        <v>5</v>
      </c>
      <c r="X504" s="2">
        <v>10.4</v>
      </c>
      <c r="Y504" s="2">
        <v>11.8</v>
      </c>
      <c r="Z504" s="2">
        <v>22.2</v>
      </c>
      <c r="AA504" s="3">
        <v>119</v>
      </c>
      <c r="AB504" s="3">
        <v>139</v>
      </c>
      <c r="AC504" s="3">
        <v>325</v>
      </c>
      <c r="AD504" s="1">
        <v>0.52</v>
      </c>
      <c r="AE504" s="1">
        <v>0.31</v>
      </c>
      <c r="AF504" s="1">
        <v>0.83</v>
      </c>
      <c r="AG504" s="1">
        <v>0.46</v>
      </c>
      <c r="AH504" s="1">
        <v>0.77</v>
      </c>
      <c r="AI504" s="1">
        <v>0.37</v>
      </c>
      <c r="AJ504" s="1">
        <v>0.36</v>
      </c>
      <c r="AK504" s="1">
        <v>0.73</v>
      </c>
      <c r="AL504" s="1">
        <v>0.32</v>
      </c>
      <c r="AM504" s="1">
        <v>0.68</v>
      </c>
      <c r="AN504" t="s">
        <v>745</v>
      </c>
    </row>
    <row r="505" spans="1:40" x14ac:dyDescent="0.25">
      <c r="A505" t="s">
        <v>809</v>
      </c>
      <c r="B505" t="s">
        <v>85</v>
      </c>
      <c r="C505" s="4" t="s">
        <v>1778</v>
      </c>
      <c r="D505" t="s">
        <v>1779</v>
      </c>
      <c r="E505" t="s">
        <v>36</v>
      </c>
      <c r="F505" t="str">
        <f>LEFT(premier_player_23_24[[#This Row],[Position]],2)</f>
        <v>MF</v>
      </c>
      <c r="G505" s="3">
        <v>27</v>
      </c>
      <c r="H50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05" s="3">
        <v>22</v>
      </c>
      <c r="J505" s="3">
        <v>4</v>
      </c>
      <c r="K505" s="2">
        <v>506</v>
      </c>
      <c r="L505" s="2" t="str">
        <f>IF(premier_player_23_24[[#This Row],[Minutes]]&gt;1000,"More than 1000 minutes","Less than 1000 minutes")</f>
        <v>Less than 1000 minutes</v>
      </c>
      <c r="M505" s="2">
        <v>5.6</v>
      </c>
      <c r="N505" s="3">
        <v>2</v>
      </c>
      <c r="O505" s="3">
        <v>2</v>
      </c>
      <c r="P505" s="3">
        <v>4</v>
      </c>
      <c r="Q505" s="3">
        <v>2</v>
      </c>
      <c r="R505" s="3">
        <v>0</v>
      </c>
      <c r="S505" s="3">
        <v>0</v>
      </c>
      <c r="T505" s="2">
        <v>2</v>
      </c>
      <c r="U505" s="2">
        <v>0</v>
      </c>
      <c r="V505" s="2">
        <v>0.6</v>
      </c>
      <c r="W505" s="2">
        <f>premier_player_23_24[[#This Row],[Goals]]-premier_player_23_24[[#This Row],[Expected Goals ]]</f>
        <v>1.4</v>
      </c>
      <c r="X505" s="2">
        <v>0.6</v>
      </c>
      <c r="Y505" s="2">
        <v>1.9</v>
      </c>
      <c r="Z505" s="2">
        <v>2.5</v>
      </c>
      <c r="AA505" s="3">
        <v>25</v>
      </c>
      <c r="AB505" s="3">
        <v>68</v>
      </c>
      <c r="AC505" s="3">
        <v>29</v>
      </c>
      <c r="AD505" s="1">
        <v>0.36</v>
      </c>
      <c r="AE505" s="1">
        <v>0.36</v>
      </c>
      <c r="AF505" s="1">
        <v>0.71</v>
      </c>
      <c r="AG505" s="1">
        <v>0.36</v>
      </c>
      <c r="AH505" s="1">
        <v>0.71</v>
      </c>
      <c r="AI505" s="1">
        <v>0.1</v>
      </c>
      <c r="AJ505" s="1">
        <v>0.34</v>
      </c>
      <c r="AK505" s="1">
        <v>0.45</v>
      </c>
      <c r="AL505" s="1">
        <v>0.1</v>
      </c>
      <c r="AM505" s="1">
        <v>0.45</v>
      </c>
      <c r="AN505" t="s">
        <v>745</v>
      </c>
    </row>
    <row r="506" spans="1:40" x14ac:dyDescent="0.25">
      <c r="A506" t="s">
        <v>784</v>
      </c>
      <c r="B506" t="s">
        <v>432</v>
      </c>
      <c r="C506" s="4" t="s">
        <v>1786</v>
      </c>
      <c r="D506" t="s">
        <v>1787</v>
      </c>
      <c r="E506" t="s">
        <v>137</v>
      </c>
      <c r="F506" t="str">
        <f>LEFT(premier_player_23_24[[#This Row],[Position]],2)</f>
        <v>FW</v>
      </c>
      <c r="G506" s="3">
        <v>22</v>
      </c>
      <c r="H50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06" s="3">
        <v>32</v>
      </c>
      <c r="J506" s="3">
        <v>23</v>
      </c>
      <c r="K506" s="2">
        <v>2085</v>
      </c>
      <c r="L506" s="2" t="str">
        <f>IF(premier_player_23_24[[#This Row],[Minutes]]&gt;1000,"More than 1000 minutes","Less than 1000 minutes")</f>
        <v>More than 1000 minutes</v>
      </c>
      <c r="M506" s="2">
        <v>23.2</v>
      </c>
      <c r="N506" s="3">
        <v>5</v>
      </c>
      <c r="O506" s="3">
        <v>10</v>
      </c>
      <c r="P506" s="3">
        <v>15</v>
      </c>
      <c r="Q506" s="3">
        <v>5</v>
      </c>
      <c r="R506" s="3">
        <v>0</v>
      </c>
      <c r="S506" s="3">
        <v>0</v>
      </c>
      <c r="T506" s="2">
        <v>3</v>
      </c>
      <c r="U506" s="2">
        <v>0</v>
      </c>
      <c r="V506" s="2">
        <v>10.3</v>
      </c>
      <c r="W506" s="2">
        <f>premier_player_23_24[[#This Row],[Goals]]-premier_player_23_24[[#This Row],[Expected Goals ]]</f>
        <v>-5.3000000000000007</v>
      </c>
      <c r="X506" s="2">
        <v>10.3</v>
      </c>
      <c r="Y506" s="2">
        <v>8.1</v>
      </c>
      <c r="Z506" s="2">
        <v>18.3</v>
      </c>
      <c r="AA506" s="3">
        <v>97</v>
      </c>
      <c r="AB506" s="3">
        <v>72</v>
      </c>
      <c r="AC506" s="3">
        <v>293</v>
      </c>
      <c r="AD506" s="1">
        <v>0.22</v>
      </c>
      <c r="AE506" s="1">
        <v>0.43</v>
      </c>
      <c r="AF506" s="1">
        <v>0.65</v>
      </c>
      <c r="AG506" s="1">
        <v>0.22</v>
      </c>
      <c r="AH506" s="1">
        <v>0.65</v>
      </c>
      <c r="AI506" s="1">
        <v>0.44</v>
      </c>
      <c r="AJ506" s="1">
        <v>0.35</v>
      </c>
      <c r="AK506" s="1">
        <v>0.79</v>
      </c>
      <c r="AL506" s="1">
        <v>0.44</v>
      </c>
      <c r="AM506" s="1">
        <v>0.79</v>
      </c>
      <c r="AN506" t="s">
        <v>745</v>
      </c>
    </row>
    <row r="507" spans="1:40" x14ac:dyDescent="0.25">
      <c r="A507" t="s">
        <v>800</v>
      </c>
      <c r="B507" t="s">
        <v>262</v>
      </c>
      <c r="C507" s="4" t="s">
        <v>1748</v>
      </c>
      <c r="D507" t="s">
        <v>1749</v>
      </c>
      <c r="E507" t="s">
        <v>137</v>
      </c>
      <c r="F507" t="str">
        <f>LEFT(premier_player_23_24[[#This Row],[Position]],2)</f>
        <v>FW</v>
      </c>
      <c r="G507" s="3">
        <v>27</v>
      </c>
      <c r="H50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07" s="3">
        <v>13</v>
      </c>
      <c r="J507" s="3">
        <v>10</v>
      </c>
      <c r="K507" s="2">
        <v>809</v>
      </c>
      <c r="L507" s="2" t="str">
        <f>IF(premier_player_23_24[[#This Row],[Minutes]]&gt;1000,"More than 1000 minutes","Less than 1000 minutes")</f>
        <v>Less than 1000 minutes</v>
      </c>
      <c r="M507" s="2">
        <v>9</v>
      </c>
      <c r="N507" s="3">
        <v>2</v>
      </c>
      <c r="O507" s="3">
        <v>3</v>
      </c>
      <c r="P507" s="3">
        <v>5</v>
      </c>
      <c r="Q507" s="3">
        <v>2</v>
      </c>
      <c r="R507" s="3">
        <v>0</v>
      </c>
      <c r="S507" s="3">
        <v>0</v>
      </c>
      <c r="T507" s="2">
        <v>1</v>
      </c>
      <c r="U507" s="2">
        <v>0</v>
      </c>
      <c r="V507" s="2">
        <v>3.7</v>
      </c>
      <c r="W507" s="2">
        <f>premier_player_23_24[[#This Row],[Goals]]-premier_player_23_24[[#This Row],[Expected Goals ]]</f>
        <v>-1.7000000000000002</v>
      </c>
      <c r="X507" s="2">
        <v>3.7</v>
      </c>
      <c r="Y507" s="2">
        <v>2.7</v>
      </c>
      <c r="Z507" s="2">
        <v>6.4</v>
      </c>
      <c r="AA507" s="3">
        <v>79</v>
      </c>
      <c r="AB507" s="3">
        <v>41</v>
      </c>
      <c r="AC507" s="3">
        <v>124</v>
      </c>
      <c r="AD507" s="1">
        <v>0.22</v>
      </c>
      <c r="AE507" s="1">
        <v>0.33</v>
      </c>
      <c r="AF507" s="1">
        <v>0.56000000000000005</v>
      </c>
      <c r="AG507" s="1">
        <v>0.22</v>
      </c>
      <c r="AH507" s="1">
        <v>0.56000000000000005</v>
      </c>
      <c r="AI507" s="1">
        <v>0.41</v>
      </c>
      <c r="AJ507" s="1">
        <v>0.3</v>
      </c>
      <c r="AK507" s="1">
        <v>0.72</v>
      </c>
      <c r="AL507" s="1">
        <v>0.41</v>
      </c>
      <c r="AM507" s="1">
        <v>0.72</v>
      </c>
      <c r="AN507" t="s">
        <v>745</v>
      </c>
    </row>
    <row r="508" spans="1:40" x14ac:dyDescent="0.25">
      <c r="A508" t="s">
        <v>775</v>
      </c>
      <c r="B508" t="s">
        <v>57</v>
      </c>
      <c r="C508" s="4" t="s">
        <v>1744</v>
      </c>
      <c r="D508" t="s">
        <v>1745</v>
      </c>
      <c r="E508" t="s">
        <v>36</v>
      </c>
      <c r="F508" t="str">
        <f>LEFT(premier_player_23_24[[#This Row],[Position]],2)</f>
        <v>MF</v>
      </c>
      <c r="G508" s="3">
        <v>26</v>
      </c>
      <c r="H50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08" s="3">
        <v>28</v>
      </c>
      <c r="J508" s="3">
        <v>26</v>
      </c>
      <c r="K508" s="2">
        <v>2135</v>
      </c>
      <c r="L508" s="2" t="str">
        <f>IF(premier_player_23_24[[#This Row],[Minutes]]&gt;1000,"More than 1000 minutes","Less than 1000 minutes")</f>
        <v>More than 1000 minutes</v>
      </c>
      <c r="M508" s="2">
        <v>23.7</v>
      </c>
      <c r="N508" s="3">
        <v>4</v>
      </c>
      <c r="O508" s="3">
        <v>9</v>
      </c>
      <c r="P508" s="3">
        <v>13</v>
      </c>
      <c r="Q508" s="3">
        <v>4</v>
      </c>
      <c r="R508" s="3">
        <v>0</v>
      </c>
      <c r="S508" s="3">
        <v>0</v>
      </c>
      <c r="T508" s="2">
        <v>5</v>
      </c>
      <c r="U508" s="2">
        <v>0</v>
      </c>
      <c r="V508" s="2">
        <v>6.4</v>
      </c>
      <c r="W508" s="2">
        <f>premier_player_23_24[[#This Row],[Goals]]-premier_player_23_24[[#This Row],[Expected Goals ]]</f>
        <v>-2.4000000000000004</v>
      </c>
      <c r="X508" s="2">
        <v>6.4</v>
      </c>
      <c r="Y508" s="2">
        <v>5.9</v>
      </c>
      <c r="Z508" s="2">
        <v>12.4</v>
      </c>
      <c r="AA508" s="3">
        <v>58</v>
      </c>
      <c r="AB508" s="3">
        <v>224</v>
      </c>
      <c r="AC508" s="3">
        <v>156</v>
      </c>
      <c r="AD508" s="1">
        <v>0.17</v>
      </c>
      <c r="AE508" s="1">
        <v>0.38</v>
      </c>
      <c r="AF508" s="1">
        <v>0.55000000000000004</v>
      </c>
      <c r="AG508" s="1">
        <v>0.17</v>
      </c>
      <c r="AH508" s="1">
        <v>0.55000000000000004</v>
      </c>
      <c r="AI508" s="1">
        <v>0.27</v>
      </c>
      <c r="AJ508" s="1">
        <v>0.25</v>
      </c>
      <c r="AK508" s="1">
        <v>0.52</v>
      </c>
      <c r="AL508" s="1">
        <v>0.27</v>
      </c>
      <c r="AM508" s="1">
        <v>0.52</v>
      </c>
      <c r="AN508" t="s">
        <v>745</v>
      </c>
    </row>
    <row r="509" spans="1:40" x14ac:dyDescent="0.25">
      <c r="A509" t="s">
        <v>759</v>
      </c>
      <c r="B509" t="s">
        <v>675</v>
      </c>
      <c r="C509" s="4" t="s">
        <v>1780</v>
      </c>
      <c r="D509" t="s">
        <v>1781</v>
      </c>
      <c r="E509" t="s">
        <v>58</v>
      </c>
      <c r="F509" t="str">
        <f>LEFT(premier_player_23_24[[#This Row],[Position]],2)</f>
        <v>FW</v>
      </c>
      <c r="G509" s="3">
        <v>23</v>
      </c>
      <c r="H50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09" s="3">
        <v>36</v>
      </c>
      <c r="J509" s="3">
        <v>31</v>
      </c>
      <c r="K509" s="2">
        <v>2762</v>
      </c>
      <c r="L509" s="2" t="str">
        <f>IF(premier_player_23_24[[#This Row],[Minutes]]&gt;1000,"More than 1000 minutes","Less than 1000 minutes")</f>
        <v>More than 1000 minutes</v>
      </c>
      <c r="M509" s="2">
        <v>30.7</v>
      </c>
      <c r="N509" s="3">
        <v>8</v>
      </c>
      <c r="O509" s="3">
        <v>3</v>
      </c>
      <c r="P509" s="3">
        <v>11</v>
      </c>
      <c r="Q509" s="3">
        <v>8</v>
      </c>
      <c r="R509" s="3">
        <v>0</v>
      </c>
      <c r="S509" s="3">
        <v>0</v>
      </c>
      <c r="T509" s="2">
        <v>7</v>
      </c>
      <c r="U509" s="2">
        <v>0</v>
      </c>
      <c r="V509" s="2">
        <v>4.7</v>
      </c>
      <c r="W509" s="2">
        <f>premier_player_23_24[[#This Row],[Goals]]-premier_player_23_24[[#This Row],[Expected Goals ]]</f>
        <v>3.3</v>
      </c>
      <c r="X509" s="2">
        <v>4.7</v>
      </c>
      <c r="Y509" s="2">
        <v>7.7</v>
      </c>
      <c r="Z509" s="2">
        <v>12.4</v>
      </c>
      <c r="AA509" s="3">
        <v>151</v>
      </c>
      <c r="AB509" s="3">
        <v>144</v>
      </c>
      <c r="AC509" s="3">
        <v>388</v>
      </c>
      <c r="AD509" s="1">
        <v>0.26</v>
      </c>
      <c r="AE509" s="1">
        <v>0.1</v>
      </c>
      <c r="AF509" s="1">
        <v>0.36</v>
      </c>
      <c r="AG509" s="1">
        <v>0.26</v>
      </c>
      <c r="AH509" s="1">
        <v>0.36</v>
      </c>
      <c r="AI509" s="1">
        <v>0.15</v>
      </c>
      <c r="AJ509" s="1">
        <v>0.25</v>
      </c>
      <c r="AK509" s="1">
        <v>0.4</v>
      </c>
      <c r="AL509" s="1">
        <v>0.15</v>
      </c>
      <c r="AM509" s="1">
        <v>0.4</v>
      </c>
      <c r="AN509" t="s">
        <v>745</v>
      </c>
    </row>
    <row r="510" spans="1:40" x14ac:dyDescent="0.25">
      <c r="A510" t="s">
        <v>746</v>
      </c>
      <c r="B510" t="s">
        <v>35</v>
      </c>
      <c r="C510" s="4" t="s">
        <v>1764</v>
      </c>
      <c r="D510" t="s">
        <v>1765</v>
      </c>
      <c r="E510" t="s">
        <v>108</v>
      </c>
      <c r="F510" t="str">
        <f>LEFT(premier_player_23_24[[#This Row],[Position]],2)</f>
        <v>DF</v>
      </c>
      <c r="G510" s="3">
        <v>23</v>
      </c>
      <c r="H51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10" s="3">
        <v>35</v>
      </c>
      <c r="J510" s="3">
        <v>35</v>
      </c>
      <c r="K510" s="2">
        <v>3089</v>
      </c>
      <c r="L510" s="2" t="str">
        <f>IF(premier_player_23_24[[#This Row],[Minutes]]&gt;1000,"More than 1000 minutes","Less than 1000 minutes")</f>
        <v>More than 1000 minutes</v>
      </c>
      <c r="M510" s="2">
        <v>34.299999999999997</v>
      </c>
      <c r="N510" s="3">
        <v>3</v>
      </c>
      <c r="O510" s="3">
        <v>7</v>
      </c>
      <c r="P510" s="3">
        <v>10</v>
      </c>
      <c r="Q510" s="3">
        <v>3</v>
      </c>
      <c r="R510" s="3">
        <v>0</v>
      </c>
      <c r="S510" s="3">
        <v>0</v>
      </c>
      <c r="T510" s="2">
        <v>3</v>
      </c>
      <c r="U510" s="2">
        <v>0</v>
      </c>
      <c r="V510" s="2">
        <v>2.9</v>
      </c>
      <c r="W510" s="2">
        <f>premier_player_23_24[[#This Row],[Goals]]-premier_player_23_24[[#This Row],[Expected Goals ]]</f>
        <v>0.10000000000000009</v>
      </c>
      <c r="X510" s="2">
        <v>2.9</v>
      </c>
      <c r="Y510" s="2">
        <v>7.2</v>
      </c>
      <c r="Z510" s="2">
        <v>10.1</v>
      </c>
      <c r="AA510" s="3">
        <v>57</v>
      </c>
      <c r="AB510" s="3">
        <v>194</v>
      </c>
      <c r="AC510" s="3">
        <v>158</v>
      </c>
      <c r="AD510" s="1">
        <v>0.09</v>
      </c>
      <c r="AE510" s="1">
        <v>0.2</v>
      </c>
      <c r="AF510" s="1">
        <v>0.28999999999999998</v>
      </c>
      <c r="AG510" s="1">
        <v>0.09</v>
      </c>
      <c r="AH510" s="1">
        <v>0.28999999999999998</v>
      </c>
      <c r="AI510" s="1">
        <v>0.09</v>
      </c>
      <c r="AJ510" s="1">
        <v>0.21</v>
      </c>
      <c r="AK510" s="1">
        <v>0.3</v>
      </c>
      <c r="AL510" s="1">
        <v>0.09</v>
      </c>
      <c r="AM510" s="1">
        <v>0.3</v>
      </c>
      <c r="AN510" t="s">
        <v>745</v>
      </c>
    </row>
    <row r="511" spans="1:40" x14ac:dyDescent="0.25">
      <c r="A511" t="s">
        <v>772</v>
      </c>
      <c r="B511" t="s">
        <v>555</v>
      </c>
      <c r="C511" s="4" t="s">
        <v>1830</v>
      </c>
      <c r="D511" t="s">
        <v>1831</v>
      </c>
      <c r="E511" t="s">
        <v>36</v>
      </c>
      <c r="F511" t="str">
        <f>LEFT(premier_player_23_24[[#This Row],[Position]],2)</f>
        <v>MF</v>
      </c>
      <c r="G511" s="3">
        <v>20</v>
      </c>
      <c r="H51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11" s="3">
        <v>34</v>
      </c>
      <c r="J511" s="3">
        <v>27</v>
      </c>
      <c r="K511" s="2">
        <v>2069</v>
      </c>
      <c r="L511" s="2" t="str">
        <f>IF(premier_player_23_24[[#This Row],[Minutes]]&gt;1000,"More than 1000 minutes","Less than 1000 minutes")</f>
        <v>More than 1000 minutes</v>
      </c>
      <c r="M511" s="2">
        <v>23</v>
      </c>
      <c r="N511" s="3">
        <v>3</v>
      </c>
      <c r="O511" s="3">
        <v>3</v>
      </c>
      <c r="P511" s="3">
        <v>6</v>
      </c>
      <c r="Q511" s="3">
        <v>3</v>
      </c>
      <c r="R511" s="3">
        <v>0</v>
      </c>
      <c r="S511" s="3">
        <v>0</v>
      </c>
      <c r="T511" s="2">
        <v>9</v>
      </c>
      <c r="U511" s="2">
        <v>0</v>
      </c>
      <c r="V511" s="2">
        <v>3.4</v>
      </c>
      <c r="W511" s="2">
        <f>premier_player_23_24[[#This Row],[Goals]]-premier_player_23_24[[#This Row],[Expected Goals ]]</f>
        <v>-0.39999999999999991</v>
      </c>
      <c r="X511" s="2">
        <v>3.4</v>
      </c>
      <c r="Y511" s="2">
        <v>2.2000000000000002</v>
      </c>
      <c r="Z511" s="2">
        <v>5.7</v>
      </c>
      <c r="AA511" s="3">
        <v>43</v>
      </c>
      <c r="AB511" s="3">
        <v>150</v>
      </c>
      <c r="AC511" s="3">
        <v>90</v>
      </c>
      <c r="AD511" s="1">
        <v>0.13</v>
      </c>
      <c r="AE511" s="1">
        <v>0.13</v>
      </c>
      <c r="AF511" s="1">
        <v>0.26</v>
      </c>
      <c r="AG511" s="1">
        <v>0.13</v>
      </c>
      <c r="AH511" s="1">
        <v>0.26</v>
      </c>
      <c r="AI511" s="1">
        <v>0.15</v>
      </c>
      <c r="AJ511" s="1">
        <v>0.1</v>
      </c>
      <c r="AK511" s="1">
        <v>0.25</v>
      </c>
      <c r="AL511" s="1">
        <v>0.15</v>
      </c>
      <c r="AM511" s="1">
        <v>0.25</v>
      </c>
      <c r="AN511" t="s">
        <v>745</v>
      </c>
    </row>
    <row r="512" spans="1:40" x14ac:dyDescent="0.25">
      <c r="A512" t="s">
        <v>766</v>
      </c>
      <c r="B512" t="s">
        <v>519</v>
      </c>
      <c r="C512" s="4" t="s">
        <v>1758</v>
      </c>
      <c r="D512" t="s">
        <v>1759</v>
      </c>
      <c r="E512" t="s">
        <v>108</v>
      </c>
      <c r="F512" t="str">
        <f>LEFT(premier_player_23_24[[#This Row],[Position]],2)</f>
        <v>DF</v>
      </c>
      <c r="G512" s="3">
        <v>20</v>
      </c>
      <c r="H51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12" s="3">
        <v>28</v>
      </c>
      <c r="J512" s="3">
        <v>28</v>
      </c>
      <c r="K512" s="2">
        <v>2391</v>
      </c>
      <c r="L512" s="2" t="str">
        <f>IF(premier_player_23_24[[#This Row],[Minutes]]&gt;1000,"More than 1000 minutes","Less than 1000 minutes")</f>
        <v>More than 1000 minutes</v>
      </c>
      <c r="M512" s="2">
        <v>26.6</v>
      </c>
      <c r="N512" s="3">
        <v>2</v>
      </c>
      <c r="O512" s="3">
        <v>3</v>
      </c>
      <c r="P512" s="3">
        <v>5</v>
      </c>
      <c r="Q512" s="3">
        <v>2</v>
      </c>
      <c r="R512" s="3">
        <v>0</v>
      </c>
      <c r="S512" s="3">
        <v>0</v>
      </c>
      <c r="T512" s="2">
        <v>7</v>
      </c>
      <c r="U512" s="2">
        <v>1</v>
      </c>
      <c r="V512" s="2">
        <v>2.4</v>
      </c>
      <c r="W512" s="2">
        <f>premier_player_23_24[[#This Row],[Goals]]-premier_player_23_24[[#This Row],[Expected Goals ]]</f>
        <v>-0.39999999999999991</v>
      </c>
      <c r="X512" s="2">
        <v>2.4</v>
      </c>
      <c r="Y512" s="2">
        <v>2.2000000000000002</v>
      </c>
      <c r="Z512" s="2">
        <v>4.5999999999999996</v>
      </c>
      <c r="AA512" s="3">
        <v>83</v>
      </c>
      <c r="AB512" s="3">
        <v>155</v>
      </c>
      <c r="AC512" s="3">
        <v>138</v>
      </c>
      <c r="AD512" s="1">
        <v>0.08</v>
      </c>
      <c r="AE512" s="1">
        <v>0.11</v>
      </c>
      <c r="AF512" s="1">
        <v>0.19</v>
      </c>
      <c r="AG512" s="1">
        <v>0.08</v>
      </c>
      <c r="AH512" s="1">
        <v>0.19</v>
      </c>
      <c r="AI512" s="1">
        <v>0.09</v>
      </c>
      <c r="AJ512" s="1">
        <v>0.08</v>
      </c>
      <c r="AK512" s="1">
        <v>0.17</v>
      </c>
      <c r="AL512" s="1">
        <v>0.09</v>
      </c>
      <c r="AM512" s="1">
        <v>0.17</v>
      </c>
      <c r="AN512" t="s">
        <v>745</v>
      </c>
    </row>
    <row r="513" spans="1:40" x14ac:dyDescent="0.25">
      <c r="A513" t="s">
        <v>793</v>
      </c>
      <c r="B513" t="s">
        <v>342</v>
      </c>
      <c r="C513" s="4" t="s">
        <v>1840</v>
      </c>
      <c r="D513" t="s">
        <v>1841</v>
      </c>
      <c r="E513" t="s">
        <v>36</v>
      </c>
      <c r="F513" t="str">
        <f>LEFT(premier_player_23_24[[#This Row],[Position]],2)</f>
        <v>MF</v>
      </c>
      <c r="G513" s="3">
        <v>26</v>
      </c>
      <c r="H51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13" s="3">
        <v>23</v>
      </c>
      <c r="J513" s="3">
        <v>13</v>
      </c>
      <c r="K513" s="2">
        <v>1005</v>
      </c>
      <c r="L513" s="2" t="str">
        <f>IF(premier_player_23_24[[#This Row],[Minutes]]&gt;1000,"More than 1000 minutes","Less than 1000 minutes")</f>
        <v>More than 1000 minutes</v>
      </c>
      <c r="M513" s="2">
        <v>11.2</v>
      </c>
      <c r="N513" s="3">
        <v>1</v>
      </c>
      <c r="O513" s="3">
        <v>1</v>
      </c>
      <c r="P513" s="3">
        <v>2</v>
      </c>
      <c r="Q513" s="3">
        <v>1</v>
      </c>
      <c r="R513" s="3">
        <v>0</v>
      </c>
      <c r="S513" s="3">
        <v>0</v>
      </c>
      <c r="T513" s="2">
        <v>7</v>
      </c>
      <c r="U513" s="2">
        <v>0</v>
      </c>
      <c r="V513" s="2">
        <v>1.9</v>
      </c>
      <c r="W513" s="2">
        <f>premier_player_23_24[[#This Row],[Goals]]-premier_player_23_24[[#This Row],[Expected Goals ]]</f>
        <v>-0.89999999999999991</v>
      </c>
      <c r="X513" s="2">
        <v>1.9</v>
      </c>
      <c r="Y513" s="2">
        <v>0.5</v>
      </c>
      <c r="Z513" s="2">
        <v>2.4</v>
      </c>
      <c r="AA513" s="3">
        <v>16</v>
      </c>
      <c r="AB513" s="3">
        <v>72</v>
      </c>
      <c r="AC513" s="3">
        <v>31</v>
      </c>
      <c r="AD513" s="1">
        <v>0.09</v>
      </c>
      <c r="AE513" s="1">
        <v>0.09</v>
      </c>
      <c r="AF513" s="1">
        <v>0.18</v>
      </c>
      <c r="AG513" s="1">
        <v>0.09</v>
      </c>
      <c r="AH513" s="1">
        <v>0.18</v>
      </c>
      <c r="AI513" s="1">
        <v>0.17</v>
      </c>
      <c r="AJ513" s="1">
        <v>0.04</v>
      </c>
      <c r="AK513" s="1">
        <v>0.22</v>
      </c>
      <c r="AL513" s="1">
        <v>0.17</v>
      </c>
      <c r="AM513" s="1">
        <v>0.22</v>
      </c>
      <c r="AN513" t="s">
        <v>745</v>
      </c>
    </row>
    <row r="514" spans="1:40" x14ac:dyDescent="0.25">
      <c r="A514" t="s">
        <v>756</v>
      </c>
      <c r="B514" t="s">
        <v>85</v>
      </c>
      <c r="C514" s="4" t="s">
        <v>1778</v>
      </c>
      <c r="D514" t="s">
        <v>1779</v>
      </c>
      <c r="E514" t="s">
        <v>108</v>
      </c>
      <c r="F514" t="str">
        <f>LEFT(premier_player_23_24[[#This Row],[Position]],2)</f>
        <v>DF</v>
      </c>
      <c r="G514" s="3">
        <v>25</v>
      </c>
      <c r="H51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14" s="3">
        <v>33</v>
      </c>
      <c r="J514" s="3">
        <v>33</v>
      </c>
      <c r="K514" s="2">
        <v>2790</v>
      </c>
      <c r="L514" s="2" t="str">
        <f>IF(premier_player_23_24[[#This Row],[Minutes]]&gt;1000,"More than 1000 minutes","Less than 1000 minutes")</f>
        <v>More than 1000 minutes</v>
      </c>
      <c r="M514" s="2">
        <v>31</v>
      </c>
      <c r="N514" s="3">
        <v>5</v>
      </c>
      <c r="O514" s="3">
        <v>0</v>
      </c>
      <c r="P514" s="3">
        <v>5</v>
      </c>
      <c r="Q514" s="3">
        <v>5</v>
      </c>
      <c r="R514" s="3">
        <v>0</v>
      </c>
      <c r="S514" s="3">
        <v>0</v>
      </c>
      <c r="T514" s="2">
        <v>7</v>
      </c>
      <c r="U514" s="2">
        <v>1</v>
      </c>
      <c r="V514" s="2">
        <v>3.5</v>
      </c>
      <c r="W514" s="2">
        <f>premier_player_23_24[[#This Row],[Goals]]-premier_player_23_24[[#This Row],[Expected Goals ]]</f>
        <v>1.5</v>
      </c>
      <c r="X514" s="2">
        <v>3.5</v>
      </c>
      <c r="Y514" s="2">
        <v>0.4</v>
      </c>
      <c r="Z514" s="2">
        <v>3.9</v>
      </c>
      <c r="AA514" s="3">
        <v>32</v>
      </c>
      <c r="AB514" s="3">
        <v>179</v>
      </c>
      <c r="AC514" s="3">
        <v>8</v>
      </c>
      <c r="AD514" s="1">
        <v>0.16</v>
      </c>
      <c r="AE514" s="1">
        <v>0</v>
      </c>
      <c r="AF514" s="1">
        <v>0.16</v>
      </c>
      <c r="AG514" s="1">
        <v>0.16</v>
      </c>
      <c r="AH514" s="1">
        <v>0.16</v>
      </c>
      <c r="AI514" s="1">
        <v>0.11</v>
      </c>
      <c r="AJ514" s="1">
        <v>0.01</v>
      </c>
      <c r="AK514" s="1">
        <v>0.13</v>
      </c>
      <c r="AL514" s="1">
        <v>0.11</v>
      </c>
      <c r="AM514" s="1">
        <v>0.13</v>
      </c>
      <c r="AN514" t="s">
        <v>745</v>
      </c>
    </row>
    <row r="515" spans="1:40" x14ac:dyDescent="0.25">
      <c r="A515" t="s">
        <v>769</v>
      </c>
      <c r="B515" t="s">
        <v>196</v>
      </c>
      <c r="C515" s="4" t="s">
        <v>1768</v>
      </c>
      <c r="D515" t="s">
        <v>1769</v>
      </c>
      <c r="E515" t="s">
        <v>108</v>
      </c>
      <c r="F515" t="str">
        <f>LEFT(premier_player_23_24[[#This Row],[Position]],2)</f>
        <v>DF</v>
      </c>
      <c r="G515" s="3">
        <v>22</v>
      </c>
      <c r="H51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15" s="3">
        <v>27</v>
      </c>
      <c r="J515" s="3">
        <v>27</v>
      </c>
      <c r="K515" s="2">
        <v>2339</v>
      </c>
      <c r="L515" s="2" t="str">
        <f>IF(premier_player_23_24[[#This Row],[Minutes]]&gt;1000,"More than 1000 minutes","Less than 1000 minutes")</f>
        <v>More than 1000 minutes</v>
      </c>
      <c r="M515" s="2">
        <v>26</v>
      </c>
      <c r="N515" s="3">
        <v>3</v>
      </c>
      <c r="O515" s="3">
        <v>0</v>
      </c>
      <c r="P515" s="3">
        <v>3</v>
      </c>
      <c r="Q515" s="3">
        <v>3</v>
      </c>
      <c r="R515" s="3">
        <v>0</v>
      </c>
      <c r="S515" s="3">
        <v>0</v>
      </c>
      <c r="T515" s="2">
        <v>5</v>
      </c>
      <c r="U515" s="2">
        <v>0</v>
      </c>
      <c r="V515" s="2">
        <v>0.6</v>
      </c>
      <c r="W515" s="2">
        <f>premier_player_23_24[[#This Row],[Goals]]-premier_player_23_24[[#This Row],[Expected Goals ]]</f>
        <v>2.4</v>
      </c>
      <c r="X515" s="2">
        <v>0.6</v>
      </c>
      <c r="Y515" s="2">
        <v>0</v>
      </c>
      <c r="Z515" s="2">
        <v>0.6</v>
      </c>
      <c r="AA515" s="3">
        <v>19</v>
      </c>
      <c r="AB515" s="3">
        <v>108</v>
      </c>
      <c r="AC515" s="3">
        <v>9</v>
      </c>
      <c r="AD515" s="1">
        <v>0.12</v>
      </c>
      <c r="AE515" s="1">
        <v>0</v>
      </c>
      <c r="AF515" s="1">
        <v>0.12</v>
      </c>
      <c r="AG515" s="1">
        <v>0.12</v>
      </c>
      <c r="AH515" s="1">
        <v>0.12</v>
      </c>
      <c r="AI515" s="1">
        <v>0.02</v>
      </c>
      <c r="AJ515" s="1">
        <v>0</v>
      </c>
      <c r="AK515" s="1">
        <v>0.02</v>
      </c>
      <c r="AL515" s="1">
        <v>0.02</v>
      </c>
      <c r="AM515" s="1">
        <v>0.02</v>
      </c>
      <c r="AN515" t="s">
        <v>745</v>
      </c>
    </row>
    <row r="516" spans="1:40" x14ac:dyDescent="0.25">
      <c r="A516" t="s">
        <v>795</v>
      </c>
      <c r="B516" t="s">
        <v>432</v>
      </c>
      <c r="C516" s="4" t="s">
        <v>1786</v>
      </c>
      <c r="D516" t="s">
        <v>1787</v>
      </c>
      <c r="E516" t="s">
        <v>108</v>
      </c>
      <c r="F516" t="str">
        <f>LEFT(premier_player_23_24[[#This Row],[Position]],2)</f>
        <v>DF</v>
      </c>
      <c r="G516" s="3">
        <v>30</v>
      </c>
      <c r="H51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16" s="3">
        <v>17</v>
      </c>
      <c r="J516" s="3">
        <v>12</v>
      </c>
      <c r="K516" s="2">
        <v>1090</v>
      </c>
      <c r="L516" s="2" t="str">
        <f>IF(premier_player_23_24[[#This Row],[Minutes]]&gt;1000,"More than 1000 minutes","Less than 1000 minutes")</f>
        <v>More than 1000 minutes</v>
      </c>
      <c r="M516" s="2">
        <v>12.1</v>
      </c>
      <c r="N516" s="3">
        <v>1</v>
      </c>
      <c r="O516" s="3">
        <v>0</v>
      </c>
      <c r="P516" s="3">
        <v>1</v>
      </c>
      <c r="Q516" s="3">
        <v>1</v>
      </c>
      <c r="R516" s="3">
        <v>0</v>
      </c>
      <c r="S516" s="3">
        <v>0</v>
      </c>
      <c r="T516" s="2">
        <v>2</v>
      </c>
      <c r="U516" s="2">
        <v>0</v>
      </c>
      <c r="V516" s="2">
        <v>2.2999999999999998</v>
      </c>
      <c r="W516" s="2">
        <f>premier_player_23_24[[#This Row],[Goals]]-premier_player_23_24[[#This Row],[Expected Goals ]]</f>
        <v>-1.2999999999999998</v>
      </c>
      <c r="X516" s="2">
        <v>2.2999999999999998</v>
      </c>
      <c r="Y516" s="2">
        <v>0.4</v>
      </c>
      <c r="Z516" s="2">
        <v>2.7</v>
      </c>
      <c r="AA516" s="3">
        <v>13</v>
      </c>
      <c r="AB516" s="3">
        <v>71</v>
      </c>
      <c r="AC516" s="3">
        <v>20</v>
      </c>
      <c r="AD516" s="1">
        <v>0.08</v>
      </c>
      <c r="AE516" s="1">
        <v>0</v>
      </c>
      <c r="AF516" s="1">
        <v>0.08</v>
      </c>
      <c r="AG516" s="1">
        <v>0.08</v>
      </c>
      <c r="AH516" s="1">
        <v>0.08</v>
      </c>
      <c r="AI516" s="1">
        <v>0.19</v>
      </c>
      <c r="AJ516" s="1">
        <v>0.03</v>
      </c>
      <c r="AK516" s="1">
        <v>0.23</v>
      </c>
      <c r="AL516" s="1">
        <v>0.19</v>
      </c>
      <c r="AM516" s="1">
        <v>0.23</v>
      </c>
      <c r="AN516" t="s">
        <v>745</v>
      </c>
    </row>
    <row r="517" spans="1:40" x14ac:dyDescent="0.25">
      <c r="A517" t="s">
        <v>798</v>
      </c>
      <c r="B517" t="s">
        <v>76</v>
      </c>
      <c r="C517" s="4" t="s">
        <v>1750</v>
      </c>
      <c r="D517" t="s">
        <v>1751</v>
      </c>
      <c r="E517" t="s">
        <v>108</v>
      </c>
      <c r="F517" t="str">
        <f>LEFT(premier_player_23_24[[#This Row],[Position]],2)</f>
        <v>DF</v>
      </c>
      <c r="G517" s="3">
        <v>24</v>
      </c>
      <c r="H51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17" s="3">
        <v>22</v>
      </c>
      <c r="J517" s="3">
        <v>11</v>
      </c>
      <c r="K517" s="2">
        <v>1161</v>
      </c>
      <c r="L517" s="2" t="str">
        <f>IF(premier_player_23_24[[#This Row],[Minutes]]&gt;1000,"More than 1000 minutes","Less than 1000 minutes")</f>
        <v>More than 1000 minutes</v>
      </c>
      <c r="M517" s="2">
        <v>12.9</v>
      </c>
      <c r="N517" s="3">
        <v>1</v>
      </c>
      <c r="O517" s="3">
        <v>0</v>
      </c>
      <c r="P517" s="3">
        <v>1</v>
      </c>
      <c r="Q517" s="3">
        <v>1</v>
      </c>
      <c r="R517" s="3">
        <v>0</v>
      </c>
      <c r="S517" s="3">
        <v>0</v>
      </c>
      <c r="T517" s="2">
        <v>4</v>
      </c>
      <c r="U517" s="2">
        <v>0</v>
      </c>
      <c r="V517" s="2">
        <v>0.2</v>
      </c>
      <c r="W517" s="2">
        <f>premier_player_23_24[[#This Row],[Goals]]-premier_player_23_24[[#This Row],[Expected Goals ]]</f>
        <v>0.8</v>
      </c>
      <c r="X517" s="2">
        <v>0.2</v>
      </c>
      <c r="Y517" s="2">
        <v>0.4</v>
      </c>
      <c r="Z517" s="2">
        <v>0.6</v>
      </c>
      <c r="AA517" s="3">
        <v>21</v>
      </c>
      <c r="AB517" s="3">
        <v>57</v>
      </c>
      <c r="AC517" s="3">
        <v>35</v>
      </c>
      <c r="AD517" s="1">
        <v>0.08</v>
      </c>
      <c r="AE517" s="1">
        <v>0</v>
      </c>
      <c r="AF517" s="1">
        <v>0.08</v>
      </c>
      <c r="AG517" s="1">
        <v>0.08</v>
      </c>
      <c r="AH517" s="1">
        <v>0.08</v>
      </c>
      <c r="AI517" s="1">
        <v>0.02</v>
      </c>
      <c r="AJ517" s="1">
        <v>0.03</v>
      </c>
      <c r="AK517" s="1">
        <v>0.05</v>
      </c>
      <c r="AL517" s="1">
        <v>0.02</v>
      </c>
      <c r="AM517" s="1">
        <v>0.05</v>
      </c>
      <c r="AN517" t="s">
        <v>745</v>
      </c>
    </row>
    <row r="518" spans="1:40" x14ac:dyDescent="0.25">
      <c r="A518" t="s">
        <v>744</v>
      </c>
      <c r="B518" t="s">
        <v>519</v>
      </c>
      <c r="C518" s="4" t="s">
        <v>1758</v>
      </c>
      <c r="D518" t="s">
        <v>1759</v>
      </c>
      <c r="E518" t="s">
        <v>77</v>
      </c>
      <c r="F518" t="str">
        <f>LEFT(premier_player_23_24[[#This Row],[Position]],2)</f>
        <v>GK</v>
      </c>
      <c r="G518" s="3">
        <v>26</v>
      </c>
      <c r="H51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18" s="3">
        <v>38</v>
      </c>
      <c r="J518" s="3">
        <v>38</v>
      </c>
      <c r="K518" s="2">
        <v>3420</v>
      </c>
      <c r="L518" s="2" t="str">
        <f>IF(premier_player_23_24[[#This Row],[Minutes]]&gt;1000,"More than 1000 minutes","Less than 1000 minutes")</f>
        <v>More than 1000 minutes</v>
      </c>
      <c r="M518" s="2">
        <v>38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2">
        <v>2</v>
      </c>
      <c r="U518" s="2">
        <v>0</v>
      </c>
      <c r="V518" s="2">
        <v>0</v>
      </c>
      <c r="W518" s="2">
        <f>premier_player_23_24[[#This Row],[Goals]]-premier_player_23_24[[#This Row],[Expected Goals ]]</f>
        <v>0</v>
      </c>
      <c r="X518" s="2">
        <v>0</v>
      </c>
      <c r="Y518" s="2">
        <v>0</v>
      </c>
      <c r="Z518" s="2">
        <v>0</v>
      </c>
      <c r="AA518" s="3">
        <v>0</v>
      </c>
      <c r="AB518" s="3">
        <v>3</v>
      </c>
      <c r="AC518" s="3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0</v>
      </c>
      <c r="AL518" s="1">
        <v>0</v>
      </c>
      <c r="AM518" s="1">
        <v>0</v>
      </c>
      <c r="AN518" t="s">
        <v>745</v>
      </c>
    </row>
    <row r="519" spans="1:40" x14ac:dyDescent="0.25">
      <c r="A519" t="s">
        <v>780</v>
      </c>
      <c r="B519" t="s">
        <v>781</v>
      </c>
      <c r="C519" s="4" t="s">
        <v>1834</v>
      </c>
      <c r="D519" t="s">
        <v>1835</v>
      </c>
      <c r="E519" t="s">
        <v>36</v>
      </c>
      <c r="F519" t="str">
        <f>LEFT(premier_player_23_24[[#This Row],[Position]],2)</f>
        <v>MF</v>
      </c>
      <c r="G519" s="3">
        <v>26</v>
      </c>
      <c r="H51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19" s="3">
        <v>28</v>
      </c>
      <c r="J519" s="3">
        <v>26</v>
      </c>
      <c r="K519" s="2">
        <v>2068</v>
      </c>
      <c r="L519" s="2" t="str">
        <f>IF(premier_player_23_24[[#This Row],[Minutes]]&gt;1000,"More than 1000 minutes","Less than 1000 minutes")</f>
        <v>More than 1000 minutes</v>
      </c>
      <c r="M519" s="2">
        <v>23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2">
        <v>10</v>
      </c>
      <c r="U519" s="2">
        <v>2</v>
      </c>
      <c r="V519" s="2">
        <v>1.4</v>
      </c>
      <c r="W519" s="2">
        <f>premier_player_23_24[[#This Row],[Goals]]-premier_player_23_24[[#This Row],[Expected Goals ]]</f>
        <v>-1.4</v>
      </c>
      <c r="X519" s="2">
        <v>1.4</v>
      </c>
      <c r="Y519" s="2">
        <v>0.4</v>
      </c>
      <c r="Z519" s="2">
        <v>1.8</v>
      </c>
      <c r="AA519" s="3">
        <v>43</v>
      </c>
      <c r="AB519" s="3">
        <v>169</v>
      </c>
      <c r="AC519" s="3">
        <v>13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0.06</v>
      </c>
      <c r="AJ519" s="1">
        <v>0.02</v>
      </c>
      <c r="AK519" s="1">
        <v>0.08</v>
      </c>
      <c r="AL519" s="1">
        <v>0.06</v>
      </c>
      <c r="AM519" s="1">
        <v>0.08</v>
      </c>
      <c r="AN519" t="s">
        <v>745</v>
      </c>
    </row>
    <row r="520" spans="1:40" x14ac:dyDescent="0.25">
      <c r="A520" t="s">
        <v>803</v>
      </c>
      <c r="B520" t="s">
        <v>804</v>
      </c>
      <c r="C520" s="4" t="s">
        <v>1788</v>
      </c>
      <c r="D520" t="s">
        <v>1789</v>
      </c>
      <c r="E520" t="s">
        <v>36</v>
      </c>
      <c r="F520" t="str">
        <f>LEFT(premier_player_23_24[[#This Row],[Position]],2)</f>
        <v>MF</v>
      </c>
      <c r="G520" s="3">
        <v>27</v>
      </c>
      <c r="H52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20" s="3">
        <v>36</v>
      </c>
      <c r="J520" s="3">
        <v>8</v>
      </c>
      <c r="K520" s="2">
        <v>1311</v>
      </c>
      <c r="L520" s="2" t="str">
        <f>IF(premier_player_23_24[[#This Row],[Minutes]]&gt;1000,"More than 1000 minutes","Less than 1000 minutes")</f>
        <v>More than 1000 minutes</v>
      </c>
      <c r="M520" s="2">
        <v>14.6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2">
        <v>4</v>
      </c>
      <c r="U520" s="2">
        <v>0</v>
      </c>
      <c r="V520" s="2">
        <v>0.7</v>
      </c>
      <c r="W520" s="2">
        <f>premier_player_23_24[[#This Row],[Goals]]-premier_player_23_24[[#This Row],[Expected Goals ]]</f>
        <v>-0.7</v>
      </c>
      <c r="X520" s="2">
        <v>0.7</v>
      </c>
      <c r="Y520" s="2">
        <v>1.2</v>
      </c>
      <c r="Z520" s="2">
        <v>1.9</v>
      </c>
      <c r="AA520" s="3">
        <v>17</v>
      </c>
      <c r="AB520" s="3">
        <v>134</v>
      </c>
      <c r="AC520" s="3">
        <v>29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0.05</v>
      </c>
      <c r="AJ520" s="1">
        <v>0.08</v>
      </c>
      <c r="AK520" s="1">
        <v>0.13</v>
      </c>
      <c r="AL520" s="1">
        <v>0.05</v>
      </c>
      <c r="AM520" s="1">
        <v>0.13</v>
      </c>
      <c r="AN520" t="s">
        <v>745</v>
      </c>
    </row>
    <row r="521" spans="1:40" x14ac:dyDescent="0.25">
      <c r="A521" t="s">
        <v>807</v>
      </c>
      <c r="B521" t="s">
        <v>57</v>
      </c>
      <c r="C521" s="4" t="s">
        <v>1744</v>
      </c>
      <c r="D521" t="s">
        <v>1745</v>
      </c>
      <c r="E521" t="s">
        <v>524</v>
      </c>
      <c r="F521" t="str">
        <f>LEFT(premier_player_23_24[[#This Row],[Position]],2)</f>
        <v>MF</v>
      </c>
      <c r="G521" s="3">
        <v>22</v>
      </c>
      <c r="H52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21" s="3">
        <v>21</v>
      </c>
      <c r="J521" s="3">
        <v>5</v>
      </c>
      <c r="K521" s="2">
        <v>707</v>
      </c>
      <c r="L521" s="2" t="str">
        <f>IF(premier_player_23_24[[#This Row],[Minutes]]&gt;1000,"More than 1000 minutes","Less than 1000 minutes")</f>
        <v>Less than 1000 minutes</v>
      </c>
      <c r="M521" s="2">
        <v>7.9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2">
        <v>3</v>
      </c>
      <c r="U521" s="2">
        <v>0</v>
      </c>
      <c r="V521" s="2">
        <v>0.7</v>
      </c>
      <c r="W521" s="2">
        <f>premier_player_23_24[[#This Row],[Goals]]-premier_player_23_24[[#This Row],[Expected Goals ]]</f>
        <v>-0.7</v>
      </c>
      <c r="X521" s="2">
        <v>0.7</v>
      </c>
      <c r="Y521" s="2">
        <v>0.6</v>
      </c>
      <c r="Z521" s="2">
        <v>1.3</v>
      </c>
      <c r="AA521" s="3">
        <v>8</v>
      </c>
      <c r="AB521" s="3">
        <v>37</v>
      </c>
      <c r="AC521" s="3">
        <v>25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>
        <v>0.09</v>
      </c>
      <c r="AJ521" s="1">
        <v>7.0000000000000007E-2</v>
      </c>
      <c r="AK521" s="1">
        <v>0.16</v>
      </c>
      <c r="AL521" s="1">
        <v>0.09</v>
      </c>
      <c r="AM521" s="1">
        <v>0.16</v>
      </c>
      <c r="AN521" t="s">
        <v>745</v>
      </c>
    </row>
    <row r="522" spans="1:40" x14ac:dyDescent="0.25">
      <c r="A522" t="s">
        <v>812</v>
      </c>
      <c r="B522" t="s">
        <v>813</v>
      </c>
      <c r="C522" s="4" t="s">
        <v>1794</v>
      </c>
      <c r="D522" t="s">
        <v>1795</v>
      </c>
      <c r="E522" t="s">
        <v>108</v>
      </c>
      <c r="F522" t="str">
        <f>LEFT(premier_player_23_24[[#This Row],[Position]],2)</f>
        <v>DF</v>
      </c>
      <c r="G522" s="3">
        <v>21</v>
      </c>
      <c r="H52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22" s="3">
        <v>9</v>
      </c>
      <c r="J522" s="3">
        <v>4</v>
      </c>
      <c r="K522" s="2">
        <v>429</v>
      </c>
      <c r="L522" s="2" t="str">
        <f>IF(premier_player_23_24[[#This Row],[Minutes]]&gt;1000,"More than 1000 minutes","Less than 1000 minutes")</f>
        <v>Less than 1000 minutes</v>
      </c>
      <c r="M522" s="2">
        <v>4.8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2">
        <v>1</v>
      </c>
      <c r="U522" s="2">
        <v>0</v>
      </c>
      <c r="V522" s="2">
        <v>0.1</v>
      </c>
      <c r="W522" s="2">
        <f>premier_player_23_24[[#This Row],[Goals]]-premier_player_23_24[[#This Row],[Expected Goals ]]</f>
        <v>-0.1</v>
      </c>
      <c r="X522" s="2">
        <v>0.1</v>
      </c>
      <c r="Y522" s="2">
        <v>0</v>
      </c>
      <c r="Z522" s="2">
        <v>0.1</v>
      </c>
      <c r="AA522" s="3">
        <v>5</v>
      </c>
      <c r="AB522" s="3">
        <v>8</v>
      </c>
      <c r="AC522" s="3">
        <v>1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0.03</v>
      </c>
      <c r="AJ522" s="1">
        <v>0</v>
      </c>
      <c r="AK522" s="1">
        <v>0.03</v>
      </c>
      <c r="AL522" s="1">
        <v>0.03</v>
      </c>
      <c r="AM522" s="1">
        <v>0.03</v>
      </c>
      <c r="AN522" t="s">
        <v>745</v>
      </c>
    </row>
    <row r="523" spans="1:40" x14ac:dyDescent="0.25">
      <c r="A523" t="s">
        <v>815</v>
      </c>
      <c r="B523" t="s">
        <v>35</v>
      </c>
      <c r="C523" s="4" t="s">
        <v>1764</v>
      </c>
      <c r="D523" t="s">
        <v>1765</v>
      </c>
      <c r="E523" t="s">
        <v>58</v>
      </c>
      <c r="F523" t="str">
        <f>LEFT(premier_player_23_24[[#This Row],[Position]],2)</f>
        <v>FW</v>
      </c>
      <c r="G523" s="3">
        <v>22</v>
      </c>
      <c r="H52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23" s="3">
        <v>11</v>
      </c>
      <c r="J523" s="3">
        <v>2</v>
      </c>
      <c r="K523" s="2">
        <v>209</v>
      </c>
      <c r="L523" s="2" t="str">
        <f>IF(premier_player_23_24[[#This Row],[Minutes]]&gt;1000,"More than 1000 minutes","Less than 1000 minutes")</f>
        <v>Less than 1000 minutes</v>
      </c>
      <c r="M523" s="2">
        <v>2.2999999999999998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2">
        <v>0</v>
      </c>
      <c r="U523" s="2">
        <v>0</v>
      </c>
      <c r="V523" s="2">
        <v>0.8</v>
      </c>
      <c r="W523" s="2">
        <f>premier_player_23_24[[#This Row],[Goals]]-premier_player_23_24[[#This Row],[Expected Goals ]]</f>
        <v>-0.8</v>
      </c>
      <c r="X523" s="2">
        <v>0.8</v>
      </c>
      <c r="Y523" s="2">
        <v>0.2</v>
      </c>
      <c r="Z523" s="2">
        <v>1</v>
      </c>
      <c r="AA523" s="3">
        <v>11</v>
      </c>
      <c r="AB523" s="3">
        <v>16</v>
      </c>
      <c r="AC523" s="3">
        <v>49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0.32</v>
      </c>
      <c r="AJ523" s="1">
        <v>0.09</v>
      </c>
      <c r="AK523" s="1">
        <v>0.41</v>
      </c>
      <c r="AL523" s="1">
        <v>0.32</v>
      </c>
      <c r="AM523" s="1">
        <v>0.41</v>
      </c>
      <c r="AN523" t="s">
        <v>745</v>
      </c>
    </row>
    <row r="524" spans="1:40" x14ac:dyDescent="0.25">
      <c r="A524" t="s">
        <v>820</v>
      </c>
      <c r="B524" t="s">
        <v>57</v>
      </c>
      <c r="C524" s="4" t="s">
        <v>1744</v>
      </c>
      <c r="D524" t="s">
        <v>1745</v>
      </c>
      <c r="E524" t="s">
        <v>108</v>
      </c>
      <c r="F524" t="str">
        <f>LEFT(premier_player_23_24[[#This Row],[Position]],2)</f>
        <v>DF</v>
      </c>
      <c r="G524" s="3">
        <v>29</v>
      </c>
      <c r="H52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24" s="3">
        <v>4</v>
      </c>
      <c r="J524" s="3">
        <v>1</v>
      </c>
      <c r="K524" s="2">
        <v>201</v>
      </c>
      <c r="L524" s="2" t="str">
        <f>IF(premier_player_23_24[[#This Row],[Minutes]]&gt;1000,"More than 1000 minutes","Less than 1000 minutes")</f>
        <v>Less than 1000 minutes</v>
      </c>
      <c r="M524" s="2">
        <v>2.2000000000000002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2">
        <v>0</v>
      </c>
      <c r="U524" s="2">
        <v>0</v>
      </c>
      <c r="V524" s="2">
        <v>0</v>
      </c>
      <c r="W524" s="2">
        <f>premier_player_23_24[[#This Row],[Goals]]-premier_player_23_24[[#This Row],[Expected Goals ]]</f>
        <v>0</v>
      </c>
      <c r="X524" s="2">
        <v>0</v>
      </c>
      <c r="Y524" s="2">
        <v>0</v>
      </c>
      <c r="Z524" s="2">
        <v>0</v>
      </c>
      <c r="AA524" s="3">
        <v>0</v>
      </c>
      <c r="AB524" s="3">
        <v>3</v>
      </c>
      <c r="AC524" s="3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  <c r="AL524" s="1">
        <v>0</v>
      </c>
      <c r="AM524" s="1">
        <v>0</v>
      </c>
      <c r="AN524" t="s">
        <v>745</v>
      </c>
    </row>
    <row r="525" spans="1:40" x14ac:dyDescent="0.25">
      <c r="A525" t="s">
        <v>823</v>
      </c>
      <c r="B525" t="s">
        <v>287</v>
      </c>
      <c r="C525" s="4" t="s">
        <v>1772</v>
      </c>
      <c r="D525" t="s">
        <v>1773</v>
      </c>
      <c r="E525" t="s">
        <v>108</v>
      </c>
      <c r="F525" t="str">
        <f>LEFT(premier_player_23_24[[#This Row],[Position]],2)</f>
        <v>DF</v>
      </c>
      <c r="G525" s="3">
        <v>27</v>
      </c>
      <c r="H52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25" s="3">
        <v>1</v>
      </c>
      <c r="J525" s="3">
        <v>0</v>
      </c>
      <c r="K525" s="2">
        <v>77</v>
      </c>
      <c r="L525" s="2" t="str">
        <f>IF(premier_player_23_24[[#This Row],[Minutes]]&gt;1000,"More than 1000 minutes","Less than 1000 minutes")</f>
        <v>Less than 1000 minutes</v>
      </c>
      <c r="M525" s="2">
        <v>0.9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2">
        <v>1</v>
      </c>
      <c r="U525" s="2">
        <v>0</v>
      </c>
      <c r="V525" s="2">
        <v>0.1</v>
      </c>
      <c r="W525" s="2">
        <f>premier_player_23_24[[#This Row],[Goals]]-premier_player_23_24[[#This Row],[Expected Goals ]]</f>
        <v>-0.1</v>
      </c>
      <c r="X525" s="2">
        <v>0.1</v>
      </c>
      <c r="Y525" s="2">
        <v>0</v>
      </c>
      <c r="Z525" s="2">
        <v>0.1</v>
      </c>
      <c r="AA525" s="3">
        <v>0</v>
      </c>
      <c r="AB525" s="3">
        <v>2</v>
      </c>
      <c r="AC525" s="3">
        <v>0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0.14000000000000001</v>
      </c>
      <c r="AJ525" s="1">
        <v>0</v>
      </c>
      <c r="AK525" s="1">
        <v>0.14000000000000001</v>
      </c>
      <c r="AL525" s="1">
        <v>0.14000000000000001</v>
      </c>
      <c r="AM525" s="1">
        <v>0.14000000000000001</v>
      </c>
      <c r="AN525" t="s">
        <v>745</v>
      </c>
    </row>
    <row r="526" spans="1:40" x14ac:dyDescent="0.25">
      <c r="A526" t="s">
        <v>825</v>
      </c>
      <c r="B526" t="s">
        <v>57</v>
      </c>
      <c r="C526" s="4" t="s">
        <v>1744</v>
      </c>
      <c r="D526" t="s">
        <v>1745</v>
      </c>
      <c r="E526" t="s">
        <v>137</v>
      </c>
      <c r="F526" t="str">
        <f>LEFT(premier_player_23_24[[#This Row],[Position]],2)</f>
        <v>FW</v>
      </c>
      <c r="G526" s="3">
        <v>19</v>
      </c>
      <c r="H52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26" s="3">
        <v>4</v>
      </c>
      <c r="J526" s="3">
        <v>0</v>
      </c>
      <c r="K526" s="2">
        <v>22</v>
      </c>
      <c r="L526" s="2" t="str">
        <f>IF(premier_player_23_24[[#This Row],[Minutes]]&gt;1000,"More than 1000 minutes","Less than 1000 minutes")</f>
        <v>Less than 1000 minutes</v>
      </c>
      <c r="M526" s="2">
        <v>0.2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2">
        <v>0</v>
      </c>
      <c r="U526" s="2">
        <v>0</v>
      </c>
      <c r="V526" s="2">
        <v>0</v>
      </c>
      <c r="W526" s="2">
        <f>premier_player_23_24[[#This Row],[Goals]]-premier_player_23_24[[#This Row],[Expected Goals ]]</f>
        <v>0</v>
      </c>
      <c r="X526" s="2">
        <v>0</v>
      </c>
      <c r="Y526" s="2">
        <v>0</v>
      </c>
      <c r="Z526" s="2">
        <v>0</v>
      </c>
      <c r="AA526" s="3">
        <v>0</v>
      </c>
      <c r="AB526" s="3">
        <v>1</v>
      </c>
      <c r="AC526" s="3">
        <v>4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0</v>
      </c>
      <c r="AM526" s="1">
        <v>0</v>
      </c>
      <c r="AN526" t="s">
        <v>745</v>
      </c>
    </row>
    <row r="527" spans="1:40" x14ac:dyDescent="0.25">
      <c r="A527" t="s">
        <v>826</v>
      </c>
      <c r="B527" t="s">
        <v>57</v>
      </c>
      <c r="C527" s="4" t="s">
        <v>1744</v>
      </c>
      <c r="D527" t="s">
        <v>1745</v>
      </c>
      <c r="E527" t="s">
        <v>36</v>
      </c>
      <c r="F527" t="str">
        <f>LEFT(premier_player_23_24[[#This Row],[Position]],2)</f>
        <v>MF</v>
      </c>
      <c r="G527" s="3">
        <v>15</v>
      </c>
      <c r="H52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27" s="3">
        <v>2</v>
      </c>
      <c r="J527" s="3">
        <v>0</v>
      </c>
      <c r="K527" s="2">
        <v>4</v>
      </c>
      <c r="L527" s="2" t="str">
        <f>IF(premier_player_23_24[[#This Row],[Minutes]]&gt;1000,"More than 1000 minutes","Less than 1000 minutes")</f>
        <v>Less than 1000 minutes</v>
      </c>
      <c r="M527" s="2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2">
        <v>0</v>
      </c>
      <c r="U527" s="2">
        <v>0</v>
      </c>
      <c r="V527" s="2">
        <v>0</v>
      </c>
      <c r="W527" s="2">
        <f>premier_player_23_24[[#This Row],[Goals]]-premier_player_23_24[[#This Row],[Expected Goals ]]</f>
        <v>0</v>
      </c>
      <c r="X527" s="2">
        <v>0</v>
      </c>
      <c r="Y527" s="2">
        <v>0</v>
      </c>
      <c r="Z527" s="2">
        <v>0</v>
      </c>
      <c r="AA527" s="3">
        <v>2</v>
      </c>
      <c r="AB527" s="3">
        <v>1</v>
      </c>
      <c r="AC527" s="3">
        <v>2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0</v>
      </c>
      <c r="AM527" s="1">
        <v>0</v>
      </c>
      <c r="AN527" t="s">
        <v>745</v>
      </c>
    </row>
    <row r="528" spans="1:40" x14ac:dyDescent="0.25">
      <c r="A528" t="s">
        <v>827</v>
      </c>
      <c r="B528" t="s">
        <v>57</v>
      </c>
      <c r="C528" s="4" t="s">
        <v>1744</v>
      </c>
      <c r="D528" t="s">
        <v>1745</v>
      </c>
      <c r="E528" t="s">
        <v>137</v>
      </c>
      <c r="F528" t="str">
        <f>LEFT(premier_player_23_24[[#This Row],[Position]],2)</f>
        <v>FW</v>
      </c>
      <c r="G528" s="3">
        <v>18</v>
      </c>
      <c r="H52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28" s="3">
        <v>3</v>
      </c>
      <c r="J528" s="3">
        <v>0</v>
      </c>
      <c r="K528" s="2">
        <v>3</v>
      </c>
      <c r="L528" s="2" t="str">
        <f>IF(premier_player_23_24[[#This Row],[Minutes]]&gt;1000,"More than 1000 minutes","Less than 1000 minutes")</f>
        <v>Less than 1000 minutes</v>
      </c>
      <c r="M528" s="2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2">
        <v>1</v>
      </c>
      <c r="U528" s="2">
        <v>0</v>
      </c>
      <c r="V528" s="2">
        <v>0</v>
      </c>
      <c r="W528" s="2">
        <f>premier_player_23_24[[#This Row],[Goals]]-premier_player_23_24[[#This Row],[Expected Goals ]]</f>
        <v>0</v>
      </c>
      <c r="X528" s="2">
        <v>0</v>
      </c>
      <c r="Y528" s="2">
        <v>0</v>
      </c>
      <c r="Z528" s="2">
        <v>0</v>
      </c>
      <c r="AA528" s="3">
        <v>0</v>
      </c>
      <c r="AB528" s="3">
        <v>0</v>
      </c>
      <c r="AC528" s="3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0</v>
      </c>
      <c r="AM528" s="1">
        <v>0</v>
      </c>
      <c r="AN528" t="s">
        <v>745</v>
      </c>
    </row>
    <row r="529" spans="1:40" x14ac:dyDescent="0.25">
      <c r="A529" t="s">
        <v>1045</v>
      </c>
      <c r="B529" t="s">
        <v>57</v>
      </c>
      <c r="C529" s="4" t="s">
        <v>1744</v>
      </c>
      <c r="D529" t="s">
        <v>1745</v>
      </c>
      <c r="E529" t="s">
        <v>137</v>
      </c>
      <c r="F529" t="str">
        <f>LEFT(premier_player_23_24[[#This Row],[Position]],2)</f>
        <v>FW</v>
      </c>
      <c r="G529" s="3">
        <v>18</v>
      </c>
      <c r="H52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29" s="3">
        <v>3</v>
      </c>
      <c r="J529" s="3">
        <v>0</v>
      </c>
      <c r="K529" s="2">
        <v>34</v>
      </c>
      <c r="L529" s="2" t="str">
        <f>IF(premier_player_23_24[[#This Row],[Minutes]]&gt;1000,"More than 1000 minutes","Less than 1000 minutes")</f>
        <v>Less than 1000 minutes</v>
      </c>
      <c r="M529" s="2">
        <v>0.4</v>
      </c>
      <c r="N529" s="3">
        <v>1</v>
      </c>
      <c r="O529" s="3">
        <v>0</v>
      </c>
      <c r="P529" s="3">
        <v>1</v>
      </c>
      <c r="Q529" s="3">
        <v>1</v>
      </c>
      <c r="R529" s="3">
        <v>0</v>
      </c>
      <c r="S529" s="3">
        <v>0</v>
      </c>
      <c r="T529" s="2">
        <v>0</v>
      </c>
      <c r="U529" s="2">
        <v>0</v>
      </c>
      <c r="V529" s="2">
        <v>0.3</v>
      </c>
      <c r="W529" s="2">
        <f>premier_player_23_24[[#This Row],[Goals]]-premier_player_23_24[[#This Row],[Expected Goals ]]</f>
        <v>0.7</v>
      </c>
      <c r="X529" s="2">
        <v>0.3</v>
      </c>
      <c r="Y529" s="2">
        <v>0</v>
      </c>
      <c r="Z529" s="2">
        <v>0.3</v>
      </c>
      <c r="AA529" s="3">
        <v>0</v>
      </c>
      <c r="AB529" s="3">
        <v>1</v>
      </c>
      <c r="AC529" s="3">
        <v>3</v>
      </c>
      <c r="AD529" s="1">
        <v>2.65</v>
      </c>
      <c r="AE529" s="1">
        <v>0</v>
      </c>
      <c r="AF529" s="1">
        <v>2.65</v>
      </c>
      <c r="AG529" s="1">
        <v>2.65</v>
      </c>
      <c r="AH529" s="1">
        <v>2.65</v>
      </c>
      <c r="AI529" s="1">
        <v>0.82</v>
      </c>
      <c r="AJ529" s="1">
        <v>0</v>
      </c>
      <c r="AK529" s="1">
        <v>0.82</v>
      </c>
      <c r="AL529" s="1">
        <v>0.82</v>
      </c>
      <c r="AM529" s="1">
        <v>0.82</v>
      </c>
      <c r="AN529" t="s">
        <v>986</v>
      </c>
    </row>
    <row r="530" spans="1:40" x14ac:dyDescent="0.25">
      <c r="A530" t="s">
        <v>1043</v>
      </c>
      <c r="B530" t="s">
        <v>891</v>
      </c>
      <c r="C530" s="4" t="s">
        <v>1798</v>
      </c>
      <c r="D530" t="s">
        <v>1799</v>
      </c>
      <c r="E530" t="s">
        <v>86</v>
      </c>
      <c r="F530" t="str">
        <f>LEFT(premier_player_23_24[[#This Row],[Position]],2)</f>
        <v>MF</v>
      </c>
      <c r="G530" s="3">
        <v>26</v>
      </c>
      <c r="H53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30" s="3">
        <v>7</v>
      </c>
      <c r="J530" s="3">
        <v>1</v>
      </c>
      <c r="K530" s="2">
        <v>112</v>
      </c>
      <c r="L530" s="2" t="str">
        <f>IF(premier_player_23_24[[#This Row],[Minutes]]&gt;1000,"More than 1000 minutes","Less than 1000 minutes")</f>
        <v>Less than 1000 minutes</v>
      </c>
      <c r="M530" s="2">
        <v>1.2</v>
      </c>
      <c r="N530" s="3">
        <v>1</v>
      </c>
      <c r="O530" s="3">
        <v>0</v>
      </c>
      <c r="P530" s="3">
        <v>1</v>
      </c>
      <c r="Q530" s="3">
        <v>1</v>
      </c>
      <c r="R530" s="3">
        <v>0</v>
      </c>
      <c r="S530" s="3">
        <v>0</v>
      </c>
      <c r="T530" s="2">
        <v>0</v>
      </c>
      <c r="U530" s="2">
        <v>0</v>
      </c>
      <c r="V530" s="2">
        <v>0.4</v>
      </c>
      <c r="W530" s="2">
        <f>premier_player_23_24[[#This Row],[Goals]]-premier_player_23_24[[#This Row],[Expected Goals ]]</f>
        <v>0.6</v>
      </c>
      <c r="X530" s="2">
        <v>0.4</v>
      </c>
      <c r="Y530" s="2">
        <v>0.2</v>
      </c>
      <c r="Z530" s="2">
        <v>0.6</v>
      </c>
      <c r="AA530" s="3">
        <v>3</v>
      </c>
      <c r="AB530" s="3">
        <v>2</v>
      </c>
      <c r="AC530" s="3">
        <v>8</v>
      </c>
      <c r="AD530" s="1">
        <v>0.8</v>
      </c>
      <c r="AE530" s="1">
        <v>0</v>
      </c>
      <c r="AF530" s="1">
        <v>0.8</v>
      </c>
      <c r="AG530" s="1">
        <v>0.8</v>
      </c>
      <c r="AH530" s="1">
        <v>0.8</v>
      </c>
      <c r="AI530" s="1">
        <v>0.32</v>
      </c>
      <c r="AJ530" s="1">
        <v>0.13</v>
      </c>
      <c r="AK530" s="1">
        <v>0.46</v>
      </c>
      <c r="AL530" s="1">
        <v>0.32</v>
      </c>
      <c r="AM530" s="1">
        <v>0.46</v>
      </c>
      <c r="AN530" t="s">
        <v>986</v>
      </c>
    </row>
    <row r="531" spans="1:40" x14ac:dyDescent="0.25">
      <c r="A531" t="s">
        <v>991</v>
      </c>
      <c r="B531" t="s">
        <v>57</v>
      </c>
      <c r="C531" s="4" t="s">
        <v>1744</v>
      </c>
      <c r="D531" t="s">
        <v>1745</v>
      </c>
      <c r="E531" t="s">
        <v>137</v>
      </c>
      <c r="F531" t="str">
        <f>LEFT(premier_player_23_24[[#This Row],[Position]],2)</f>
        <v>FW</v>
      </c>
      <c r="G531" s="3">
        <v>26</v>
      </c>
      <c r="H53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31" s="3">
        <v>34</v>
      </c>
      <c r="J531" s="3">
        <v>34</v>
      </c>
      <c r="K531" s="2">
        <v>3019</v>
      </c>
      <c r="L531" s="2" t="str">
        <f>IF(premier_player_23_24[[#This Row],[Minutes]]&gt;1000,"More than 1000 minutes","Less than 1000 minutes")</f>
        <v>More than 1000 minutes</v>
      </c>
      <c r="M531" s="2">
        <v>33.5</v>
      </c>
      <c r="N531" s="3">
        <v>16</v>
      </c>
      <c r="O531" s="3">
        <v>6</v>
      </c>
      <c r="P531" s="3">
        <v>22</v>
      </c>
      <c r="Q531" s="3">
        <v>16</v>
      </c>
      <c r="R531" s="3">
        <v>0</v>
      </c>
      <c r="S531" s="3">
        <v>0</v>
      </c>
      <c r="T531" s="2">
        <v>2</v>
      </c>
      <c r="U531" s="2">
        <v>0</v>
      </c>
      <c r="V531" s="2">
        <v>11.6</v>
      </c>
      <c r="W531" s="2">
        <f>premier_player_23_24[[#This Row],[Goals]]-premier_player_23_24[[#This Row],[Expected Goals ]]</f>
        <v>4.4000000000000004</v>
      </c>
      <c r="X531" s="2">
        <v>11.6</v>
      </c>
      <c r="Y531" s="2">
        <v>5.5</v>
      </c>
      <c r="Z531" s="2">
        <v>17.2</v>
      </c>
      <c r="AA531" s="3">
        <v>90</v>
      </c>
      <c r="AB531" s="3">
        <v>52</v>
      </c>
      <c r="AC531" s="3">
        <v>186</v>
      </c>
      <c r="AD531" s="1">
        <v>0.48</v>
      </c>
      <c r="AE531" s="1">
        <v>0.18</v>
      </c>
      <c r="AF531" s="1">
        <v>0.66</v>
      </c>
      <c r="AG531" s="1">
        <v>0.48</v>
      </c>
      <c r="AH531" s="1">
        <v>0.66</v>
      </c>
      <c r="AI531" s="1">
        <v>0.35</v>
      </c>
      <c r="AJ531" s="1">
        <v>0.16</v>
      </c>
      <c r="AK531" s="1">
        <v>0.51</v>
      </c>
      <c r="AL531" s="1">
        <v>0.35</v>
      </c>
      <c r="AM531" s="1">
        <v>0.51</v>
      </c>
      <c r="AN531" t="s">
        <v>986</v>
      </c>
    </row>
    <row r="532" spans="1:40" x14ac:dyDescent="0.25">
      <c r="A532" t="s">
        <v>1014</v>
      </c>
      <c r="B532" t="s">
        <v>523</v>
      </c>
      <c r="C532" s="4" t="s">
        <v>1766</v>
      </c>
      <c r="D532" t="s">
        <v>1767</v>
      </c>
      <c r="E532" t="s">
        <v>58</v>
      </c>
      <c r="F532" t="str">
        <f>LEFT(premier_player_23_24[[#This Row],[Position]],2)</f>
        <v>FW</v>
      </c>
      <c r="G532" s="3">
        <v>22</v>
      </c>
      <c r="H53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32" s="3">
        <v>33</v>
      </c>
      <c r="J532" s="3">
        <v>27</v>
      </c>
      <c r="K532" s="2">
        <v>2484</v>
      </c>
      <c r="L532" s="2" t="str">
        <f>IF(premier_player_23_24[[#This Row],[Minutes]]&gt;1000,"More than 1000 minutes","Less than 1000 minutes")</f>
        <v>More than 1000 minutes</v>
      </c>
      <c r="M532" s="2">
        <v>27.6</v>
      </c>
      <c r="N532" s="3">
        <v>8</v>
      </c>
      <c r="O532" s="3">
        <v>6</v>
      </c>
      <c r="P532" s="3">
        <v>14</v>
      </c>
      <c r="Q532" s="3">
        <v>8</v>
      </c>
      <c r="R532" s="3">
        <v>0</v>
      </c>
      <c r="S532" s="3">
        <v>0</v>
      </c>
      <c r="T532" s="2">
        <v>6</v>
      </c>
      <c r="U532" s="2">
        <v>0</v>
      </c>
      <c r="V532" s="2">
        <v>5.0999999999999996</v>
      </c>
      <c r="W532" s="2">
        <f>premier_player_23_24[[#This Row],[Goals]]-premier_player_23_24[[#This Row],[Expected Goals ]]</f>
        <v>2.9000000000000004</v>
      </c>
      <c r="X532" s="2">
        <v>5.0999999999999996</v>
      </c>
      <c r="Y532" s="2">
        <v>3.5</v>
      </c>
      <c r="Z532" s="2">
        <v>8.6</v>
      </c>
      <c r="AA532" s="3">
        <v>117</v>
      </c>
      <c r="AB532" s="3">
        <v>80</v>
      </c>
      <c r="AC532" s="3">
        <v>216</v>
      </c>
      <c r="AD532" s="1">
        <v>0.28999999999999998</v>
      </c>
      <c r="AE532" s="1">
        <v>0.22</v>
      </c>
      <c r="AF532" s="1">
        <v>0.51</v>
      </c>
      <c r="AG532" s="1">
        <v>0.28999999999999998</v>
      </c>
      <c r="AH532" s="1">
        <v>0.51</v>
      </c>
      <c r="AI532" s="1">
        <v>0.19</v>
      </c>
      <c r="AJ532" s="1">
        <v>0.13</v>
      </c>
      <c r="AK532" s="1">
        <v>0.31</v>
      </c>
      <c r="AL532" s="1">
        <v>0.19</v>
      </c>
      <c r="AM532" s="1">
        <v>0.31</v>
      </c>
      <c r="AN532" t="s">
        <v>986</v>
      </c>
    </row>
    <row r="533" spans="1:40" x14ac:dyDescent="0.25">
      <c r="A533" t="s">
        <v>995</v>
      </c>
      <c r="B533" t="s">
        <v>57</v>
      </c>
      <c r="C533" s="4" t="s">
        <v>1744</v>
      </c>
      <c r="D533" t="s">
        <v>1745</v>
      </c>
      <c r="E533" t="s">
        <v>36</v>
      </c>
      <c r="F533" t="str">
        <f>LEFT(premier_player_23_24[[#This Row],[Position]],2)</f>
        <v>MF</v>
      </c>
      <c r="G533" s="3">
        <v>28</v>
      </c>
      <c r="H53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33" s="3">
        <v>37</v>
      </c>
      <c r="J533" s="3">
        <v>34</v>
      </c>
      <c r="K533" s="2">
        <v>3001</v>
      </c>
      <c r="L533" s="2" t="str">
        <f>IF(premier_player_23_24[[#This Row],[Minutes]]&gt;1000,"More than 1000 minutes","Less than 1000 minutes")</f>
        <v>More than 1000 minutes</v>
      </c>
      <c r="M533" s="2">
        <v>33.299999999999997</v>
      </c>
      <c r="N533" s="3">
        <v>7</v>
      </c>
      <c r="O533" s="3">
        <v>7</v>
      </c>
      <c r="P533" s="3">
        <v>14</v>
      </c>
      <c r="Q533" s="3">
        <v>5</v>
      </c>
      <c r="R533" s="3">
        <v>2</v>
      </c>
      <c r="S533" s="3">
        <v>2</v>
      </c>
      <c r="T533" s="2">
        <v>4</v>
      </c>
      <c r="U533" s="2">
        <v>0</v>
      </c>
      <c r="V533" s="2">
        <v>6</v>
      </c>
      <c r="W533" s="2">
        <f>premier_player_23_24[[#This Row],[Goals]]-premier_player_23_24[[#This Row],[Expected Goals ]]</f>
        <v>1</v>
      </c>
      <c r="X533" s="2">
        <v>4.4000000000000004</v>
      </c>
      <c r="Y533" s="2">
        <v>7.8</v>
      </c>
      <c r="Z533" s="2">
        <v>12.3</v>
      </c>
      <c r="AA533" s="3">
        <v>18</v>
      </c>
      <c r="AB533" s="3">
        <v>144</v>
      </c>
      <c r="AC533" s="3">
        <v>63</v>
      </c>
      <c r="AD533" s="1">
        <v>0.21</v>
      </c>
      <c r="AE533" s="1">
        <v>0.21</v>
      </c>
      <c r="AF533" s="1">
        <v>0.42</v>
      </c>
      <c r="AG533" s="1">
        <v>0.15</v>
      </c>
      <c r="AH533" s="1">
        <v>0.36</v>
      </c>
      <c r="AI533" s="1">
        <v>0.18</v>
      </c>
      <c r="AJ533" s="1">
        <v>0.23</v>
      </c>
      <c r="AK533" s="1">
        <v>0.41</v>
      </c>
      <c r="AL533" s="1">
        <v>0.13</v>
      </c>
      <c r="AM533" s="1">
        <v>0.37</v>
      </c>
      <c r="AN533" t="s">
        <v>986</v>
      </c>
    </row>
    <row r="534" spans="1:40" x14ac:dyDescent="0.25">
      <c r="A534" t="s">
        <v>1022</v>
      </c>
      <c r="B534" t="s">
        <v>942</v>
      </c>
      <c r="C534" s="4" t="s">
        <v>1774</v>
      </c>
      <c r="D534" t="s">
        <v>1775</v>
      </c>
      <c r="E534" t="s">
        <v>137</v>
      </c>
      <c r="F534" t="str">
        <f>LEFT(premier_player_23_24[[#This Row],[Position]],2)</f>
        <v>FW</v>
      </c>
      <c r="G534" s="3">
        <v>33</v>
      </c>
      <c r="H53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34" s="3">
        <v>26</v>
      </c>
      <c r="J534" s="3">
        <v>21</v>
      </c>
      <c r="K534" s="2">
        <v>1695</v>
      </c>
      <c r="L534" s="2" t="str">
        <f>IF(premier_player_23_24[[#This Row],[Minutes]]&gt;1000,"More than 1000 minutes","Less than 1000 minutes")</f>
        <v>More than 1000 minutes</v>
      </c>
      <c r="M534" s="2">
        <v>18.8</v>
      </c>
      <c r="N534" s="3">
        <v>6</v>
      </c>
      <c r="O534" s="3">
        <v>2</v>
      </c>
      <c r="P534" s="3">
        <v>8</v>
      </c>
      <c r="Q534" s="3">
        <v>6</v>
      </c>
      <c r="R534" s="3">
        <v>0</v>
      </c>
      <c r="S534" s="3">
        <v>0</v>
      </c>
      <c r="T534" s="2">
        <v>6</v>
      </c>
      <c r="U534" s="2">
        <v>0</v>
      </c>
      <c r="V534" s="2">
        <v>5.8</v>
      </c>
      <c r="W534" s="2">
        <f>premier_player_23_24[[#This Row],[Goals]]-premier_player_23_24[[#This Row],[Expected Goals ]]</f>
        <v>0.20000000000000018</v>
      </c>
      <c r="X534" s="2">
        <v>5.8</v>
      </c>
      <c r="Y534" s="2">
        <v>0.9</v>
      </c>
      <c r="Z534" s="2">
        <v>6.7</v>
      </c>
      <c r="AA534" s="3">
        <v>48</v>
      </c>
      <c r="AB534" s="3">
        <v>22</v>
      </c>
      <c r="AC534" s="3">
        <v>104</v>
      </c>
      <c r="AD534" s="1">
        <v>0.32</v>
      </c>
      <c r="AE534" s="1">
        <v>0.11</v>
      </c>
      <c r="AF534" s="1">
        <v>0.42</v>
      </c>
      <c r="AG534" s="1">
        <v>0.32</v>
      </c>
      <c r="AH534" s="1">
        <v>0.42</v>
      </c>
      <c r="AI534" s="1">
        <v>0.31</v>
      </c>
      <c r="AJ534" s="1">
        <v>0.05</v>
      </c>
      <c r="AK534" s="1">
        <v>0.35</v>
      </c>
      <c r="AL534" s="1">
        <v>0.31</v>
      </c>
      <c r="AM534" s="1">
        <v>0.35</v>
      </c>
      <c r="AN534" t="s">
        <v>986</v>
      </c>
    </row>
    <row r="535" spans="1:40" x14ac:dyDescent="0.25">
      <c r="A535" t="s">
        <v>1006</v>
      </c>
      <c r="B535" t="s">
        <v>76</v>
      </c>
      <c r="C535" s="4" t="s">
        <v>1750</v>
      </c>
      <c r="D535" t="s">
        <v>1751</v>
      </c>
      <c r="E535" t="s">
        <v>58</v>
      </c>
      <c r="F535" t="str">
        <f>LEFT(premier_player_23_24[[#This Row],[Position]],2)</f>
        <v>FW</v>
      </c>
      <c r="G535" s="3">
        <v>25</v>
      </c>
      <c r="H53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35" s="3">
        <v>31</v>
      </c>
      <c r="J535" s="3">
        <v>31</v>
      </c>
      <c r="K535" s="2">
        <v>2622</v>
      </c>
      <c r="L535" s="2" t="str">
        <f>IF(premier_player_23_24[[#This Row],[Minutes]]&gt;1000,"More than 1000 minutes","Less than 1000 minutes")</f>
        <v>More than 1000 minutes</v>
      </c>
      <c r="M535" s="2">
        <v>29.1</v>
      </c>
      <c r="N535" s="3">
        <v>4</v>
      </c>
      <c r="O535" s="3">
        <v>6</v>
      </c>
      <c r="P535" s="3">
        <v>10</v>
      </c>
      <c r="Q535" s="3">
        <v>2</v>
      </c>
      <c r="R535" s="3">
        <v>2</v>
      </c>
      <c r="S535" s="3">
        <v>2</v>
      </c>
      <c r="T535" s="2">
        <v>10</v>
      </c>
      <c r="U535" s="2">
        <v>0</v>
      </c>
      <c r="V535" s="2">
        <v>5.4</v>
      </c>
      <c r="W535" s="2">
        <f>premier_player_23_24[[#This Row],[Goals]]-premier_player_23_24[[#This Row],[Expected Goals ]]</f>
        <v>-1.4000000000000004</v>
      </c>
      <c r="X535" s="2">
        <v>3.8</v>
      </c>
      <c r="Y535" s="2">
        <v>5.4</v>
      </c>
      <c r="Z535" s="2">
        <v>9.1999999999999993</v>
      </c>
      <c r="AA535" s="3">
        <v>34</v>
      </c>
      <c r="AB535" s="3">
        <v>187</v>
      </c>
      <c r="AC535" s="3">
        <v>116</v>
      </c>
      <c r="AD535" s="1">
        <v>0.14000000000000001</v>
      </c>
      <c r="AE535" s="1">
        <v>0.21</v>
      </c>
      <c r="AF535" s="1">
        <v>0.34</v>
      </c>
      <c r="AG535" s="1">
        <v>7.0000000000000007E-2</v>
      </c>
      <c r="AH535" s="1">
        <v>0.27</v>
      </c>
      <c r="AI535" s="1">
        <v>0.18</v>
      </c>
      <c r="AJ535" s="1">
        <v>0.18</v>
      </c>
      <c r="AK535" s="1">
        <v>0.37</v>
      </c>
      <c r="AL535" s="1">
        <v>0.13</v>
      </c>
      <c r="AM535" s="1">
        <v>0.32</v>
      </c>
      <c r="AN535" t="s">
        <v>986</v>
      </c>
    </row>
    <row r="536" spans="1:40" x14ac:dyDescent="0.25">
      <c r="A536" t="s">
        <v>997</v>
      </c>
      <c r="B536" t="s">
        <v>984</v>
      </c>
      <c r="C536" s="4" t="s">
        <v>1868</v>
      </c>
      <c r="D536" t="s">
        <v>1869</v>
      </c>
      <c r="E536" t="s">
        <v>36</v>
      </c>
      <c r="F536" t="str">
        <f>LEFT(premier_player_23_24[[#This Row],[Position]],2)</f>
        <v>MF</v>
      </c>
      <c r="G536" s="3">
        <v>28</v>
      </c>
      <c r="H53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36" s="3">
        <v>37</v>
      </c>
      <c r="J536" s="3">
        <v>34</v>
      </c>
      <c r="K536" s="2">
        <v>2870</v>
      </c>
      <c r="L536" s="2" t="str">
        <f>IF(premier_player_23_24[[#This Row],[Minutes]]&gt;1000,"More than 1000 minutes","Less than 1000 minutes")</f>
        <v>More than 1000 minutes</v>
      </c>
      <c r="M536" s="2">
        <v>31.9</v>
      </c>
      <c r="N536" s="3">
        <v>7</v>
      </c>
      <c r="O536" s="3">
        <v>2</v>
      </c>
      <c r="P536" s="3">
        <v>9</v>
      </c>
      <c r="Q536" s="3">
        <v>7</v>
      </c>
      <c r="R536" s="3">
        <v>0</v>
      </c>
      <c r="S536" s="3">
        <v>0</v>
      </c>
      <c r="T536" s="2">
        <v>7</v>
      </c>
      <c r="U536" s="2">
        <v>0</v>
      </c>
      <c r="V536" s="2">
        <v>6.7</v>
      </c>
      <c r="W536" s="2">
        <f>premier_player_23_24[[#This Row],[Goals]]-premier_player_23_24[[#This Row],[Expected Goals ]]</f>
        <v>0.29999999999999982</v>
      </c>
      <c r="X536" s="2">
        <v>6.7</v>
      </c>
      <c r="Y536" s="2">
        <v>1.7</v>
      </c>
      <c r="Z536" s="2">
        <v>8.4</v>
      </c>
      <c r="AA536" s="3">
        <v>7</v>
      </c>
      <c r="AB536" s="3">
        <v>86</v>
      </c>
      <c r="AC536" s="3">
        <v>39</v>
      </c>
      <c r="AD536" s="1">
        <v>0.22</v>
      </c>
      <c r="AE536" s="1">
        <v>0.06</v>
      </c>
      <c r="AF536" s="1">
        <v>0.28000000000000003</v>
      </c>
      <c r="AG536" s="1">
        <v>0.22</v>
      </c>
      <c r="AH536" s="1">
        <v>0.28000000000000003</v>
      </c>
      <c r="AI536" s="1">
        <v>0.21</v>
      </c>
      <c r="AJ536" s="1">
        <v>0.05</v>
      </c>
      <c r="AK536" s="1">
        <v>0.26</v>
      </c>
      <c r="AL536" s="1">
        <v>0.21</v>
      </c>
      <c r="AM536" s="1">
        <v>0.26</v>
      </c>
      <c r="AN536" t="s">
        <v>986</v>
      </c>
    </row>
    <row r="537" spans="1:40" x14ac:dyDescent="0.25">
      <c r="A537" t="s">
        <v>1040</v>
      </c>
      <c r="B537" t="s">
        <v>57</v>
      </c>
      <c r="C537" s="4" t="s">
        <v>1744</v>
      </c>
      <c r="D537" t="s">
        <v>1745</v>
      </c>
      <c r="E537" t="s">
        <v>137</v>
      </c>
      <c r="F537" t="str">
        <f>LEFT(premier_player_23_24[[#This Row],[Position]],2)</f>
        <v>FW</v>
      </c>
      <c r="G537" s="3">
        <v>31</v>
      </c>
      <c r="H53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37" s="3">
        <v>20</v>
      </c>
      <c r="J537" s="3">
        <v>3</v>
      </c>
      <c r="K537" s="2">
        <v>404</v>
      </c>
      <c r="L537" s="2" t="str">
        <f>IF(premier_player_23_24[[#This Row],[Minutes]]&gt;1000,"More than 1000 minutes","Less than 1000 minutes")</f>
        <v>Less than 1000 minutes</v>
      </c>
      <c r="M537" s="2">
        <v>4.5</v>
      </c>
      <c r="N537" s="3">
        <v>1</v>
      </c>
      <c r="O537" s="3">
        <v>0</v>
      </c>
      <c r="P537" s="3">
        <v>1</v>
      </c>
      <c r="Q537" s="3">
        <v>1</v>
      </c>
      <c r="R537" s="3">
        <v>0</v>
      </c>
      <c r="S537" s="3">
        <v>0</v>
      </c>
      <c r="T537" s="2">
        <v>1</v>
      </c>
      <c r="U537" s="2">
        <v>0</v>
      </c>
      <c r="V537" s="2">
        <v>1.3</v>
      </c>
      <c r="W537" s="2">
        <f>premier_player_23_24[[#This Row],[Goals]]-premier_player_23_24[[#This Row],[Expected Goals ]]</f>
        <v>-0.30000000000000004</v>
      </c>
      <c r="X537" s="2">
        <v>1.3</v>
      </c>
      <c r="Y537" s="2">
        <v>0.3</v>
      </c>
      <c r="Z537" s="2">
        <v>1.5</v>
      </c>
      <c r="AA537" s="3">
        <v>7</v>
      </c>
      <c r="AB537" s="3">
        <v>8</v>
      </c>
      <c r="AC537" s="3">
        <v>29</v>
      </c>
      <c r="AD537" s="1">
        <v>0.22</v>
      </c>
      <c r="AE537" s="1">
        <v>0</v>
      </c>
      <c r="AF537" s="1">
        <v>0.22</v>
      </c>
      <c r="AG537" s="1">
        <v>0.22</v>
      </c>
      <c r="AH537" s="1">
        <v>0.22</v>
      </c>
      <c r="AI537" s="1">
        <v>0.28000000000000003</v>
      </c>
      <c r="AJ537" s="1">
        <v>0.06</v>
      </c>
      <c r="AK537" s="1">
        <v>0.34</v>
      </c>
      <c r="AL537" s="1">
        <v>0.28000000000000003</v>
      </c>
      <c r="AM537" s="1">
        <v>0.34</v>
      </c>
      <c r="AN537" t="s">
        <v>986</v>
      </c>
    </row>
    <row r="538" spans="1:40" x14ac:dyDescent="0.25">
      <c r="A538" t="s">
        <v>983</v>
      </c>
      <c r="B538" t="s">
        <v>984</v>
      </c>
      <c r="C538" s="4" t="s">
        <v>1868</v>
      </c>
      <c r="D538" t="s">
        <v>1869</v>
      </c>
      <c r="E538" t="s">
        <v>108</v>
      </c>
      <c r="F538" t="str">
        <f>LEFT(premier_player_23_24[[#This Row],[Position]],2)</f>
        <v>DF</v>
      </c>
      <c r="G538" s="3">
        <v>30</v>
      </c>
      <c r="H53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38" s="3">
        <v>36</v>
      </c>
      <c r="J538" s="3">
        <v>36</v>
      </c>
      <c r="K538" s="2">
        <v>3132</v>
      </c>
      <c r="L538" s="2" t="str">
        <f>IF(premier_player_23_24[[#This Row],[Minutes]]&gt;1000,"More than 1000 minutes","Less than 1000 minutes")</f>
        <v>More than 1000 minutes</v>
      </c>
      <c r="M538" s="2">
        <v>34.799999999999997</v>
      </c>
      <c r="N538" s="3">
        <v>0</v>
      </c>
      <c r="O538" s="3">
        <v>7</v>
      </c>
      <c r="P538" s="3">
        <v>7</v>
      </c>
      <c r="Q538" s="3">
        <v>0</v>
      </c>
      <c r="R538" s="3">
        <v>0</v>
      </c>
      <c r="S538" s="3">
        <v>0</v>
      </c>
      <c r="T538" s="2">
        <v>7</v>
      </c>
      <c r="U538" s="2">
        <v>1</v>
      </c>
      <c r="V538" s="2">
        <v>0.3</v>
      </c>
      <c r="W538" s="2">
        <f>premier_player_23_24[[#This Row],[Goals]]-premier_player_23_24[[#This Row],[Expected Goals ]]</f>
        <v>-0.3</v>
      </c>
      <c r="X538" s="2">
        <v>0.3</v>
      </c>
      <c r="Y538" s="2">
        <v>4</v>
      </c>
      <c r="Z538" s="2">
        <v>4.3</v>
      </c>
      <c r="AA538" s="3">
        <v>68</v>
      </c>
      <c r="AB538" s="3">
        <v>119</v>
      </c>
      <c r="AC538" s="3">
        <v>126</v>
      </c>
      <c r="AD538" s="1">
        <v>0</v>
      </c>
      <c r="AE538" s="1">
        <v>0.2</v>
      </c>
      <c r="AF538" s="1">
        <v>0.2</v>
      </c>
      <c r="AG538" s="1">
        <v>0</v>
      </c>
      <c r="AH538" s="1">
        <v>0.2</v>
      </c>
      <c r="AI538" s="1">
        <v>0.01</v>
      </c>
      <c r="AJ538" s="1">
        <v>0.11</v>
      </c>
      <c r="AK538" s="1">
        <v>0.12</v>
      </c>
      <c r="AL538" s="1">
        <v>0.01</v>
      </c>
      <c r="AM538" s="1">
        <v>0.12</v>
      </c>
      <c r="AN538" t="s">
        <v>986</v>
      </c>
    </row>
    <row r="539" spans="1:40" x14ac:dyDescent="0.25">
      <c r="A539" t="s">
        <v>1031</v>
      </c>
      <c r="B539" t="s">
        <v>1032</v>
      </c>
      <c r="C539" s="4" t="s">
        <v>1862</v>
      </c>
      <c r="D539" t="s">
        <v>1863</v>
      </c>
      <c r="E539" t="s">
        <v>58</v>
      </c>
      <c r="F539" t="str">
        <f>LEFT(premier_player_23_24[[#This Row],[Position]],2)</f>
        <v>FW</v>
      </c>
      <c r="G539" s="3">
        <v>27</v>
      </c>
      <c r="H53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39" s="3">
        <v>13</v>
      </c>
      <c r="J539" s="3">
        <v>5</v>
      </c>
      <c r="K539" s="2">
        <v>620</v>
      </c>
      <c r="L539" s="2" t="str">
        <f>IF(premier_player_23_24[[#This Row],[Minutes]]&gt;1000,"More than 1000 minutes","Less than 1000 minutes")</f>
        <v>Less than 1000 minutes</v>
      </c>
      <c r="M539" s="2">
        <v>6.9</v>
      </c>
      <c r="N539" s="3">
        <v>0</v>
      </c>
      <c r="O539" s="3">
        <v>1</v>
      </c>
      <c r="P539" s="3">
        <v>1</v>
      </c>
      <c r="Q539" s="3">
        <v>0</v>
      </c>
      <c r="R539" s="3">
        <v>0</v>
      </c>
      <c r="S539" s="3">
        <v>1</v>
      </c>
      <c r="T539" s="2">
        <v>1</v>
      </c>
      <c r="U539" s="2">
        <v>0</v>
      </c>
      <c r="V539" s="2">
        <v>1.8</v>
      </c>
      <c r="W539" s="2">
        <f>premier_player_23_24[[#This Row],[Goals]]-premier_player_23_24[[#This Row],[Expected Goals ]]</f>
        <v>-1.8</v>
      </c>
      <c r="X539" s="2">
        <v>1</v>
      </c>
      <c r="Y539" s="2">
        <v>1.4</v>
      </c>
      <c r="Z539" s="2">
        <v>2.5</v>
      </c>
      <c r="AA539" s="3">
        <v>28</v>
      </c>
      <c r="AB539" s="3">
        <v>28</v>
      </c>
      <c r="AC539" s="3">
        <v>70</v>
      </c>
      <c r="AD539" s="1">
        <v>0</v>
      </c>
      <c r="AE539" s="1">
        <v>0.15</v>
      </c>
      <c r="AF539" s="1">
        <v>0.15</v>
      </c>
      <c r="AG539" s="1">
        <v>0</v>
      </c>
      <c r="AH539" s="1">
        <v>0.15</v>
      </c>
      <c r="AI539" s="1">
        <v>0.27</v>
      </c>
      <c r="AJ539" s="1">
        <v>0.21</v>
      </c>
      <c r="AK539" s="1">
        <v>0.47</v>
      </c>
      <c r="AL539" s="1">
        <v>0.15</v>
      </c>
      <c r="AM539" s="1">
        <v>0.36</v>
      </c>
      <c r="AN539" t="s">
        <v>986</v>
      </c>
    </row>
    <row r="540" spans="1:40" x14ac:dyDescent="0.25">
      <c r="A540" t="s">
        <v>1001</v>
      </c>
      <c r="B540" t="s">
        <v>376</v>
      </c>
      <c r="C540" s="4" t="s">
        <v>1762</v>
      </c>
      <c r="D540" t="s">
        <v>1763</v>
      </c>
      <c r="E540" t="s">
        <v>108</v>
      </c>
      <c r="F540" t="str">
        <f>LEFT(premier_player_23_24[[#This Row],[Position]],2)</f>
        <v>DF</v>
      </c>
      <c r="G540" s="3">
        <v>28</v>
      </c>
      <c r="H54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40" s="3">
        <v>33</v>
      </c>
      <c r="J540" s="3">
        <v>32</v>
      </c>
      <c r="K540" s="2">
        <v>2838</v>
      </c>
      <c r="L540" s="2" t="str">
        <f>IF(premier_player_23_24[[#This Row],[Minutes]]&gt;1000,"More than 1000 minutes","Less than 1000 minutes")</f>
        <v>More than 1000 minutes</v>
      </c>
      <c r="M540" s="2">
        <v>31.5</v>
      </c>
      <c r="N540" s="3">
        <v>3</v>
      </c>
      <c r="O540" s="3">
        <v>0</v>
      </c>
      <c r="P540" s="3">
        <v>3</v>
      </c>
      <c r="Q540" s="3">
        <v>3</v>
      </c>
      <c r="R540" s="3">
        <v>0</v>
      </c>
      <c r="S540" s="3">
        <v>0</v>
      </c>
      <c r="T540" s="2">
        <v>3</v>
      </c>
      <c r="U540" s="2">
        <v>0</v>
      </c>
      <c r="V540" s="2">
        <v>1.8</v>
      </c>
      <c r="W540" s="2">
        <f>premier_player_23_24[[#This Row],[Goals]]-premier_player_23_24[[#This Row],[Expected Goals ]]</f>
        <v>1.2</v>
      </c>
      <c r="X540" s="2">
        <v>1.8</v>
      </c>
      <c r="Y540" s="2">
        <v>0.2</v>
      </c>
      <c r="Z540" s="2">
        <v>2</v>
      </c>
      <c r="AA540" s="3">
        <v>7</v>
      </c>
      <c r="AB540" s="3">
        <v>53</v>
      </c>
      <c r="AC540" s="3">
        <v>1</v>
      </c>
      <c r="AD540" s="1">
        <v>0.1</v>
      </c>
      <c r="AE540" s="1">
        <v>0</v>
      </c>
      <c r="AF540" s="1">
        <v>0.1</v>
      </c>
      <c r="AG540" s="1">
        <v>0.1</v>
      </c>
      <c r="AH540" s="1">
        <v>0.1</v>
      </c>
      <c r="AI540" s="1">
        <v>0.06</v>
      </c>
      <c r="AJ540" s="1">
        <v>0.01</v>
      </c>
      <c r="AK540" s="1">
        <v>0.06</v>
      </c>
      <c r="AL540" s="1">
        <v>0.06</v>
      </c>
      <c r="AM540" s="1">
        <v>0.06</v>
      </c>
      <c r="AN540" t="s">
        <v>986</v>
      </c>
    </row>
    <row r="541" spans="1:40" x14ac:dyDescent="0.25">
      <c r="A541" t="s">
        <v>987</v>
      </c>
      <c r="B541" t="s">
        <v>519</v>
      </c>
      <c r="C541" s="4" t="s">
        <v>1758</v>
      </c>
      <c r="D541" t="s">
        <v>1759</v>
      </c>
      <c r="E541" t="s">
        <v>108</v>
      </c>
      <c r="F541" t="str">
        <f>LEFT(premier_player_23_24[[#This Row],[Position]],2)</f>
        <v>DF</v>
      </c>
      <c r="G541" s="3">
        <v>28</v>
      </c>
      <c r="H54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41" s="3">
        <v>36</v>
      </c>
      <c r="J541" s="3">
        <v>35</v>
      </c>
      <c r="K541" s="2">
        <v>3137</v>
      </c>
      <c r="L541" s="2" t="str">
        <f>IF(premier_player_23_24[[#This Row],[Minutes]]&gt;1000,"More than 1000 minutes","Less than 1000 minutes")</f>
        <v>More than 1000 minutes</v>
      </c>
      <c r="M541" s="2">
        <v>34.9</v>
      </c>
      <c r="N541" s="3">
        <v>1</v>
      </c>
      <c r="O541" s="3">
        <v>2</v>
      </c>
      <c r="P541" s="3">
        <v>3</v>
      </c>
      <c r="Q541" s="3">
        <v>1</v>
      </c>
      <c r="R541" s="3">
        <v>0</v>
      </c>
      <c r="S541" s="3">
        <v>0</v>
      </c>
      <c r="T541" s="2">
        <v>10</v>
      </c>
      <c r="U541" s="2">
        <v>0</v>
      </c>
      <c r="V541" s="2">
        <v>1.5</v>
      </c>
      <c r="W541" s="2">
        <f>premier_player_23_24[[#This Row],[Goals]]-premier_player_23_24[[#This Row],[Expected Goals ]]</f>
        <v>-0.5</v>
      </c>
      <c r="X541" s="2">
        <v>1.5</v>
      </c>
      <c r="Y541" s="2">
        <v>2.4</v>
      </c>
      <c r="Z541" s="2">
        <v>3.9</v>
      </c>
      <c r="AA541" s="3">
        <v>59</v>
      </c>
      <c r="AB541" s="3">
        <v>125</v>
      </c>
      <c r="AC541" s="3">
        <v>124</v>
      </c>
      <c r="AD541" s="1">
        <v>0.03</v>
      </c>
      <c r="AE541" s="1">
        <v>0.06</v>
      </c>
      <c r="AF541" s="1">
        <v>0.09</v>
      </c>
      <c r="AG541" s="1">
        <v>0.03</v>
      </c>
      <c r="AH541" s="1">
        <v>0.09</v>
      </c>
      <c r="AI541" s="1">
        <v>0.04</v>
      </c>
      <c r="AJ541" s="1">
        <v>7.0000000000000007E-2</v>
      </c>
      <c r="AK541" s="1">
        <v>0.11</v>
      </c>
      <c r="AL541" s="1">
        <v>0.04</v>
      </c>
      <c r="AM541" s="1">
        <v>0.11</v>
      </c>
      <c r="AN541" t="s">
        <v>986</v>
      </c>
    </row>
    <row r="542" spans="1:40" x14ac:dyDescent="0.25">
      <c r="A542" t="s">
        <v>1010</v>
      </c>
      <c r="B542" t="s">
        <v>1011</v>
      </c>
      <c r="C542" s="4" t="s">
        <v>1838</v>
      </c>
      <c r="D542" t="s">
        <v>1839</v>
      </c>
      <c r="E542" t="s">
        <v>36</v>
      </c>
      <c r="F542" t="str">
        <f>LEFT(premier_player_23_24[[#This Row],[Position]],2)</f>
        <v>MF</v>
      </c>
      <c r="G542" s="3">
        <v>25</v>
      </c>
      <c r="H54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42" s="3">
        <v>31</v>
      </c>
      <c r="J542" s="3">
        <v>28</v>
      </c>
      <c r="K542" s="2">
        <v>2377</v>
      </c>
      <c r="L542" s="2" t="str">
        <f>IF(premier_player_23_24[[#This Row],[Minutes]]&gt;1000,"More than 1000 minutes","Less than 1000 minutes")</f>
        <v>More than 1000 minutes</v>
      </c>
      <c r="M542" s="2">
        <v>26.4</v>
      </c>
      <c r="N542" s="3">
        <v>1</v>
      </c>
      <c r="O542" s="3">
        <v>1</v>
      </c>
      <c r="P542" s="3">
        <v>2</v>
      </c>
      <c r="Q542" s="3">
        <v>1</v>
      </c>
      <c r="R542" s="3">
        <v>0</v>
      </c>
      <c r="S542" s="3">
        <v>0</v>
      </c>
      <c r="T542" s="2">
        <v>11</v>
      </c>
      <c r="U542" s="2">
        <v>0</v>
      </c>
      <c r="V542" s="2">
        <v>1.3</v>
      </c>
      <c r="W542" s="2">
        <f>premier_player_23_24[[#This Row],[Goals]]-premier_player_23_24[[#This Row],[Expected Goals ]]</f>
        <v>-0.30000000000000004</v>
      </c>
      <c r="X542" s="2">
        <v>1.3</v>
      </c>
      <c r="Y542" s="2">
        <v>0.6</v>
      </c>
      <c r="Z542" s="2">
        <v>1.9</v>
      </c>
      <c r="AA542" s="3">
        <v>20</v>
      </c>
      <c r="AB542" s="3">
        <v>91</v>
      </c>
      <c r="AC542" s="3">
        <v>26</v>
      </c>
      <c r="AD542" s="1">
        <v>0.04</v>
      </c>
      <c r="AE542" s="1">
        <v>0.04</v>
      </c>
      <c r="AF542" s="1">
        <v>0.08</v>
      </c>
      <c r="AG542" s="1">
        <v>0.04</v>
      </c>
      <c r="AH542" s="1">
        <v>0.08</v>
      </c>
      <c r="AI542" s="1">
        <v>0.05</v>
      </c>
      <c r="AJ542" s="1">
        <v>0.02</v>
      </c>
      <c r="AK542" s="1">
        <v>7.0000000000000007E-2</v>
      </c>
      <c r="AL542" s="1">
        <v>0.05</v>
      </c>
      <c r="AM542" s="1">
        <v>7.0000000000000007E-2</v>
      </c>
      <c r="AN542" t="s">
        <v>986</v>
      </c>
    </row>
    <row r="543" spans="1:40" x14ac:dyDescent="0.25">
      <c r="A543" t="s">
        <v>1025</v>
      </c>
      <c r="B543" t="s">
        <v>422</v>
      </c>
      <c r="C543" s="4" t="s">
        <v>1844</v>
      </c>
      <c r="D543" t="s">
        <v>1845</v>
      </c>
      <c r="E543" t="s">
        <v>108</v>
      </c>
      <c r="F543" t="str">
        <f>LEFT(premier_player_23_24[[#This Row],[Position]],2)</f>
        <v>DF</v>
      </c>
      <c r="G543" s="3">
        <v>25</v>
      </c>
      <c r="H54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43" s="3">
        <v>19</v>
      </c>
      <c r="J543" s="3">
        <v>16</v>
      </c>
      <c r="K543" s="2">
        <v>1500</v>
      </c>
      <c r="L543" s="2" t="str">
        <f>IF(premier_player_23_24[[#This Row],[Minutes]]&gt;1000,"More than 1000 minutes","Less than 1000 minutes")</f>
        <v>More than 1000 minutes</v>
      </c>
      <c r="M543" s="2">
        <v>16.7</v>
      </c>
      <c r="N543" s="3">
        <v>1</v>
      </c>
      <c r="O543" s="3">
        <v>0</v>
      </c>
      <c r="P543" s="3">
        <v>1</v>
      </c>
      <c r="Q543" s="3">
        <v>1</v>
      </c>
      <c r="R543" s="3">
        <v>0</v>
      </c>
      <c r="S543" s="3">
        <v>0</v>
      </c>
      <c r="T543" s="2">
        <v>2</v>
      </c>
      <c r="U543" s="2">
        <v>0</v>
      </c>
      <c r="V543" s="2">
        <v>1.2</v>
      </c>
      <c r="W543" s="2">
        <f>premier_player_23_24[[#This Row],[Goals]]-premier_player_23_24[[#This Row],[Expected Goals ]]</f>
        <v>-0.19999999999999996</v>
      </c>
      <c r="X543" s="2">
        <v>1.2</v>
      </c>
      <c r="Y543" s="2">
        <v>0.2</v>
      </c>
      <c r="Z543" s="2">
        <v>1.4</v>
      </c>
      <c r="AA543" s="3">
        <v>10</v>
      </c>
      <c r="AB543" s="3">
        <v>38</v>
      </c>
      <c r="AC543" s="3">
        <v>2</v>
      </c>
      <c r="AD543" s="1">
        <v>0.06</v>
      </c>
      <c r="AE543" s="1">
        <v>0</v>
      </c>
      <c r="AF543" s="1">
        <v>0.06</v>
      </c>
      <c r="AG543" s="1">
        <v>0.06</v>
      </c>
      <c r="AH543" s="1">
        <v>0.06</v>
      </c>
      <c r="AI543" s="1">
        <v>7.0000000000000007E-2</v>
      </c>
      <c r="AJ543" s="1">
        <v>0.01</v>
      </c>
      <c r="AK543" s="1">
        <v>0.08</v>
      </c>
      <c r="AL543" s="1">
        <v>7.0000000000000007E-2</v>
      </c>
      <c r="AM543" s="1">
        <v>0.08</v>
      </c>
      <c r="AN543" t="s">
        <v>986</v>
      </c>
    </row>
    <row r="544" spans="1:40" x14ac:dyDescent="0.25">
      <c r="A544" t="s">
        <v>1019</v>
      </c>
      <c r="B544" t="s">
        <v>880</v>
      </c>
      <c r="C544" s="4" t="s">
        <v>1826</v>
      </c>
      <c r="D544" t="s">
        <v>1827</v>
      </c>
      <c r="E544" t="s">
        <v>108</v>
      </c>
      <c r="F544" t="str">
        <f>LEFT(premier_player_23_24[[#This Row],[Position]],2)</f>
        <v>DF</v>
      </c>
      <c r="G544" s="3">
        <v>27</v>
      </c>
      <c r="H54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44" s="3">
        <v>21</v>
      </c>
      <c r="J544" s="3">
        <v>21</v>
      </c>
      <c r="K544" s="2">
        <v>1857</v>
      </c>
      <c r="L544" s="2" t="str">
        <f>IF(premier_player_23_24[[#This Row],[Minutes]]&gt;1000,"More than 1000 minutes","Less than 1000 minutes")</f>
        <v>More than 1000 minutes</v>
      </c>
      <c r="M544" s="2">
        <v>20.6</v>
      </c>
      <c r="N544" s="3">
        <v>1</v>
      </c>
      <c r="O544" s="3">
        <v>0</v>
      </c>
      <c r="P544" s="3">
        <v>1</v>
      </c>
      <c r="Q544" s="3">
        <v>1</v>
      </c>
      <c r="R544" s="3">
        <v>0</v>
      </c>
      <c r="S544" s="3">
        <v>0</v>
      </c>
      <c r="T544" s="2">
        <v>3</v>
      </c>
      <c r="U544" s="2">
        <v>1</v>
      </c>
      <c r="V544" s="2">
        <v>1.5</v>
      </c>
      <c r="W544" s="2">
        <f>premier_player_23_24[[#This Row],[Goals]]-premier_player_23_24[[#This Row],[Expected Goals ]]</f>
        <v>-0.5</v>
      </c>
      <c r="X544" s="2">
        <v>1.5</v>
      </c>
      <c r="Y544" s="2">
        <v>0.3</v>
      </c>
      <c r="Z544" s="2">
        <v>1.8</v>
      </c>
      <c r="AA544" s="3">
        <v>10</v>
      </c>
      <c r="AB544" s="3">
        <v>68</v>
      </c>
      <c r="AC544" s="3">
        <v>3</v>
      </c>
      <c r="AD544" s="1">
        <v>0.05</v>
      </c>
      <c r="AE544" s="1">
        <v>0</v>
      </c>
      <c r="AF544" s="1">
        <v>0.05</v>
      </c>
      <c r="AG544" s="1">
        <v>0.05</v>
      </c>
      <c r="AH544" s="1">
        <v>0.05</v>
      </c>
      <c r="AI544" s="1">
        <v>7.0000000000000007E-2</v>
      </c>
      <c r="AJ544" s="1">
        <v>0.01</v>
      </c>
      <c r="AK544" s="1">
        <v>0.09</v>
      </c>
      <c r="AL544" s="1">
        <v>7.0000000000000007E-2</v>
      </c>
      <c r="AM544" s="1">
        <v>0.09</v>
      </c>
      <c r="AN544" t="s">
        <v>986</v>
      </c>
    </row>
    <row r="545" spans="1:40" x14ac:dyDescent="0.25">
      <c r="A545" t="s">
        <v>1004</v>
      </c>
      <c r="B545" t="s">
        <v>376</v>
      </c>
      <c r="C545" s="4" t="s">
        <v>1762</v>
      </c>
      <c r="D545" t="s">
        <v>1763</v>
      </c>
      <c r="E545" t="s">
        <v>77</v>
      </c>
      <c r="F545" t="str">
        <f>LEFT(premier_player_23_24[[#This Row],[Position]],2)</f>
        <v>GK</v>
      </c>
      <c r="G545" s="3">
        <v>30</v>
      </c>
      <c r="H54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45" s="3">
        <v>31</v>
      </c>
      <c r="J545" s="3">
        <v>31</v>
      </c>
      <c r="K545" s="2">
        <v>2699</v>
      </c>
      <c r="L545" s="2" t="str">
        <f>IF(premier_player_23_24[[#This Row],[Minutes]]&gt;1000,"More than 1000 minutes","Less than 1000 minutes")</f>
        <v>More than 1000 minutes</v>
      </c>
      <c r="M545" s="2">
        <v>30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2">
        <v>1</v>
      </c>
      <c r="U545" s="2">
        <v>0</v>
      </c>
      <c r="V545" s="2">
        <v>0</v>
      </c>
      <c r="W545" s="2">
        <f>premier_player_23_24[[#This Row],[Goals]]-premier_player_23_24[[#This Row],[Expected Goals ]]</f>
        <v>0</v>
      </c>
      <c r="X545" s="2">
        <v>0</v>
      </c>
      <c r="Y545" s="2">
        <v>0</v>
      </c>
      <c r="Z545" s="2">
        <v>0</v>
      </c>
      <c r="AA545" s="3">
        <v>0</v>
      </c>
      <c r="AB545" s="3">
        <v>1</v>
      </c>
      <c r="AC545" s="3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v>0</v>
      </c>
      <c r="AL545" s="1">
        <v>0</v>
      </c>
      <c r="AM545" s="1">
        <v>0</v>
      </c>
      <c r="AN545" t="s">
        <v>986</v>
      </c>
    </row>
    <row r="546" spans="1:40" x14ac:dyDescent="0.25">
      <c r="A546" t="s">
        <v>1028</v>
      </c>
      <c r="B546" t="s">
        <v>508</v>
      </c>
      <c r="C546" s="4" t="s">
        <v>1754</v>
      </c>
      <c r="D546" t="s">
        <v>1755</v>
      </c>
      <c r="E546" t="s">
        <v>77</v>
      </c>
      <c r="F546" t="str">
        <f>LEFT(premier_player_23_24[[#This Row],[Position]],2)</f>
        <v>GK</v>
      </c>
      <c r="G546" s="3">
        <v>38</v>
      </c>
      <c r="H54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Veterans</v>
      </c>
      <c r="I546" s="3">
        <v>10</v>
      </c>
      <c r="J546" s="3">
        <v>7</v>
      </c>
      <c r="K546" s="2">
        <v>721</v>
      </c>
      <c r="L546" s="2" t="str">
        <f>IF(premier_player_23_24[[#This Row],[Minutes]]&gt;1000,"More than 1000 minutes","Less than 1000 minutes")</f>
        <v>Less than 1000 minutes</v>
      </c>
      <c r="M546" s="2">
        <v>8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2">
        <v>0</v>
      </c>
      <c r="U546" s="2">
        <v>0</v>
      </c>
      <c r="V546" s="2">
        <v>0</v>
      </c>
      <c r="W546" s="2">
        <f>premier_player_23_24[[#This Row],[Goals]]-premier_player_23_24[[#This Row],[Expected Goals ]]</f>
        <v>0</v>
      </c>
      <c r="X546" s="2">
        <v>0</v>
      </c>
      <c r="Y546" s="2">
        <v>0</v>
      </c>
      <c r="Z546" s="2">
        <v>0</v>
      </c>
      <c r="AA546" s="3">
        <v>0</v>
      </c>
      <c r="AB546" s="3">
        <v>1</v>
      </c>
      <c r="AC546" s="3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v>0</v>
      </c>
      <c r="AL546" s="1">
        <v>0</v>
      </c>
      <c r="AM546" s="1">
        <v>0</v>
      </c>
      <c r="AN546" t="s">
        <v>986</v>
      </c>
    </row>
    <row r="547" spans="1:40" x14ac:dyDescent="0.25">
      <c r="A547" t="s">
        <v>1030</v>
      </c>
      <c r="B547" t="s">
        <v>519</v>
      </c>
      <c r="C547" s="4" t="s">
        <v>1758</v>
      </c>
      <c r="D547" t="s">
        <v>1759</v>
      </c>
      <c r="E547" t="s">
        <v>108</v>
      </c>
      <c r="F547" t="str">
        <f>LEFT(premier_player_23_24[[#This Row],[Position]],2)</f>
        <v>DF</v>
      </c>
      <c r="G547" s="3">
        <v>35</v>
      </c>
      <c r="H54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Veterans</v>
      </c>
      <c r="I547" s="3">
        <v>11</v>
      </c>
      <c r="J547" s="3">
        <v>7</v>
      </c>
      <c r="K547" s="2">
        <v>635</v>
      </c>
      <c r="L547" s="2" t="str">
        <f>IF(premier_player_23_24[[#This Row],[Minutes]]&gt;1000,"More than 1000 minutes","Less than 1000 minutes")</f>
        <v>Less than 1000 minutes</v>
      </c>
      <c r="M547" s="2">
        <v>7.1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2">
        <v>1</v>
      </c>
      <c r="U547" s="2">
        <v>0</v>
      </c>
      <c r="V547" s="2">
        <v>0</v>
      </c>
      <c r="W547" s="2">
        <f>premier_player_23_24[[#This Row],[Goals]]-premier_player_23_24[[#This Row],[Expected Goals ]]</f>
        <v>0</v>
      </c>
      <c r="X547" s="2">
        <v>0</v>
      </c>
      <c r="Y547" s="2">
        <v>0</v>
      </c>
      <c r="Z547" s="2">
        <v>0</v>
      </c>
      <c r="AA547" s="3">
        <v>2</v>
      </c>
      <c r="AB547" s="3">
        <v>4</v>
      </c>
      <c r="AC547" s="3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0.01</v>
      </c>
      <c r="AJ547" s="1">
        <v>0</v>
      </c>
      <c r="AK547" s="1">
        <v>0.01</v>
      </c>
      <c r="AL547" s="1">
        <v>0.01</v>
      </c>
      <c r="AM547" s="1">
        <v>0.01</v>
      </c>
      <c r="AN547" t="s">
        <v>986</v>
      </c>
    </row>
    <row r="548" spans="1:40" x14ac:dyDescent="0.25">
      <c r="A548" t="s">
        <v>1034</v>
      </c>
      <c r="B548" t="s">
        <v>57</v>
      </c>
      <c r="C548" s="4" t="s">
        <v>1744</v>
      </c>
      <c r="D548" t="s">
        <v>1745</v>
      </c>
      <c r="E548" t="s">
        <v>644</v>
      </c>
      <c r="F548" t="str">
        <f>LEFT(premier_player_23_24[[#This Row],[Position]],2)</f>
        <v>DF</v>
      </c>
      <c r="G548" s="3">
        <v>23</v>
      </c>
      <c r="H54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48" s="3">
        <v>14</v>
      </c>
      <c r="J548" s="3">
        <v>4</v>
      </c>
      <c r="K548" s="2">
        <v>544</v>
      </c>
      <c r="L548" s="2" t="str">
        <f>IF(premier_player_23_24[[#This Row],[Minutes]]&gt;1000,"More than 1000 minutes","Less than 1000 minutes")</f>
        <v>Less than 1000 minutes</v>
      </c>
      <c r="M548" s="2">
        <v>6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2">
        <v>1</v>
      </c>
      <c r="U548" s="2">
        <v>0</v>
      </c>
      <c r="V548" s="2">
        <v>0.2</v>
      </c>
      <c r="W548" s="2">
        <f>premier_player_23_24[[#This Row],[Goals]]-premier_player_23_24[[#This Row],[Expected Goals ]]</f>
        <v>-0.2</v>
      </c>
      <c r="X548" s="2">
        <v>0.2</v>
      </c>
      <c r="Y548" s="2">
        <v>0</v>
      </c>
      <c r="Z548" s="2">
        <v>0.2</v>
      </c>
      <c r="AA548" s="3">
        <v>17</v>
      </c>
      <c r="AB548" s="3">
        <v>22</v>
      </c>
      <c r="AC548" s="3">
        <v>33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0.03</v>
      </c>
      <c r="AJ548" s="1">
        <v>0</v>
      </c>
      <c r="AK548" s="1">
        <v>0.03</v>
      </c>
      <c r="AL548" s="1">
        <v>0.03</v>
      </c>
      <c r="AM548" s="1">
        <v>0.03</v>
      </c>
      <c r="AN548" t="s">
        <v>986</v>
      </c>
    </row>
    <row r="549" spans="1:40" x14ac:dyDescent="0.25">
      <c r="A549" t="s">
        <v>1036</v>
      </c>
      <c r="B549" t="s">
        <v>57</v>
      </c>
      <c r="C549" s="4" t="s">
        <v>1744</v>
      </c>
      <c r="D549" t="s">
        <v>1745</v>
      </c>
      <c r="E549" t="s">
        <v>644</v>
      </c>
      <c r="F549" t="str">
        <f>LEFT(premier_player_23_24[[#This Row],[Position]],2)</f>
        <v>DF</v>
      </c>
      <c r="G549" s="3">
        <v>33</v>
      </c>
      <c r="H54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49" s="3">
        <v>11</v>
      </c>
      <c r="J549" s="3">
        <v>4</v>
      </c>
      <c r="K549" s="2">
        <v>436</v>
      </c>
      <c r="L549" s="2" t="str">
        <f>IF(premier_player_23_24[[#This Row],[Minutes]]&gt;1000,"More than 1000 minutes","Less than 1000 minutes")</f>
        <v>Less than 1000 minutes</v>
      </c>
      <c r="M549" s="2">
        <v>4.8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2">
        <v>1</v>
      </c>
      <c r="U549" s="2">
        <v>0</v>
      </c>
      <c r="V549" s="2">
        <v>0</v>
      </c>
      <c r="W549" s="2">
        <f>premier_player_23_24[[#This Row],[Goals]]-premier_player_23_24[[#This Row],[Expected Goals ]]</f>
        <v>0</v>
      </c>
      <c r="X549" s="2">
        <v>0</v>
      </c>
      <c r="Y549" s="2">
        <v>0.4</v>
      </c>
      <c r="Z549" s="2">
        <v>0.4</v>
      </c>
      <c r="AA549" s="3">
        <v>4</v>
      </c>
      <c r="AB549" s="3">
        <v>26</v>
      </c>
      <c r="AC549" s="3">
        <v>6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0.09</v>
      </c>
      <c r="AK549" s="1">
        <v>0.09</v>
      </c>
      <c r="AL549" s="1">
        <v>0</v>
      </c>
      <c r="AM549" s="1">
        <v>0.09</v>
      </c>
      <c r="AN549" t="s">
        <v>986</v>
      </c>
    </row>
    <row r="550" spans="1:40" x14ac:dyDescent="0.25">
      <c r="A550" t="s">
        <v>1038</v>
      </c>
      <c r="B550" t="s">
        <v>35</v>
      </c>
      <c r="C550" s="4" t="s">
        <v>1764</v>
      </c>
      <c r="D550" t="s">
        <v>1765</v>
      </c>
      <c r="E550" t="s">
        <v>86</v>
      </c>
      <c r="F550" t="str">
        <f>LEFT(premier_player_23_24[[#This Row],[Position]],2)</f>
        <v>MF</v>
      </c>
      <c r="G550" s="3">
        <v>27</v>
      </c>
      <c r="H55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50" s="3">
        <v>15</v>
      </c>
      <c r="J550" s="3">
        <v>4</v>
      </c>
      <c r="K550" s="2">
        <v>426</v>
      </c>
      <c r="L550" s="2" t="str">
        <f>IF(premier_player_23_24[[#This Row],[Minutes]]&gt;1000,"More than 1000 minutes","Less than 1000 minutes")</f>
        <v>Less than 1000 minutes</v>
      </c>
      <c r="M550" s="2">
        <v>4.7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2">
        <v>0</v>
      </c>
      <c r="U550" s="2">
        <v>0</v>
      </c>
      <c r="V550" s="2">
        <v>0.3</v>
      </c>
      <c r="W550" s="2">
        <f>premier_player_23_24[[#This Row],[Goals]]-premier_player_23_24[[#This Row],[Expected Goals ]]</f>
        <v>-0.3</v>
      </c>
      <c r="X550" s="2">
        <v>0.3</v>
      </c>
      <c r="Y550" s="2">
        <v>0.3</v>
      </c>
      <c r="Z550" s="2">
        <v>0.6</v>
      </c>
      <c r="AA550" s="3">
        <v>4</v>
      </c>
      <c r="AB550" s="3">
        <v>29</v>
      </c>
      <c r="AC550" s="3">
        <v>27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>
        <v>7.0000000000000007E-2</v>
      </c>
      <c r="AJ550" s="1">
        <v>7.0000000000000007E-2</v>
      </c>
      <c r="AK550" s="1">
        <v>0.13</v>
      </c>
      <c r="AL550" s="1">
        <v>7.0000000000000007E-2</v>
      </c>
      <c r="AM550" s="1">
        <v>0.13</v>
      </c>
      <c r="AN550" t="s">
        <v>986</v>
      </c>
    </row>
    <row r="551" spans="1:40" x14ac:dyDescent="0.25">
      <c r="A551" t="s">
        <v>270</v>
      </c>
      <c r="B551" t="s">
        <v>57</v>
      </c>
      <c r="C551" s="4" t="s">
        <v>1744</v>
      </c>
      <c r="D551" t="s">
        <v>1745</v>
      </c>
      <c r="E551" t="s">
        <v>36</v>
      </c>
      <c r="F551" t="str">
        <f>LEFT(premier_player_23_24[[#This Row],[Position]],2)</f>
        <v>MF</v>
      </c>
      <c r="G551" s="3">
        <v>27</v>
      </c>
      <c r="H55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51" s="3">
        <v>8</v>
      </c>
      <c r="J551" s="3">
        <v>3</v>
      </c>
      <c r="K551" s="2">
        <v>309</v>
      </c>
      <c r="L551" s="2" t="str">
        <f>IF(premier_player_23_24[[#This Row],[Minutes]]&gt;1000,"More than 1000 minutes","Less than 1000 minutes")</f>
        <v>Less than 1000 minutes</v>
      </c>
      <c r="M551" s="2">
        <v>3.4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2">
        <v>3</v>
      </c>
      <c r="U551" s="2">
        <v>1</v>
      </c>
      <c r="V551" s="2">
        <v>0.1</v>
      </c>
      <c r="W551" s="2">
        <f>premier_player_23_24[[#This Row],[Goals]]-premier_player_23_24[[#This Row],[Expected Goals ]]</f>
        <v>-0.1</v>
      </c>
      <c r="X551" s="2">
        <v>0.1</v>
      </c>
      <c r="Y551" s="2">
        <v>0</v>
      </c>
      <c r="Z551" s="2">
        <v>0.1</v>
      </c>
      <c r="AA551" s="3">
        <v>3</v>
      </c>
      <c r="AB551" s="3">
        <v>19</v>
      </c>
      <c r="AC551" s="3">
        <v>4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0.02</v>
      </c>
      <c r="AJ551" s="1">
        <v>0</v>
      </c>
      <c r="AK551" s="1">
        <v>0.02</v>
      </c>
      <c r="AL551" s="1">
        <v>0.02</v>
      </c>
      <c r="AM551" s="1">
        <v>0.02</v>
      </c>
      <c r="AN551" t="s">
        <v>986</v>
      </c>
    </row>
    <row r="552" spans="1:40" x14ac:dyDescent="0.25">
      <c r="A552" t="s">
        <v>1044</v>
      </c>
      <c r="B552" t="s">
        <v>57</v>
      </c>
      <c r="C552" s="4" t="s">
        <v>1744</v>
      </c>
      <c r="D552" t="s">
        <v>1745</v>
      </c>
      <c r="E552" t="s">
        <v>137</v>
      </c>
      <c r="F552" t="str">
        <f>LEFT(premier_player_23_24[[#This Row],[Position]],2)</f>
        <v>FW</v>
      </c>
      <c r="G552" s="3">
        <v>18</v>
      </c>
      <c r="H55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52" s="3">
        <v>5</v>
      </c>
      <c r="J552" s="3">
        <v>0</v>
      </c>
      <c r="K552" s="2">
        <v>80</v>
      </c>
      <c r="L552" s="2" t="str">
        <f>IF(premier_player_23_24[[#This Row],[Minutes]]&gt;1000,"More than 1000 minutes","Less than 1000 minutes")</f>
        <v>Less than 1000 minutes</v>
      </c>
      <c r="M552" s="2">
        <v>0.9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2">
        <v>0</v>
      </c>
      <c r="U552" s="2">
        <v>0</v>
      </c>
      <c r="V552" s="2">
        <v>0.1</v>
      </c>
      <c r="W552" s="2">
        <f>premier_player_23_24[[#This Row],[Goals]]-premier_player_23_24[[#This Row],[Expected Goals ]]</f>
        <v>-0.1</v>
      </c>
      <c r="X552" s="2">
        <v>0.1</v>
      </c>
      <c r="Y552" s="2">
        <v>0</v>
      </c>
      <c r="Z552" s="2">
        <v>0.1</v>
      </c>
      <c r="AA552" s="3">
        <v>0</v>
      </c>
      <c r="AB552" s="3">
        <v>0</v>
      </c>
      <c r="AC552" s="3">
        <v>5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>
        <v>0.17</v>
      </c>
      <c r="AJ552" s="1">
        <v>0</v>
      </c>
      <c r="AK552" s="1">
        <v>0.17</v>
      </c>
      <c r="AL552" s="1">
        <v>0.17</v>
      </c>
      <c r="AM552" s="1">
        <v>0.17</v>
      </c>
      <c r="AN552" t="s">
        <v>986</v>
      </c>
    </row>
    <row r="553" spans="1:40" x14ac:dyDescent="0.25">
      <c r="A553" t="s">
        <v>1047</v>
      </c>
      <c r="B553" t="s">
        <v>262</v>
      </c>
      <c r="C553" s="4" t="s">
        <v>1748</v>
      </c>
      <c r="D553" t="s">
        <v>1749</v>
      </c>
      <c r="E553" t="s">
        <v>172</v>
      </c>
      <c r="F553" t="str">
        <f>LEFT(premier_player_23_24[[#This Row],[Position]],2)</f>
        <v>DF</v>
      </c>
      <c r="G553" s="3">
        <v>26</v>
      </c>
      <c r="H55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53" s="3">
        <v>4</v>
      </c>
      <c r="J553" s="3">
        <v>0</v>
      </c>
      <c r="K553" s="2">
        <v>22</v>
      </c>
      <c r="L553" s="2" t="str">
        <f>IF(premier_player_23_24[[#This Row],[Minutes]]&gt;1000,"More than 1000 minutes","Less than 1000 minutes")</f>
        <v>Less than 1000 minutes</v>
      </c>
      <c r="M553" s="2">
        <v>0.2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2">
        <v>2</v>
      </c>
      <c r="U553" s="2">
        <v>0</v>
      </c>
      <c r="V553" s="2">
        <v>0</v>
      </c>
      <c r="W553" s="2">
        <f>premier_player_23_24[[#This Row],[Goals]]-premier_player_23_24[[#This Row],[Expected Goals ]]</f>
        <v>0</v>
      </c>
      <c r="X553" s="2">
        <v>0</v>
      </c>
      <c r="Y553" s="2">
        <v>0</v>
      </c>
      <c r="Z553" s="2">
        <v>0</v>
      </c>
      <c r="AA553" s="3">
        <v>0</v>
      </c>
      <c r="AB553" s="3">
        <v>1</v>
      </c>
      <c r="AC553" s="3">
        <v>1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v>0</v>
      </c>
      <c r="AL553" s="1">
        <v>0</v>
      </c>
      <c r="AM553" s="1">
        <v>0</v>
      </c>
      <c r="AN553" t="s">
        <v>986</v>
      </c>
    </row>
    <row r="554" spans="1:40" x14ac:dyDescent="0.25">
      <c r="A554" t="s">
        <v>1048</v>
      </c>
      <c r="B554" t="s">
        <v>57</v>
      </c>
      <c r="C554" s="4" t="s">
        <v>1744</v>
      </c>
      <c r="D554" t="s">
        <v>1745</v>
      </c>
      <c r="E554" t="s">
        <v>108</v>
      </c>
      <c r="F554" t="str">
        <f>LEFT(premier_player_23_24[[#This Row],[Position]],2)</f>
        <v>DF</v>
      </c>
      <c r="G554" s="3">
        <v>18</v>
      </c>
      <c r="H55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54" s="3">
        <v>1</v>
      </c>
      <c r="J554" s="3">
        <v>0</v>
      </c>
      <c r="K554" s="2">
        <v>1</v>
      </c>
      <c r="L554" s="2" t="str">
        <f>IF(premier_player_23_24[[#This Row],[Minutes]]&gt;1000,"More than 1000 minutes","Less than 1000 minutes")</f>
        <v>Less than 1000 minutes</v>
      </c>
      <c r="M554" s="2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2">
        <v>0</v>
      </c>
      <c r="U554" s="2">
        <v>0</v>
      </c>
      <c r="V554" s="2">
        <v>0</v>
      </c>
      <c r="W554" s="2">
        <f>premier_player_23_24[[#This Row],[Goals]]-premier_player_23_24[[#This Row],[Expected Goals ]]</f>
        <v>0</v>
      </c>
      <c r="X554" s="2">
        <v>0</v>
      </c>
      <c r="Y554" s="2">
        <v>0</v>
      </c>
      <c r="Z554" s="2">
        <v>0</v>
      </c>
      <c r="AA554" s="3">
        <v>0</v>
      </c>
      <c r="AB554" s="3">
        <v>0</v>
      </c>
      <c r="AC554" s="3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0</v>
      </c>
      <c r="AJ554" s="1">
        <v>0</v>
      </c>
      <c r="AK554" s="1">
        <v>0</v>
      </c>
      <c r="AL554" s="1">
        <v>0</v>
      </c>
      <c r="AM554" s="1">
        <v>0</v>
      </c>
      <c r="AN554" t="s">
        <v>986</v>
      </c>
    </row>
    <row r="555" spans="1:40" x14ac:dyDescent="0.25">
      <c r="A555" t="s">
        <v>1402</v>
      </c>
      <c r="B555" t="s">
        <v>1403</v>
      </c>
      <c r="C555" s="4" t="s">
        <v>1870</v>
      </c>
      <c r="D555" t="s">
        <v>1871</v>
      </c>
      <c r="E555" t="s">
        <v>137</v>
      </c>
      <c r="F555" t="str">
        <f>LEFT(premier_player_23_24[[#This Row],[Position]],2)</f>
        <v>FW</v>
      </c>
      <c r="G555" s="3">
        <v>26</v>
      </c>
      <c r="H55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55" s="3">
        <v>11</v>
      </c>
      <c r="J555" s="3">
        <v>1</v>
      </c>
      <c r="K555" s="2">
        <v>166</v>
      </c>
      <c r="L555" s="2" t="str">
        <f>IF(premier_player_23_24[[#This Row],[Minutes]]&gt;1000,"More than 1000 minutes","Less than 1000 minutes")</f>
        <v>Less than 1000 minutes</v>
      </c>
      <c r="M555" s="2">
        <v>1.8</v>
      </c>
      <c r="N555" s="3">
        <v>2</v>
      </c>
      <c r="O555" s="3">
        <v>0</v>
      </c>
      <c r="P555" s="3">
        <v>2</v>
      </c>
      <c r="Q555" s="3">
        <v>2</v>
      </c>
      <c r="R555" s="3">
        <v>0</v>
      </c>
      <c r="S555" s="3">
        <v>0</v>
      </c>
      <c r="T555" s="2">
        <v>0</v>
      </c>
      <c r="U555" s="2">
        <v>0</v>
      </c>
      <c r="V555" s="2">
        <v>1.1000000000000001</v>
      </c>
      <c r="W555" s="2">
        <f>premier_player_23_24[[#This Row],[Goals]]-premier_player_23_24[[#This Row],[Expected Goals ]]</f>
        <v>0.89999999999999991</v>
      </c>
      <c r="X555" s="2">
        <v>1.1000000000000001</v>
      </c>
      <c r="Y555" s="2">
        <v>1</v>
      </c>
      <c r="Z555" s="2">
        <v>2</v>
      </c>
      <c r="AA555" s="3">
        <v>1</v>
      </c>
      <c r="AB555" s="3">
        <v>5</v>
      </c>
      <c r="AC555" s="3">
        <v>9</v>
      </c>
      <c r="AD555" s="1">
        <v>1.08</v>
      </c>
      <c r="AE555" s="1">
        <v>0</v>
      </c>
      <c r="AF555" s="1">
        <v>1.08</v>
      </c>
      <c r="AG555" s="1">
        <v>1.08</v>
      </c>
      <c r="AH555" s="1">
        <v>1.08</v>
      </c>
      <c r="AI555" s="1">
        <v>0.56999999999999995</v>
      </c>
      <c r="AJ555" s="1">
        <v>0.52</v>
      </c>
      <c r="AK555" s="1">
        <v>1.0900000000000001</v>
      </c>
      <c r="AL555" s="1">
        <v>0.56999999999999995</v>
      </c>
      <c r="AM555" s="1">
        <v>1.0900000000000001</v>
      </c>
      <c r="AN555" t="s">
        <v>1353</v>
      </c>
    </row>
    <row r="556" spans="1:40" x14ac:dyDescent="0.25">
      <c r="A556" t="s">
        <v>1367</v>
      </c>
      <c r="B556" t="s">
        <v>76</v>
      </c>
      <c r="C556" s="4" t="s">
        <v>1750</v>
      </c>
      <c r="D556" t="s">
        <v>1751</v>
      </c>
      <c r="E556" t="s">
        <v>58</v>
      </c>
      <c r="F556" t="str">
        <f>LEFT(premier_player_23_24[[#This Row],[Position]],2)</f>
        <v>FW</v>
      </c>
      <c r="G556" s="3">
        <v>24</v>
      </c>
      <c r="H55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56" s="3">
        <v>32</v>
      </c>
      <c r="J556" s="3">
        <v>29</v>
      </c>
      <c r="K556" s="2">
        <v>2440</v>
      </c>
      <c r="L556" s="2" t="str">
        <f>IF(premier_player_23_24[[#This Row],[Minutes]]&gt;1000,"More than 1000 minutes","Less than 1000 minutes")</f>
        <v>More than 1000 minutes</v>
      </c>
      <c r="M556" s="2">
        <v>27.1</v>
      </c>
      <c r="N556" s="3">
        <v>12</v>
      </c>
      <c r="O556" s="3">
        <v>7</v>
      </c>
      <c r="P556" s="3">
        <v>19</v>
      </c>
      <c r="Q556" s="3">
        <v>11</v>
      </c>
      <c r="R556" s="3">
        <v>1</v>
      </c>
      <c r="S556" s="3">
        <v>1</v>
      </c>
      <c r="T556" s="2">
        <v>9</v>
      </c>
      <c r="U556" s="2">
        <v>0</v>
      </c>
      <c r="V556" s="2">
        <v>9.5</v>
      </c>
      <c r="W556" s="2">
        <f>premier_player_23_24[[#This Row],[Goals]]-premier_player_23_24[[#This Row],[Expected Goals ]]</f>
        <v>2.5</v>
      </c>
      <c r="X556" s="2">
        <v>8.6999999999999993</v>
      </c>
      <c r="Y556" s="2">
        <v>3.2</v>
      </c>
      <c r="Z556" s="2">
        <v>11.9</v>
      </c>
      <c r="AA556" s="3">
        <v>107</v>
      </c>
      <c r="AB556" s="3">
        <v>87</v>
      </c>
      <c r="AC556" s="3">
        <v>139</v>
      </c>
      <c r="AD556" s="1">
        <v>0.44</v>
      </c>
      <c r="AE556" s="1">
        <v>0.26</v>
      </c>
      <c r="AF556" s="1">
        <v>0.7</v>
      </c>
      <c r="AG556" s="1">
        <v>0.41</v>
      </c>
      <c r="AH556" s="1">
        <v>0.66</v>
      </c>
      <c r="AI556" s="1">
        <v>0.35</v>
      </c>
      <c r="AJ556" s="1">
        <v>0.12</v>
      </c>
      <c r="AK556" s="1">
        <v>0.47</v>
      </c>
      <c r="AL556" s="1">
        <v>0.32</v>
      </c>
      <c r="AM556" s="1">
        <v>0.44</v>
      </c>
      <c r="AN556" t="s">
        <v>1353</v>
      </c>
    </row>
    <row r="557" spans="1:40" x14ac:dyDescent="0.25">
      <c r="A557" t="s">
        <v>1380</v>
      </c>
      <c r="B557" t="s">
        <v>122</v>
      </c>
      <c r="C557" s="4" t="s">
        <v>1742</v>
      </c>
      <c r="D557" t="s">
        <v>1743</v>
      </c>
      <c r="E557" t="s">
        <v>58</v>
      </c>
      <c r="F557" t="str">
        <f>LEFT(premier_player_23_24[[#This Row],[Position]],2)</f>
        <v>FW</v>
      </c>
      <c r="G557" s="3">
        <v>23</v>
      </c>
      <c r="H55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57" s="3">
        <v>20</v>
      </c>
      <c r="J557" s="3">
        <v>18</v>
      </c>
      <c r="K557" s="2">
        <v>1516</v>
      </c>
      <c r="L557" s="2" t="str">
        <f>IF(premier_player_23_24[[#This Row],[Minutes]]&gt;1000,"More than 1000 minutes","Less than 1000 minutes")</f>
        <v>More than 1000 minutes</v>
      </c>
      <c r="M557" s="2">
        <v>16.8</v>
      </c>
      <c r="N557" s="3">
        <v>2</v>
      </c>
      <c r="O557" s="3">
        <v>9</v>
      </c>
      <c r="P557" s="3">
        <v>11</v>
      </c>
      <c r="Q557" s="3">
        <v>2</v>
      </c>
      <c r="R557" s="3">
        <v>0</v>
      </c>
      <c r="S557" s="3">
        <v>0</v>
      </c>
      <c r="T557" s="2">
        <v>4</v>
      </c>
      <c r="U557" s="2">
        <v>0</v>
      </c>
      <c r="V557" s="2">
        <v>3.5</v>
      </c>
      <c r="W557" s="2">
        <f>premier_player_23_24[[#This Row],[Goals]]-premier_player_23_24[[#This Row],[Expected Goals ]]</f>
        <v>-1.5</v>
      </c>
      <c r="X557" s="2">
        <v>3.5</v>
      </c>
      <c r="Y557" s="2">
        <v>4.4000000000000004</v>
      </c>
      <c r="Z557" s="2">
        <v>7.9</v>
      </c>
      <c r="AA557" s="3">
        <v>98</v>
      </c>
      <c r="AB557" s="3">
        <v>54</v>
      </c>
      <c r="AC557" s="3">
        <v>149</v>
      </c>
      <c r="AD557" s="1">
        <v>0.12</v>
      </c>
      <c r="AE557" s="1">
        <v>0.53</v>
      </c>
      <c r="AF557" s="1">
        <v>0.65</v>
      </c>
      <c r="AG557" s="1">
        <v>0.12</v>
      </c>
      <c r="AH557" s="1">
        <v>0.65</v>
      </c>
      <c r="AI557" s="1">
        <v>0.21</v>
      </c>
      <c r="AJ557" s="1">
        <v>0.26</v>
      </c>
      <c r="AK557" s="1">
        <v>0.47</v>
      </c>
      <c r="AL557" s="1">
        <v>0.21</v>
      </c>
      <c r="AM557" s="1">
        <v>0.47</v>
      </c>
      <c r="AN557" t="s">
        <v>1353</v>
      </c>
    </row>
    <row r="558" spans="1:40" x14ac:dyDescent="0.25">
      <c r="A558" t="s">
        <v>1373</v>
      </c>
      <c r="B558" t="s">
        <v>751</v>
      </c>
      <c r="C558" s="4" t="s">
        <v>1866</v>
      </c>
      <c r="D558" t="s">
        <v>1867</v>
      </c>
      <c r="E558" t="s">
        <v>58</v>
      </c>
      <c r="F558" t="str">
        <f>LEFT(premier_player_23_24[[#This Row],[Position]],2)</f>
        <v>FW</v>
      </c>
      <c r="G558" s="3">
        <v>27</v>
      </c>
      <c r="H55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58" s="3">
        <v>29</v>
      </c>
      <c r="J558" s="3">
        <v>25</v>
      </c>
      <c r="K558" s="2">
        <v>2119</v>
      </c>
      <c r="L558" s="2" t="str">
        <f>IF(premier_player_23_24[[#This Row],[Minutes]]&gt;1000,"More than 1000 minutes","Less than 1000 minutes")</f>
        <v>More than 1000 minutes</v>
      </c>
      <c r="M558" s="2">
        <v>23.5</v>
      </c>
      <c r="N558" s="3">
        <v>12</v>
      </c>
      <c r="O558" s="3">
        <v>3</v>
      </c>
      <c r="P558" s="3">
        <v>15</v>
      </c>
      <c r="Q558" s="3">
        <v>11</v>
      </c>
      <c r="R558" s="3">
        <v>1</v>
      </c>
      <c r="S558" s="3">
        <v>1</v>
      </c>
      <c r="T558" s="2">
        <v>6</v>
      </c>
      <c r="U558" s="2">
        <v>0</v>
      </c>
      <c r="V558" s="2">
        <v>7.7</v>
      </c>
      <c r="W558" s="2">
        <f>premier_player_23_24[[#This Row],[Goals]]-premier_player_23_24[[#This Row],[Expected Goals ]]</f>
        <v>4.3</v>
      </c>
      <c r="X558" s="2">
        <v>6.9</v>
      </c>
      <c r="Y558" s="2">
        <v>3</v>
      </c>
      <c r="Z558" s="2">
        <v>9.9</v>
      </c>
      <c r="AA558" s="3">
        <v>37</v>
      </c>
      <c r="AB558" s="3">
        <v>37</v>
      </c>
      <c r="AC558" s="3">
        <v>120</v>
      </c>
      <c r="AD558" s="1">
        <v>0.51</v>
      </c>
      <c r="AE558" s="1">
        <v>0.13</v>
      </c>
      <c r="AF558" s="1">
        <v>0.64</v>
      </c>
      <c r="AG558" s="1">
        <v>0.47</v>
      </c>
      <c r="AH558" s="1">
        <v>0.59</v>
      </c>
      <c r="AI558" s="1">
        <v>0.33</v>
      </c>
      <c r="AJ558" s="1">
        <v>0.13</v>
      </c>
      <c r="AK558" s="1">
        <v>0.45</v>
      </c>
      <c r="AL558" s="1">
        <v>0.28999999999999998</v>
      </c>
      <c r="AM558" s="1">
        <v>0.42</v>
      </c>
      <c r="AN558" t="s">
        <v>1353</v>
      </c>
    </row>
    <row r="559" spans="1:40" x14ac:dyDescent="0.25">
      <c r="A559" t="s">
        <v>1376</v>
      </c>
      <c r="B559" t="s">
        <v>35</v>
      </c>
      <c r="C559" s="4" t="s">
        <v>1764</v>
      </c>
      <c r="D559" t="s">
        <v>1765</v>
      </c>
      <c r="E559" t="s">
        <v>86</v>
      </c>
      <c r="F559" t="str">
        <f>LEFT(premier_player_23_24[[#This Row],[Position]],2)</f>
        <v>MF</v>
      </c>
      <c r="G559" s="3">
        <v>31</v>
      </c>
      <c r="H55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59" s="3">
        <v>30</v>
      </c>
      <c r="J559" s="3">
        <v>20</v>
      </c>
      <c r="K559" s="2">
        <v>1745</v>
      </c>
      <c r="L559" s="2" t="str">
        <f>IF(premier_player_23_24[[#This Row],[Minutes]]&gt;1000,"More than 1000 minutes","Less than 1000 minutes")</f>
        <v>More than 1000 minutes</v>
      </c>
      <c r="M559" s="2">
        <v>19.399999999999999</v>
      </c>
      <c r="N559" s="3">
        <v>4</v>
      </c>
      <c r="O559" s="3">
        <v>7</v>
      </c>
      <c r="P559" s="3">
        <v>11</v>
      </c>
      <c r="Q559" s="3">
        <v>2</v>
      </c>
      <c r="R559" s="3">
        <v>2</v>
      </c>
      <c r="S559" s="3">
        <v>2</v>
      </c>
      <c r="T559" s="2">
        <v>5</v>
      </c>
      <c r="U559" s="2">
        <v>0</v>
      </c>
      <c r="V559" s="2">
        <v>5.5</v>
      </c>
      <c r="W559" s="2">
        <f>premier_player_23_24[[#This Row],[Goals]]-premier_player_23_24[[#This Row],[Expected Goals ]]</f>
        <v>-1.5</v>
      </c>
      <c r="X559" s="2">
        <v>3.9</v>
      </c>
      <c r="Y559" s="2">
        <v>5.9</v>
      </c>
      <c r="Z559" s="2">
        <v>9.8000000000000007</v>
      </c>
      <c r="AA559" s="3">
        <v>41</v>
      </c>
      <c r="AB559" s="3">
        <v>109</v>
      </c>
      <c r="AC559" s="3">
        <v>137</v>
      </c>
      <c r="AD559" s="1">
        <v>0.21</v>
      </c>
      <c r="AE559" s="1">
        <v>0.36</v>
      </c>
      <c r="AF559" s="1">
        <v>0.56999999999999995</v>
      </c>
      <c r="AG559" s="1">
        <v>0.1</v>
      </c>
      <c r="AH559" s="1">
        <v>0.46</v>
      </c>
      <c r="AI559" s="1">
        <v>0.28000000000000003</v>
      </c>
      <c r="AJ559" s="1">
        <v>0.3</v>
      </c>
      <c r="AK559" s="1">
        <v>0.59</v>
      </c>
      <c r="AL559" s="1">
        <v>0.2</v>
      </c>
      <c r="AM559" s="1">
        <v>0.5</v>
      </c>
      <c r="AN559" t="s">
        <v>1353</v>
      </c>
    </row>
    <row r="560" spans="1:40" x14ac:dyDescent="0.25">
      <c r="A560" t="s">
        <v>1385</v>
      </c>
      <c r="B560" t="s">
        <v>376</v>
      </c>
      <c r="C560" s="4" t="s">
        <v>1762</v>
      </c>
      <c r="D560" t="s">
        <v>1763</v>
      </c>
      <c r="E560" t="s">
        <v>86</v>
      </c>
      <c r="F560" t="str">
        <f>LEFT(premier_player_23_24[[#This Row],[Position]],2)</f>
        <v>MF</v>
      </c>
      <c r="G560" s="3">
        <v>25</v>
      </c>
      <c r="H56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60" s="3">
        <v>22</v>
      </c>
      <c r="J560" s="3">
        <v>10</v>
      </c>
      <c r="K560" s="2">
        <v>958</v>
      </c>
      <c r="L560" s="2" t="str">
        <f>IF(premier_player_23_24[[#This Row],[Minutes]]&gt;1000,"More than 1000 minutes","Less than 1000 minutes")</f>
        <v>Less than 1000 minutes</v>
      </c>
      <c r="M560" s="2">
        <v>10.6</v>
      </c>
      <c r="N560" s="3">
        <v>2</v>
      </c>
      <c r="O560" s="3">
        <v>1</v>
      </c>
      <c r="P560" s="3">
        <v>3</v>
      </c>
      <c r="Q560" s="3">
        <v>2</v>
      </c>
      <c r="R560" s="3">
        <v>0</v>
      </c>
      <c r="S560" s="3">
        <v>0</v>
      </c>
      <c r="T560" s="2">
        <v>0</v>
      </c>
      <c r="U560" s="2">
        <v>1</v>
      </c>
      <c r="V560" s="2">
        <v>1.6</v>
      </c>
      <c r="W560" s="2">
        <f>premier_player_23_24[[#This Row],[Goals]]-premier_player_23_24[[#This Row],[Expected Goals ]]</f>
        <v>0.39999999999999991</v>
      </c>
      <c r="X560" s="2">
        <v>1.6</v>
      </c>
      <c r="Y560" s="2">
        <v>1</v>
      </c>
      <c r="Z560" s="2">
        <v>2.5</v>
      </c>
      <c r="AA560" s="3">
        <v>30</v>
      </c>
      <c r="AB560" s="3">
        <v>39</v>
      </c>
      <c r="AC560" s="3">
        <v>49</v>
      </c>
      <c r="AD560" s="1">
        <v>0.19</v>
      </c>
      <c r="AE560" s="1">
        <v>0.09</v>
      </c>
      <c r="AF560" s="1">
        <v>0.28000000000000003</v>
      </c>
      <c r="AG560" s="1">
        <v>0.19</v>
      </c>
      <c r="AH560" s="1">
        <v>0.28000000000000003</v>
      </c>
      <c r="AI560" s="1">
        <v>0.15</v>
      </c>
      <c r="AJ560" s="1">
        <v>0.09</v>
      </c>
      <c r="AK560" s="1">
        <v>0.24</v>
      </c>
      <c r="AL560" s="1">
        <v>0.15</v>
      </c>
      <c r="AM560" s="1">
        <v>0.24</v>
      </c>
      <c r="AN560" t="s">
        <v>1353</v>
      </c>
    </row>
    <row r="561" spans="1:40" x14ac:dyDescent="0.25">
      <c r="A561" t="s">
        <v>1359</v>
      </c>
      <c r="B561" t="s">
        <v>1360</v>
      </c>
      <c r="C561" s="4" t="s">
        <v>1872</v>
      </c>
      <c r="D561" t="s">
        <v>1873</v>
      </c>
      <c r="E561" t="s">
        <v>36</v>
      </c>
      <c r="F561" t="str">
        <f>LEFT(premier_player_23_24[[#This Row],[Position]],2)</f>
        <v>MF</v>
      </c>
      <c r="G561" s="3">
        <v>29</v>
      </c>
      <c r="H56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61" s="3">
        <v>35</v>
      </c>
      <c r="J561" s="3">
        <v>34</v>
      </c>
      <c r="K561" s="2">
        <v>2968</v>
      </c>
      <c r="L561" s="2" t="str">
        <f>IF(premier_player_23_24[[#This Row],[Minutes]]&gt;1000,"More than 1000 minutes","Less than 1000 minutes")</f>
        <v>More than 1000 minutes</v>
      </c>
      <c r="M561" s="2">
        <v>33</v>
      </c>
      <c r="N561" s="3">
        <v>4</v>
      </c>
      <c r="O561" s="3">
        <v>1</v>
      </c>
      <c r="P561" s="3">
        <v>5</v>
      </c>
      <c r="Q561" s="3">
        <v>4</v>
      </c>
      <c r="R561" s="3">
        <v>0</v>
      </c>
      <c r="S561" s="3">
        <v>0</v>
      </c>
      <c r="T561" s="2">
        <v>12</v>
      </c>
      <c r="U561" s="2">
        <v>1</v>
      </c>
      <c r="V561" s="2">
        <v>4.5999999999999996</v>
      </c>
      <c r="W561" s="2">
        <f>premier_player_23_24[[#This Row],[Goals]]-premier_player_23_24[[#This Row],[Expected Goals ]]</f>
        <v>-0.59999999999999964</v>
      </c>
      <c r="X561" s="2">
        <v>4.5999999999999996</v>
      </c>
      <c r="Y561" s="2">
        <v>1.5</v>
      </c>
      <c r="Z561" s="2">
        <v>6.2</v>
      </c>
      <c r="AA561" s="3">
        <v>32</v>
      </c>
      <c r="AB561" s="3">
        <v>76</v>
      </c>
      <c r="AC561" s="3">
        <v>49</v>
      </c>
      <c r="AD561" s="1">
        <v>0.12</v>
      </c>
      <c r="AE561" s="1">
        <v>0.03</v>
      </c>
      <c r="AF561" s="1">
        <v>0.15</v>
      </c>
      <c r="AG561" s="1">
        <v>0.12</v>
      </c>
      <c r="AH561" s="1">
        <v>0.15</v>
      </c>
      <c r="AI561" s="1">
        <v>0.14000000000000001</v>
      </c>
      <c r="AJ561" s="1">
        <v>0.05</v>
      </c>
      <c r="AK561" s="1">
        <v>0.19</v>
      </c>
      <c r="AL561" s="1">
        <v>0.14000000000000001</v>
      </c>
      <c r="AM561" s="1">
        <v>0.19</v>
      </c>
      <c r="AN561" t="s">
        <v>1353</v>
      </c>
    </row>
    <row r="562" spans="1:40" x14ac:dyDescent="0.25">
      <c r="A562" t="s">
        <v>1364</v>
      </c>
      <c r="B562" t="s">
        <v>122</v>
      </c>
      <c r="C562" s="4" t="s">
        <v>1742</v>
      </c>
      <c r="D562" t="s">
        <v>1743</v>
      </c>
      <c r="E562" t="s">
        <v>108</v>
      </c>
      <c r="F562" t="str">
        <f>LEFT(premier_player_23_24[[#This Row],[Position]],2)</f>
        <v>DF</v>
      </c>
      <c r="G562" s="3">
        <v>24</v>
      </c>
      <c r="H56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62" s="3">
        <v>35</v>
      </c>
      <c r="J562" s="3">
        <v>31</v>
      </c>
      <c r="K562" s="2">
        <v>2772</v>
      </c>
      <c r="L562" s="2" t="str">
        <f>IF(premier_player_23_24[[#This Row],[Minutes]]&gt;1000,"More than 1000 minutes","Less than 1000 minutes")</f>
        <v>More than 1000 minutes</v>
      </c>
      <c r="M562" s="2">
        <v>30.8</v>
      </c>
      <c r="N562" s="3">
        <v>1</v>
      </c>
      <c r="O562" s="3">
        <v>3</v>
      </c>
      <c r="P562" s="3">
        <v>4</v>
      </c>
      <c r="Q562" s="3">
        <v>1</v>
      </c>
      <c r="R562" s="3">
        <v>0</v>
      </c>
      <c r="S562" s="3">
        <v>0</v>
      </c>
      <c r="T562" s="2">
        <v>7</v>
      </c>
      <c r="U562" s="2">
        <v>0</v>
      </c>
      <c r="V562" s="2">
        <v>1.6</v>
      </c>
      <c r="W562" s="2">
        <f>premier_player_23_24[[#This Row],[Goals]]-premier_player_23_24[[#This Row],[Expected Goals ]]</f>
        <v>-0.60000000000000009</v>
      </c>
      <c r="X562" s="2">
        <v>1.6</v>
      </c>
      <c r="Y562" s="2">
        <v>1.2</v>
      </c>
      <c r="Z562" s="2">
        <v>2.8</v>
      </c>
      <c r="AA562" s="3">
        <v>22</v>
      </c>
      <c r="AB562" s="3">
        <v>79</v>
      </c>
      <c r="AC562" s="3">
        <v>11</v>
      </c>
      <c r="AD562" s="1">
        <v>0.03</v>
      </c>
      <c r="AE562" s="1">
        <v>0.1</v>
      </c>
      <c r="AF562" s="1">
        <v>0.13</v>
      </c>
      <c r="AG562" s="1">
        <v>0.03</v>
      </c>
      <c r="AH562" s="1">
        <v>0.13</v>
      </c>
      <c r="AI562" s="1">
        <v>0.05</v>
      </c>
      <c r="AJ562" s="1">
        <v>0.04</v>
      </c>
      <c r="AK562" s="1">
        <v>0.09</v>
      </c>
      <c r="AL562" s="1">
        <v>0.05</v>
      </c>
      <c r="AM562" s="1">
        <v>0.09</v>
      </c>
      <c r="AN562" t="s">
        <v>1353</v>
      </c>
    </row>
    <row r="563" spans="1:40" x14ac:dyDescent="0.25">
      <c r="A563" t="s">
        <v>1370</v>
      </c>
      <c r="B563" t="s">
        <v>1032</v>
      </c>
      <c r="C563" s="4" t="s">
        <v>1862</v>
      </c>
      <c r="D563" t="s">
        <v>1863</v>
      </c>
      <c r="E563" t="s">
        <v>172</v>
      </c>
      <c r="F563" t="str">
        <f>LEFT(premier_player_23_24[[#This Row],[Position]],2)</f>
        <v>DF</v>
      </c>
      <c r="G563" s="3">
        <v>22</v>
      </c>
      <c r="H56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63" s="3">
        <v>33</v>
      </c>
      <c r="J563" s="3">
        <v>29</v>
      </c>
      <c r="K563" s="2">
        <v>2329</v>
      </c>
      <c r="L563" s="2" t="str">
        <f>IF(premier_player_23_24[[#This Row],[Minutes]]&gt;1000,"More than 1000 minutes","Less than 1000 minutes")</f>
        <v>More than 1000 minutes</v>
      </c>
      <c r="M563" s="2">
        <v>25.9</v>
      </c>
      <c r="N563" s="3">
        <v>2</v>
      </c>
      <c r="O563" s="3">
        <v>1</v>
      </c>
      <c r="P563" s="3">
        <v>3</v>
      </c>
      <c r="Q563" s="3">
        <v>2</v>
      </c>
      <c r="R563" s="3">
        <v>0</v>
      </c>
      <c r="S563" s="3">
        <v>0</v>
      </c>
      <c r="T563" s="2">
        <v>7</v>
      </c>
      <c r="U563" s="2">
        <v>0</v>
      </c>
      <c r="V563" s="2">
        <v>3.3</v>
      </c>
      <c r="W563" s="2">
        <f>premier_player_23_24[[#This Row],[Goals]]-premier_player_23_24[[#This Row],[Expected Goals ]]</f>
        <v>-1.2999999999999998</v>
      </c>
      <c r="X563" s="2">
        <v>3.3</v>
      </c>
      <c r="Y563" s="2">
        <v>2.4</v>
      </c>
      <c r="Z563" s="2">
        <v>5.6</v>
      </c>
      <c r="AA563" s="3">
        <v>67</v>
      </c>
      <c r="AB563" s="3">
        <v>99</v>
      </c>
      <c r="AC563" s="3">
        <v>99</v>
      </c>
      <c r="AD563" s="1">
        <v>0.08</v>
      </c>
      <c r="AE563" s="1">
        <v>0.04</v>
      </c>
      <c r="AF563" s="1">
        <v>0.12</v>
      </c>
      <c r="AG563" s="1">
        <v>0.08</v>
      </c>
      <c r="AH563" s="1">
        <v>0.12</v>
      </c>
      <c r="AI563" s="1">
        <v>0.13</v>
      </c>
      <c r="AJ563" s="1">
        <v>0.09</v>
      </c>
      <c r="AK563" s="1">
        <v>0.22</v>
      </c>
      <c r="AL563" s="1">
        <v>0.13</v>
      </c>
      <c r="AM563" s="1">
        <v>0.22</v>
      </c>
      <c r="AN563" t="s">
        <v>1353</v>
      </c>
    </row>
    <row r="564" spans="1:40" x14ac:dyDescent="0.25">
      <c r="A564" t="s">
        <v>1362</v>
      </c>
      <c r="B564" t="s">
        <v>76</v>
      </c>
      <c r="C564" s="4" t="s">
        <v>1750</v>
      </c>
      <c r="D564" t="s">
        <v>1751</v>
      </c>
      <c r="E564" t="s">
        <v>36</v>
      </c>
      <c r="F564" t="str">
        <f>LEFT(premier_player_23_24[[#This Row],[Position]],2)</f>
        <v>MF</v>
      </c>
      <c r="G564" s="3">
        <v>22</v>
      </c>
      <c r="H56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64" s="3">
        <v>34</v>
      </c>
      <c r="J564" s="3">
        <v>32</v>
      </c>
      <c r="K564" s="2">
        <v>2649</v>
      </c>
      <c r="L564" s="2" t="str">
        <f>IF(premier_player_23_24[[#This Row],[Minutes]]&gt;1000,"More than 1000 minutes","Less than 1000 minutes")</f>
        <v>More than 1000 minutes</v>
      </c>
      <c r="M564" s="2">
        <v>29.4</v>
      </c>
      <c r="N564" s="3">
        <v>2</v>
      </c>
      <c r="O564" s="3">
        <v>1</v>
      </c>
      <c r="P564" s="3">
        <v>3</v>
      </c>
      <c r="Q564" s="3">
        <v>2</v>
      </c>
      <c r="R564" s="3">
        <v>0</v>
      </c>
      <c r="S564" s="3">
        <v>0</v>
      </c>
      <c r="T564" s="2">
        <v>11</v>
      </c>
      <c r="U564" s="2">
        <v>0</v>
      </c>
      <c r="V564" s="2">
        <v>1.7</v>
      </c>
      <c r="W564" s="2">
        <f>premier_player_23_24[[#This Row],[Goals]]-premier_player_23_24[[#This Row],[Expected Goals ]]</f>
        <v>0.30000000000000004</v>
      </c>
      <c r="X564" s="2">
        <v>1.7</v>
      </c>
      <c r="Y564" s="2">
        <v>1.1000000000000001</v>
      </c>
      <c r="Z564" s="2">
        <v>2.8</v>
      </c>
      <c r="AA564" s="3">
        <v>28</v>
      </c>
      <c r="AB564" s="3">
        <v>101</v>
      </c>
      <c r="AC564" s="3">
        <v>44</v>
      </c>
      <c r="AD564" s="1">
        <v>7.0000000000000007E-2</v>
      </c>
      <c r="AE564" s="1">
        <v>0.03</v>
      </c>
      <c r="AF564" s="1">
        <v>0.1</v>
      </c>
      <c r="AG564" s="1">
        <v>7.0000000000000007E-2</v>
      </c>
      <c r="AH564" s="1">
        <v>0.1</v>
      </c>
      <c r="AI564" s="1">
        <v>0.06</v>
      </c>
      <c r="AJ564" s="1">
        <v>0.04</v>
      </c>
      <c r="AK564" s="1">
        <v>0.1</v>
      </c>
      <c r="AL564" s="1">
        <v>0.06</v>
      </c>
      <c r="AM564" s="1">
        <v>0.1</v>
      </c>
      <c r="AN564" t="s">
        <v>1353</v>
      </c>
    </row>
    <row r="565" spans="1:40" x14ac:dyDescent="0.25">
      <c r="A565" t="s">
        <v>1372</v>
      </c>
      <c r="B565" t="s">
        <v>57</v>
      </c>
      <c r="C565" s="4" t="s">
        <v>1744</v>
      </c>
      <c r="D565" t="s">
        <v>1745</v>
      </c>
      <c r="E565" t="s">
        <v>108</v>
      </c>
      <c r="F565" t="str">
        <f>LEFT(premier_player_23_24[[#This Row],[Position]],2)</f>
        <v>DF</v>
      </c>
      <c r="G565" s="3">
        <v>33</v>
      </c>
      <c r="H56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65" s="3">
        <v>25</v>
      </c>
      <c r="J565" s="3">
        <v>25</v>
      </c>
      <c r="K565" s="2">
        <v>2209</v>
      </c>
      <c r="L565" s="2" t="str">
        <f>IF(premier_player_23_24[[#This Row],[Minutes]]&gt;1000,"More than 1000 minutes","Less than 1000 minutes")</f>
        <v>More than 1000 minutes</v>
      </c>
      <c r="M565" s="2">
        <v>24.5</v>
      </c>
      <c r="N565" s="3">
        <v>1</v>
      </c>
      <c r="O565" s="3">
        <v>1</v>
      </c>
      <c r="P565" s="3">
        <v>2</v>
      </c>
      <c r="Q565" s="3">
        <v>1</v>
      </c>
      <c r="R565" s="3">
        <v>0</v>
      </c>
      <c r="S565" s="3">
        <v>0</v>
      </c>
      <c r="T565" s="2">
        <v>7</v>
      </c>
      <c r="U565" s="2">
        <v>0</v>
      </c>
      <c r="V565" s="2">
        <v>1.5</v>
      </c>
      <c r="W565" s="2">
        <f>premier_player_23_24[[#This Row],[Goals]]-premier_player_23_24[[#This Row],[Expected Goals ]]</f>
        <v>-0.5</v>
      </c>
      <c r="X565" s="2">
        <v>1.5</v>
      </c>
      <c r="Y565" s="2">
        <v>1.4</v>
      </c>
      <c r="Z565" s="2">
        <v>2.9</v>
      </c>
      <c r="AA565" s="3">
        <v>1</v>
      </c>
      <c r="AB565" s="3">
        <v>49</v>
      </c>
      <c r="AC565" s="3">
        <v>4</v>
      </c>
      <c r="AD565" s="1">
        <v>0.04</v>
      </c>
      <c r="AE565" s="1">
        <v>0.04</v>
      </c>
      <c r="AF565" s="1">
        <v>0.08</v>
      </c>
      <c r="AG565" s="1">
        <v>0.04</v>
      </c>
      <c r="AH565" s="1">
        <v>0.08</v>
      </c>
      <c r="AI565" s="1">
        <v>0.06</v>
      </c>
      <c r="AJ565" s="1">
        <v>0.06</v>
      </c>
      <c r="AK565" s="1">
        <v>0.12</v>
      </c>
      <c r="AL565" s="1">
        <v>0.06</v>
      </c>
      <c r="AM565" s="1">
        <v>0.12</v>
      </c>
      <c r="AN565" t="s">
        <v>1353</v>
      </c>
    </row>
    <row r="566" spans="1:40" x14ac:dyDescent="0.25">
      <c r="A566" t="s">
        <v>1387</v>
      </c>
      <c r="B566" t="s">
        <v>411</v>
      </c>
      <c r="C566" s="4" t="s">
        <v>1792</v>
      </c>
      <c r="D566" t="s">
        <v>1793</v>
      </c>
      <c r="E566" t="s">
        <v>172</v>
      </c>
      <c r="F566" t="str">
        <f>LEFT(premier_player_23_24[[#This Row],[Position]],2)</f>
        <v>DF</v>
      </c>
      <c r="G566" s="3">
        <v>31</v>
      </c>
      <c r="H56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66" s="3">
        <v>30</v>
      </c>
      <c r="J566" s="3">
        <v>9</v>
      </c>
      <c r="K566" s="2">
        <v>1150</v>
      </c>
      <c r="L566" s="2" t="str">
        <f>IF(premier_player_23_24[[#This Row],[Minutes]]&gt;1000,"More than 1000 minutes","Less than 1000 minutes")</f>
        <v>More than 1000 minutes</v>
      </c>
      <c r="M566" s="2">
        <v>12.8</v>
      </c>
      <c r="N566" s="3">
        <v>1</v>
      </c>
      <c r="O566" s="3">
        <v>0</v>
      </c>
      <c r="P566" s="3">
        <v>1</v>
      </c>
      <c r="Q566" s="3">
        <v>1</v>
      </c>
      <c r="R566" s="3">
        <v>0</v>
      </c>
      <c r="S566" s="3">
        <v>0</v>
      </c>
      <c r="T566" s="2">
        <v>2</v>
      </c>
      <c r="U566" s="2">
        <v>0</v>
      </c>
      <c r="V566" s="2">
        <v>0.8</v>
      </c>
      <c r="W566" s="2">
        <f>premier_player_23_24[[#This Row],[Goals]]-premier_player_23_24[[#This Row],[Expected Goals ]]</f>
        <v>0.19999999999999996</v>
      </c>
      <c r="X566" s="2">
        <v>0.8</v>
      </c>
      <c r="Y566" s="2">
        <v>1.3</v>
      </c>
      <c r="Z566" s="2">
        <v>2.2000000000000002</v>
      </c>
      <c r="AA566" s="3">
        <v>12</v>
      </c>
      <c r="AB566" s="3">
        <v>31</v>
      </c>
      <c r="AC566" s="3">
        <v>64</v>
      </c>
      <c r="AD566" s="1">
        <v>0.08</v>
      </c>
      <c r="AE566" s="1">
        <v>0</v>
      </c>
      <c r="AF566" s="1">
        <v>0.08</v>
      </c>
      <c r="AG566" s="1">
        <v>0.08</v>
      </c>
      <c r="AH566" s="1">
        <v>0.08</v>
      </c>
      <c r="AI566" s="1">
        <v>7.0000000000000007E-2</v>
      </c>
      <c r="AJ566" s="1">
        <v>0.1</v>
      </c>
      <c r="AK566" s="1">
        <v>0.17</v>
      </c>
      <c r="AL566" s="1">
        <v>7.0000000000000007E-2</v>
      </c>
      <c r="AM566" s="1">
        <v>0.17</v>
      </c>
      <c r="AN566" t="s">
        <v>1353</v>
      </c>
    </row>
    <row r="567" spans="1:40" x14ac:dyDescent="0.25">
      <c r="A567" t="s">
        <v>1352</v>
      </c>
      <c r="B567" t="s">
        <v>57</v>
      </c>
      <c r="C567" s="4" t="s">
        <v>1744</v>
      </c>
      <c r="D567" t="s">
        <v>1745</v>
      </c>
      <c r="E567" t="s">
        <v>108</v>
      </c>
      <c r="F567" t="str">
        <f>LEFT(premier_player_23_24[[#This Row],[Position]],2)</f>
        <v>DF</v>
      </c>
      <c r="G567" s="3">
        <v>26</v>
      </c>
      <c r="H56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67" s="3">
        <v>38</v>
      </c>
      <c r="J567" s="3">
        <v>38</v>
      </c>
      <c r="K567" s="2">
        <v>3420</v>
      </c>
      <c r="L567" s="2" t="str">
        <f>IF(premier_player_23_24[[#This Row],[Minutes]]&gt;1000,"More than 1000 minutes","Less than 1000 minutes")</f>
        <v>More than 1000 minutes</v>
      </c>
      <c r="M567" s="2">
        <v>38</v>
      </c>
      <c r="N567" s="3">
        <v>2</v>
      </c>
      <c r="O567" s="3">
        <v>0</v>
      </c>
      <c r="P567" s="3">
        <v>2</v>
      </c>
      <c r="Q567" s="3">
        <v>2</v>
      </c>
      <c r="R567" s="3">
        <v>0</v>
      </c>
      <c r="S567" s="3">
        <v>0</v>
      </c>
      <c r="T567" s="2">
        <v>7</v>
      </c>
      <c r="U567" s="2">
        <v>0</v>
      </c>
      <c r="V567" s="2">
        <v>1.8</v>
      </c>
      <c r="W567" s="2">
        <f>premier_player_23_24[[#This Row],[Goals]]-premier_player_23_24[[#This Row],[Expected Goals ]]</f>
        <v>0.19999999999999996</v>
      </c>
      <c r="X567" s="2">
        <v>1.8</v>
      </c>
      <c r="Y567" s="2">
        <v>1.4</v>
      </c>
      <c r="Z567" s="2">
        <v>3.2</v>
      </c>
      <c r="AA567" s="3">
        <v>22</v>
      </c>
      <c r="AB567" s="3">
        <v>117</v>
      </c>
      <c r="AC567" s="3">
        <v>5</v>
      </c>
      <c r="AD567" s="1">
        <v>0.05</v>
      </c>
      <c r="AE567" s="1">
        <v>0</v>
      </c>
      <c r="AF567" s="1">
        <v>0.05</v>
      </c>
      <c r="AG567" s="1">
        <v>0.05</v>
      </c>
      <c r="AH567" s="1">
        <v>0.05</v>
      </c>
      <c r="AI567" s="1">
        <v>0.05</v>
      </c>
      <c r="AJ567" s="1">
        <v>0.04</v>
      </c>
      <c r="AK567" s="1">
        <v>0.08</v>
      </c>
      <c r="AL567" s="1">
        <v>0.05</v>
      </c>
      <c r="AM567" s="1">
        <v>0.08</v>
      </c>
      <c r="AN567" t="s">
        <v>1353</v>
      </c>
    </row>
    <row r="568" spans="1:40" x14ac:dyDescent="0.25">
      <c r="A568" t="s">
        <v>1354</v>
      </c>
      <c r="B568" t="s">
        <v>122</v>
      </c>
      <c r="C568" s="4" t="s">
        <v>1742</v>
      </c>
      <c r="D568" t="s">
        <v>1743</v>
      </c>
      <c r="E568" t="s">
        <v>172</v>
      </c>
      <c r="F568" t="str">
        <f>LEFT(premier_player_23_24[[#This Row],[Position]],2)</f>
        <v>DF</v>
      </c>
      <c r="G568" s="3">
        <v>29</v>
      </c>
      <c r="H56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68" s="3">
        <v>36</v>
      </c>
      <c r="J568" s="3">
        <v>36</v>
      </c>
      <c r="K568" s="2">
        <v>3084</v>
      </c>
      <c r="L568" s="2" t="str">
        <f>IF(premier_player_23_24[[#This Row],[Minutes]]&gt;1000,"More than 1000 minutes","Less than 1000 minutes")</f>
        <v>More than 1000 minutes</v>
      </c>
      <c r="M568" s="2">
        <v>34.299999999999997</v>
      </c>
      <c r="N568" s="3">
        <v>0</v>
      </c>
      <c r="O568" s="3">
        <v>1</v>
      </c>
      <c r="P568" s="3">
        <v>1</v>
      </c>
      <c r="Q568" s="3">
        <v>0</v>
      </c>
      <c r="R568" s="3">
        <v>0</v>
      </c>
      <c r="S568" s="3">
        <v>0</v>
      </c>
      <c r="T568" s="2">
        <v>10</v>
      </c>
      <c r="U568" s="2">
        <v>1</v>
      </c>
      <c r="V568" s="2">
        <v>1.3</v>
      </c>
      <c r="W568" s="2">
        <f>premier_player_23_24[[#This Row],[Goals]]-premier_player_23_24[[#This Row],[Expected Goals ]]</f>
        <v>-1.3</v>
      </c>
      <c r="X568" s="2">
        <v>1.3</v>
      </c>
      <c r="Y568" s="2">
        <v>1.7</v>
      </c>
      <c r="Z568" s="2">
        <v>3</v>
      </c>
      <c r="AA568" s="3">
        <v>103</v>
      </c>
      <c r="AB568" s="3">
        <v>138</v>
      </c>
      <c r="AC568" s="3">
        <v>150</v>
      </c>
      <c r="AD568" s="1">
        <v>0</v>
      </c>
      <c r="AE568" s="1">
        <v>0.03</v>
      </c>
      <c r="AF568" s="1">
        <v>0.03</v>
      </c>
      <c r="AG568" s="1">
        <v>0</v>
      </c>
      <c r="AH568" s="1">
        <v>0.03</v>
      </c>
      <c r="AI568" s="1">
        <v>0.04</v>
      </c>
      <c r="AJ568" s="1">
        <v>0.05</v>
      </c>
      <c r="AK568" s="1">
        <v>0.09</v>
      </c>
      <c r="AL568" s="1">
        <v>0.04</v>
      </c>
      <c r="AM568" s="1">
        <v>0.09</v>
      </c>
      <c r="AN568" t="s">
        <v>1353</v>
      </c>
    </row>
    <row r="569" spans="1:40" x14ac:dyDescent="0.25">
      <c r="A569" t="s">
        <v>1356</v>
      </c>
      <c r="B569" t="s">
        <v>122</v>
      </c>
      <c r="C569" s="4" t="s">
        <v>1742</v>
      </c>
      <c r="D569" t="s">
        <v>1743</v>
      </c>
      <c r="E569" t="s">
        <v>77</v>
      </c>
      <c r="F569" t="str">
        <f>LEFT(premier_player_23_24[[#This Row],[Position]],2)</f>
        <v>GK</v>
      </c>
      <c r="G569" s="3">
        <v>30</v>
      </c>
      <c r="H56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69" s="3">
        <v>35</v>
      </c>
      <c r="J569" s="3">
        <v>35</v>
      </c>
      <c r="K569" s="2">
        <v>3037</v>
      </c>
      <c r="L569" s="2" t="str">
        <f>IF(premier_player_23_24[[#This Row],[Minutes]]&gt;1000,"More than 1000 minutes","Less than 1000 minutes")</f>
        <v>More than 1000 minutes</v>
      </c>
      <c r="M569" s="2">
        <v>33.700000000000003</v>
      </c>
      <c r="N569" s="3">
        <v>0</v>
      </c>
      <c r="O569" s="3">
        <v>1</v>
      </c>
      <c r="P569" s="3">
        <v>1</v>
      </c>
      <c r="Q569" s="3">
        <v>0</v>
      </c>
      <c r="R569" s="3">
        <v>0</v>
      </c>
      <c r="S569" s="3">
        <v>0</v>
      </c>
      <c r="T569" s="2">
        <v>1</v>
      </c>
      <c r="U569" s="2">
        <v>0</v>
      </c>
      <c r="V569" s="2">
        <v>0</v>
      </c>
      <c r="W569" s="2">
        <f>premier_player_23_24[[#This Row],[Goals]]-premier_player_23_24[[#This Row],[Expected Goals ]]</f>
        <v>0</v>
      </c>
      <c r="X569" s="2">
        <v>0</v>
      </c>
      <c r="Y569" s="2">
        <v>0</v>
      </c>
      <c r="Z569" s="2">
        <v>0</v>
      </c>
      <c r="AA569" s="3">
        <v>0</v>
      </c>
      <c r="AB569" s="3">
        <v>1</v>
      </c>
      <c r="AC569" s="3">
        <v>0</v>
      </c>
      <c r="AD569" s="1">
        <v>0</v>
      </c>
      <c r="AE569" s="1">
        <v>0.03</v>
      </c>
      <c r="AF569" s="1">
        <v>0.03</v>
      </c>
      <c r="AG569" s="1">
        <v>0</v>
      </c>
      <c r="AH569" s="1">
        <v>0.03</v>
      </c>
      <c r="AI569" s="1">
        <v>0</v>
      </c>
      <c r="AJ569" s="1">
        <v>0</v>
      </c>
      <c r="AK569" s="1">
        <v>0</v>
      </c>
      <c r="AL569" s="1">
        <v>0</v>
      </c>
      <c r="AM569" s="1">
        <v>0</v>
      </c>
      <c r="AN569" t="s">
        <v>1353</v>
      </c>
    </row>
    <row r="570" spans="1:40" x14ac:dyDescent="0.25">
      <c r="A570" t="s">
        <v>1382</v>
      </c>
      <c r="B570" t="s">
        <v>57</v>
      </c>
      <c r="C570" s="4" t="s">
        <v>1744</v>
      </c>
      <c r="D570" t="s">
        <v>1745</v>
      </c>
      <c r="E570" t="s">
        <v>36</v>
      </c>
      <c r="F570" t="str">
        <f>LEFT(premier_player_23_24[[#This Row],[Position]],2)</f>
        <v>MF</v>
      </c>
      <c r="G570" s="3">
        <v>21</v>
      </c>
      <c r="H57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70" s="3">
        <v>26</v>
      </c>
      <c r="J570" s="3">
        <v>11</v>
      </c>
      <c r="K570" s="2">
        <v>1222</v>
      </c>
      <c r="L570" s="2" t="str">
        <f>IF(premier_player_23_24[[#This Row],[Minutes]]&gt;1000,"More than 1000 minutes","Less than 1000 minutes")</f>
        <v>More than 1000 minutes</v>
      </c>
      <c r="M570" s="2">
        <v>13.6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2">
        <v>2</v>
      </c>
      <c r="U570" s="2">
        <v>0</v>
      </c>
      <c r="V570" s="2">
        <v>0.4</v>
      </c>
      <c r="W570" s="2">
        <f>premier_player_23_24[[#This Row],[Goals]]-premier_player_23_24[[#This Row],[Expected Goals ]]</f>
        <v>-0.4</v>
      </c>
      <c r="X570" s="2">
        <v>0.4</v>
      </c>
      <c r="Y570" s="2">
        <v>0.4</v>
      </c>
      <c r="Z570" s="2">
        <v>0.9</v>
      </c>
      <c r="AA570" s="3">
        <v>21</v>
      </c>
      <c r="AB570" s="3">
        <v>81</v>
      </c>
      <c r="AC570" s="3">
        <v>17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>
        <v>0.03</v>
      </c>
      <c r="AJ570" s="1">
        <v>0.03</v>
      </c>
      <c r="AK570" s="1">
        <v>0.06</v>
      </c>
      <c r="AL570" s="1">
        <v>0.03</v>
      </c>
      <c r="AM570" s="1">
        <v>0.06</v>
      </c>
      <c r="AN570" t="s">
        <v>1353</v>
      </c>
    </row>
    <row r="571" spans="1:40" x14ac:dyDescent="0.25">
      <c r="A571" t="s">
        <v>1389</v>
      </c>
      <c r="B571" t="s">
        <v>342</v>
      </c>
      <c r="C571" s="4" t="s">
        <v>1840</v>
      </c>
      <c r="D571" t="s">
        <v>1841</v>
      </c>
      <c r="E571" t="s">
        <v>108</v>
      </c>
      <c r="F571" t="str">
        <f>LEFT(premier_player_23_24[[#This Row],[Position]],2)</f>
        <v>DF</v>
      </c>
      <c r="G571" s="3">
        <v>24</v>
      </c>
      <c r="H57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71" s="3">
        <v>12</v>
      </c>
      <c r="J571" s="3">
        <v>9</v>
      </c>
      <c r="K571" s="2">
        <v>822</v>
      </c>
      <c r="L571" s="2" t="str">
        <f>IF(premier_player_23_24[[#This Row],[Minutes]]&gt;1000,"More than 1000 minutes","Less than 1000 minutes")</f>
        <v>Less than 1000 minutes</v>
      </c>
      <c r="M571" s="2">
        <v>9.1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2">
        <v>1</v>
      </c>
      <c r="U571" s="2">
        <v>0</v>
      </c>
      <c r="V571" s="2">
        <v>0</v>
      </c>
      <c r="W571" s="2">
        <f>premier_player_23_24[[#This Row],[Goals]]-premier_player_23_24[[#This Row],[Expected Goals ]]</f>
        <v>0</v>
      </c>
      <c r="X571" s="2">
        <v>0</v>
      </c>
      <c r="Y571" s="2">
        <v>0.1</v>
      </c>
      <c r="Z571" s="2">
        <v>0.1</v>
      </c>
      <c r="AA571" s="3">
        <v>3</v>
      </c>
      <c r="AB571" s="3">
        <v>11</v>
      </c>
      <c r="AC571" s="3">
        <v>2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0</v>
      </c>
      <c r="AJ571" s="1">
        <v>0.01</v>
      </c>
      <c r="AK571" s="1">
        <v>0.01</v>
      </c>
      <c r="AL571" s="1">
        <v>0</v>
      </c>
      <c r="AM571" s="1">
        <v>0.01</v>
      </c>
      <c r="AN571" t="s">
        <v>1353</v>
      </c>
    </row>
    <row r="572" spans="1:40" x14ac:dyDescent="0.25">
      <c r="A572" t="s">
        <v>1391</v>
      </c>
      <c r="B572" t="s">
        <v>781</v>
      </c>
      <c r="C572" s="4" t="s">
        <v>1834</v>
      </c>
      <c r="D572" t="s">
        <v>1835</v>
      </c>
      <c r="E572" t="s">
        <v>36</v>
      </c>
      <c r="F572" t="str">
        <f>LEFT(premier_player_23_24[[#This Row],[Position]],2)</f>
        <v>MF</v>
      </c>
      <c r="G572" s="3">
        <v>21</v>
      </c>
      <c r="H572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72" s="3">
        <v>24</v>
      </c>
      <c r="J572" s="3">
        <v>7</v>
      </c>
      <c r="K572" s="2">
        <v>819</v>
      </c>
      <c r="L572" s="2" t="str">
        <f>IF(premier_player_23_24[[#This Row],[Minutes]]&gt;1000,"More than 1000 minutes","Less than 1000 minutes")</f>
        <v>Less than 1000 minutes</v>
      </c>
      <c r="M572" s="2">
        <v>9.1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2">
        <v>4</v>
      </c>
      <c r="U572" s="2">
        <v>0</v>
      </c>
      <c r="V572" s="2">
        <v>0.3</v>
      </c>
      <c r="W572" s="2">
        <f>premier_player_23_24[[#This Row],[Goals]]-premier_player_23_24[[#This Row],[Expected Goals ]]</f>
        <v>-0.3</v>
      </c>
      <c r="X572" s="2">
        <v>0.3</v>
      </c>
      <c r="Y572" s="2">
        <v>0.4</v>
      </c>
      <c r="Z572" s="2">
        <v>0.7</v>
      </c>
      <c r="AA572" s="3">
        <v>9</v>
      </c>
      <c r="AB572" s="3">
        <v>29</v>
      </c>
      <c r="AC572" s="3">
        <v>15</v>
      </c>
      <c r="AD572" s="1">
        <v>0</v>
      </c>
      <c r="AE572" s="1">
        <v>0</v>
      </c>
      <c r="AF572" s="1">
        <v>0</v>
      </c>
      <c r="AG572" s="1">
        <v>0</v>
      </c>
      <c r="AH572" s="1">
        <v>0</v>
      </c>
      <c r="AI572" s="1">
        <v>0.03</v>
      </c>
      <c r="AJ572" s="1">
        <v>0.04</v>
      </c>
      <c r="AK572" s="1">
        <v>7.0000000000000007E-2</v>
      </c>
      <c r="AL572" s="1">
        <v>0.03</v>
      </c>
      <c r="AM572" s="1">
        <v>7.0000000000000007E-2</v>
      </c>
      <c r="AN572" t="s">
        <v>1353</v>
      </c>
    </row>
    <row r="573" spans="1:40" x14ac:dyDescent="0.25">
      <c r="A573" t="s">
        <v>1393</v>
      </c>
      <c r="B573" t="s">
        <v>35</v>
      </c>
      <c r="C573" s="4" t="s">
        <v>1764</v>
      </c>
      <c r="D573" t="s">
        <v>1765</v>
      </c>
      <c r="E573" t="s">
        <v>172</v>
      </c>
      <c r="F573" t="str">
        <f>LEFT(premier_player_23_24[[#This Row],[Position]],2)</f>
        <v>DF</v>
      </c>
      <c r="G573" s="3">
        <v>20</v>
      </c>
      <c r="H573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73" s="3">
        <v>22</v>
      </c>
      <c r="J573" s="3">
        <v>7</v>
      </c>
      <c r="K573" s="2">
        <v>741</v>
      </c>
      <c r="L573" s="2" t="str">
        <f>IF(premier_player_23_24[[#This Row],[Minutes]]&gt;1000,"More than 1000 minutes","Less than 1000 minutes")</f>
        <v>Less than 1000 minutes</v>
      </c>
      <c r="M573" s="2">
        <v>8.1999999999999993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2">
        <v>1</v>
      </c>
      <c r="U573" s="2">
        <v>0</v>
      </c>
      <c r="V573" s="2">
        <v>0.3</v>
      </c>
      <c r="W573" s="2">
        <f>premier_player_23_24[[#This Row],[Goals]]-premier_player_23_24[[#This Row],[Expected Goals ]]</f>
        <v>-0.3</v>
      </c>
      <c r="X573" s="2">
        <v>0.3</v>
      </c>
      <c r="Y573" s="2">
        <v>0.8</v>
      </c>
      <c r="Z573" s="2">
        <v>1</v>
      </c>
      <c r="AA573" s="3">
        <v>22</v>
      </c>
      <c r="AB573" s="3">
        <v>8</v>
      </c>
      <c r="AC573" s="3">
        <v>40</v>
      </c>
      <c r="AD573" s="1">
        <v>0</v>
      </c>
      <c r="AE573" s="1">
        <v>0</v>
      </c>
      <c r="AF573" s="1">
        <v>0</v>
      </c>
      <c r="AG573" s="1">
        <v>0</v>
      </c>
      <c r="AH573" s="1">
        <v>0</v>
      </c>
      <c r="AI573" s="1">
        <v>0.03</v>
      </c>
      <c r="AJ573" s="1">
        <v>0.09</v>
      </c>
      <c r="AK573" s="1">
        <v>0.13</v>
      </c>
      <c r="AL573" s="1">
        <v>0.03</v>
      </c>
      <c r="AM573" s="1">
        <v>0.13</v>
      </c>
      <c r="AN573" t="s">
        <v>1353</v>
      </c>
    </row>
    <row r="574" spans="1:40" x14ac:dyDescent="0.25">
      <c r="A574" t="s">
        <v>1395</v>
      </c>
      <c r="B574" t="s">
        <v>57</v>
      </c>
      <c r="C574" s="4" t="s">
        <v>1744</v>
      </c>
      <c r="D574" t="s">
        <v>1745</v>
      </c>
      <c r="E574" t="s">
        <v>77</v>
      </c>
      <c r="F574" t="str">
        <f>LEFT(premier_player_23_24[[#This Row],[Position]],2)</f>
        <v>GK</v>
      </c>
      <c r="G574" s="3">
        <v>30</v>
      </c>
      <c r="H574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Experienced</v>
      </c>
      <c r="I574" s="3">
        <v>5</v>
      </c>
      <c r="J574" s="3">
        <v>3</v>
      </c>
      <c r="K574" s="2">
        <v>383</v>
      </c>
      <c r="L574" s="2" t="str">
        <f>IF(premier_player_23_24[[#This Row],[Minutes]]&gt;1000,"More than 1000 minutes","Less than 1000 minutes")</f>
        <v>Less than 1000 minutes</v>
      </c>
      <c r="M574" s="2">
        <v>4.3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2">
        <v>0</v>
      </c>
      <c r="U574" s="2">
        <v>0</v>
      </c>
      <c r="V574" s="2">
        <v>0</v>
      </c>
      <c r="W574" s="2">
        <f>premier_player_23_24[[#This Row],[Goals]]-premier_player_23_24[[#This Row],[Expected Goals ]]</f>
        <v>0</v>
      </c>
      <c r="X574" s="2">
        <v>0</v>
      </c>
      <c r="Y574" s="2">
        <v>0</v>
      </c>
      <c r="Z574" s="2">
        <v>0</v>
      </c>
      <c r="AA574" s="3">
        <v>0</v>
      </c>
      <c r="AB574" s="3">
        <v>0</v>
      </c>
      <c r="AC574" s="3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v>0</v>
      </c>
      <c r="AL574" s="1">
        <v>0</v>
      </c>
      <c r="AM574" s="1">
        <v>0</v>
      </c>
      <c r="AN574" t="s">
        <v>1353</v>
      </c>
    </row>
    <row r="575" spans="1:40" x14ac:dyDescent="0.25">
      <c r="A575" t="s">
        <v>1397</v>
      </c>
      <c r="B575" t="s">
        <v>122</v>
      </c>
      <c r="C575" s="4" t="s">
        <v>1742</v>
      </c>
      <c r="D575" t="s">
        <v>1743</v>
      </c>
      <c r="E575" t="s">
        <v>137</v>
      </c>
      <c r="F575" t="str">
        <f>LEFT(premier_player_23_24[[#This Row],[Position]],2)</f>
        <v>FW</v>
      </c>
      <c r="G575" s="3">
        <v>21</v>
      </c>
      <c r="H575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Youngs</v>
      </c>
      <c r="I575" s="3">
        <v>8</v>
      </c>
      <c r="J575" s="3">
        <v>3</v>
      </c>
      <c r="K575" s="2">
        <v>264</v>
      </c>
      <c r="L575" s="2" t="str">
        <f>IF(premier_player_23_24[[#This Row],[Minutes]]&gt;1000,"More than 1000 minutes","Less than 1000 minutes")</f>
        <v>Less than 1000 minutes</v>
      </c>
      <c r="M575" s="2">
        <v>2.9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2">
        <v>2</v>
      </c>
      <c r="U575" s="2">
        <v>0</v>
      </c>
      <c r="V575" s="2">
        <v>1</v>
      </c>
      <c r="W575" s="2">
        <f>premier_player_23_24[[#This Row],[Goals]]-premier_player_23_24[[#This Row],[Expected Goals ]]</f>
        <v>-1</v>
      </c>
      <c r="X575" s="2">
        <v>1</v>
      </c>
      <c r="Y575" s="2">
        <v>0.2</v>
      </c>
      <c r="Z575" s="2">
        <v>1.2</v>
      </c>
      <c r="AA575" s="3">
        <v>5</v>
      </c>
      <c r="AB575" s="3">
        <v>10</v>
      </c>
      <c r="AC575" s="3">
        <v>13</v>
      </c>
      <c r="AD575" s="1">
        <v>0</v>
      </c>
      <c r="AE575" s="1">
        <v>0</v>
      </c>
      <c r="AF575" s="1">
        <v>0</v>
      </c>
      <c r="AG575" s="1">
        <v>0</v>
      </c>
      <c r="AH575" s="1">
        <v>0</v>
      </c>
      <c r="AI575" s="1">
        <v>0.35</v>
      </c>
      <c r="AJ575" s="1">
        <v>7.0000000000000007E-2</v>
      </c>
      <c r="AK575" s="1">
        <v>0.42</v>
      </c>
      <c r="AL575" s="1">
        <v>0.35</v>
      </c>
      <c r="AM575" s="1">
        <v>0.42</v>
      </c>
      <c r="AN575" t="s">
        <v>1353</v>
      </c>
    </row>
    <row r="576" spans="1:40" x14ac:dyDescent="0.25">
      <c r="A576" t="s">
        <v>256</v>
      </c>
      <c r="B576" t="s">
        <v>122</v>
      </c>
      <c r="C576" s="4" t="s">
        <v>1742</v>
      </c>
      <c r="D576" t="s">
        <v>1743</v>
      </c>
      <c r="E576" t="s">
        <v>36</v>
      </c>
      <c r="F576" t="str">
        <f>LEFT(premier_player_23_24[[#This Row],[Position]],2)</f>
        <v>MF</v>
      </c>
      <c r="G576" s="3">
        <v>24</v>
      </c>
      <c r="H576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76" s="3">
        <v>2</v>
      </c>
      <c r="J576" s="3">
        <v>2</v>
      </c>
      <c r="K576" s="2">
        <v>179</v>
      </c>
      <c r="L576" s="2" t="str">
        <f>IF(premier_player_23_24[[#This Row],[Minutes]]&gt;1000,"More than 1000 minutes","Less than 1000 minutes")</f>
        <v>Less than 1000 minutes</v>
      </c>
      <c r="M576" s="2">
        <v>2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2">
        <v>2</v>
      </c>
      <c r="U576" s="2">
        <v>1</v>
      </c>
      <c r="V576" s="2">
        <v>0.1</v>
      </c>
      <c r="W576" s="2">
        <f>premier_player_23_24[[#This Row],[Goals]]-premier_player_23_24[[#This Row],[Expected Goals ]]</f>
        <v>-0.1</v>
      </c>
      <c r="X576" s="2">
        <v>0.1</v>
      </c>
      <c r="Y576" s="2">
        <v>0.1</v>
      </c>
      <c r="Z576" s="2">
        <v>0.2</v>
      </c>
      <c r="AA576" s="3">
        <v>7</v>
      </c>
      <c r="AB576" s="3">
        <v>8</v>
      </c>
      <c r="AC576" s="3">
        <v>9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>
        <v>0.04</v>
      </c>
      <c r="AJ576" s="1">
        <v>0.05</v>
      </c>
      <c r="AK576" s="1">
        <v>0.09</v>
      </c>
      <c r="AL576" s="1">
        <v>0.04</v>
      </c>
      <c r="AM576" s="1">
        <v>0.09</v>
      </c>
      <c r="AN576" t="s">
        <v>1353</v>
      </c>
    </row>
    <row r="577" spans="1:40" x14ac:dyDescent="0.25">
      <c r="A577" t="s">
        <v>1399</v>
      </c>
      <c r="B577" t="s">
        <v>57</v>
      </c>
      <c r="C577" s="4" t="s">
        <v>1744</v>
      </c>
      <c r="D577" t="s">
        <v>1745</v>
      </c>
      <c r="E577" t="s">
        <v>137</v>
      </c>
      <c r="F577" t="str">
        <f>LEFT(premier_player_23_24[[#This Row],[Position]],2)</f>
        <v>FW</v>
      </c>
      <c r="G577" s="3">
        <v>17</v>
      </c>
      <c r="H577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77" s="3">
        <v>3</v>
      </c>
      <c r="J577" s="3">
        <v>2</v>
      </c>
      <c r="K577" s="2">
        <v>174</v>
      </c>
      <c r="L577" s="2" t="str">
        <f>IF(premier_player_23_24[[#This Row],[Minutes]]&gt;1000,"More than 1000 minutes","Less than 1000 minutes")</f>
        <v>Less than 1000 minutes</v>
      </c>
      <c r="M577" s="2">
        <v>1.9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2">
        <v>0</v>
      </c>
      <c r="U577" s="2">
        <v>0</v>
      </c>
      <c r="V577" s="2">
        <v>0.1</v>
      </c>
      <c r="W577" s="2">
        <f>premier_player_23_24[[#This Row],[Goals]]-premier_player_23_24[[#This Row],[Expected Goals ]]</f>
        <v>-0.1</v>
      </c>
      <c r="X577" s="2">
        <v>0.1</v>
      </c>
      <c r="Y577" s="2">
        <v>0</v>
      </c>
      <c r="Z577" s="2">
        <v>0.1</v>
      </c>
      <c r="AA577" s="3">
        <v>1</v>
      </c>
      <c r="AB577" s="3">
        <v>2</v>
      </c>
      <c r="AC577" s="3">
        <v>7</v>
      </c>
      <c r="AD577" s="1">
        <v>0</v>
      </c>
      <c r="AE577" s="1">
        <v>0</v>
      </c>
      <c r="AF577" s="1">
        <v>0</v>
      </c>
      <c r="AG577" s="1">
        <v>0</v>
      </c>
      <c r="AH577" s="1">
        <v>0</v>
      </c>
      <c r="AI577" s="1">
        <v>0.05</v>
      </c>
      <c r="AJ577" s="1">
        <v>0</v>
      </c>
      <c r="AK577" s="1">
        <v>0.05</v>
      </c>
      <c r="AL577" s="1">
        <v>0.05</v>
      </c>
      <c r="AM577" s="1">
        <v>0.05</v>
      </c>
      <c r="AN577" t="s">
        <v>1353</v>
      </c>
    </row>
    <row r="578" spans="1:40" x14ac:dyDescent="0.25">
      <c r="A578" t="s">
        <v>1401</v>
      </c>
      <c r="B578" t="s">
        <v>411</v>
      </c>
      <c r="C578" s="4" t="s">
        <v>1792</v>
      </c>
      <c r="D578" t="s">
        <v>1793</v>
      </c>
      <c r="E578" t="s">
        <v>137</v>
      </c>
      <c r="F578" t="str">
        <f>LEFT(premier_player_23_24[[#This Row],[Position]],2)</f>
        <v>FW</v>
      </c>
      <c r="G578" s="3">
        <v>18</v>
      </c>
      <c r="H578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78" s="3">
        <v>7</v>
      </c>
      <c r="J578" s="3">
        <v>1</v>
      </c>
      <c r="K578" s="2">
        <v>186</v>
      </c>
      <c r="L578" s="2" t="str">
        <f>IF(premier_player_23_24[[#This Row],[Minutes]]&gt;1000,"More than 1000 minutes","Less than 1000 minutes")</f>
        <v>Less than 1000 minutes</v>
      </c>
      <c r="M578" s="2">
        <v>2.1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2">
        <v>1</v>
      </c>
      <c r="U578" s="2">
        <v>0</v>
      </c>
      <c r="V578" s="2">
        <v>0.3</v>
      </c>
      <c r="W578" s="2">
        <f>premier_player_23_24[[#This Row],[Goals]]-premier_player_23_24[[#This Row],[Expected Goals ]]</f>
        <v>-0.3</v>
      </c>
      <c r="X578" s="2">
        <v>0.3</v>
      </c>
      <c r="Y578" s="2">
        <v>0.1</v>
      </c>
      <c r="Z578" s="2">
        <v>0.4</v>
      </c>
      <c r="AA578" s="3">
        <v>1</v>
      </c>
      <c r="AB578" s="3">
        <v>2</v>
      </c>
      <c r="AC578" s="3">
        <v>21</v>
      </c>
      <c r="AD578" s="1">
        <v>0</v>
      </c>
      <c r="AE578" s="1">
        <v>0</v>
      </c>
      <c r="AF578" s="1">
        <v>0</v>
      </c>
      <c r="AG578" s="1">
        <v>0</v>
      </c>
      <c r="AH578" s="1">
        <v>0</v>
      </c>
      <c r="AI578" s="1">
        <v>0.16</v>
      </c>
      <c r="AJ578" s="1">
        <v>0.04</v>
      </c>
      <c r="AK578" s="1">
        <v>0.19</v>
      </c>
      <c r="AL578" s="1">
        <v>0.16</v>
      </c>
      <c r="AM578" s="1">
        <v>0.19</v>
      </c>
      <c r="AN578" t="s">
        <v>1353</v>
      </c>
    </row>
    <row r="579" spans="1:40" x14ac:dyDescent="0.25">
      <c r="A579" t="s">
        <v>1406</v>
      </c>
      <c r="B579" t="s">
        <v>1407</v>
      </c>
      <c r="C579" s="4" t="s">
        <v>1846</v>
      </c>
      <c r="D579" t="s">
        <v>1847</v>
      </c>
      <c r="E579" t="s">
        <v>86</v>
      </c>
      <c r="F579" t="str">
        <f>LEFT(premier_player_23_24[[#This Row],[Position]],2)</f>
        <v>MF</v>
      </c>
      <c r="G579" s="3">
        <v>19</v>
      </c>
      <c r="H579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79" s="3">
        <v>8</v>
      </c>
      <c r="J579" s="3">
        <v>1</v>
      </c>
      <c r="K579" s="2">
        <v>145</v>
      </c>
      <c r="L579" s="2" t="str">
        <f>IF(premier_player_23_24[[#This Row],[Minutes]]&gt;1000,"More than 1000 minutes","Less than 1000 minutes")</f>
        <v>Less than 1000 minutes</v>
      </c>
      <c r="M579" s="2">
        <v>1.6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2">
        <v>1</v>
      </c>
      <c r="U579" s="2">
        <v>0</v>
      </c>
      <c r="V579" s="2">
        <v>0.2</v>
      </c>
      <c r="W579" s="2">
        <f>premier_player_23_24[[#This Row],[Goals]]-premier_player_23_24[[#This Row],[Expected Goals ]]</f>
        <v>-0.2</v>
      </c>
      <c r="X579" s="2">
        <v>0.2</v>
      </c>
      <c r="Y579" s="2">
        <v>0</v>
      </c>
      <c r="Z579" s="2">
        <v>0.2</v>
      </c>
      <c r="AA579" s="3">
        <v>1</v>
      </c>
      <c r="AB579" s="3">
        <v>7</v>
      </c>
      <c r="AC579" s="3">
        <v>8</v>
      </c>
      <c r="AD579" s="1">
        <v>0</v>
      </c>
      <c r="AE579" s="1">
        <v>0</v>
      </c>
      <c r="AF579" s="1">
        <v>0</v>
      </c>
      <c r="AG579" s="1">
        <v>0</v>
      </c>
      <c r="AH579" s="1">
        <v>0</v>
      </c>
      <c r="AI579" s="1">
        <v>0.1</v>
      </c>
      <c r="AJ579" s="1">
        <v>0.02</v>
      </c>
      <c r="AK579" s="1">
        <v>0.12</v>
      </c>
      <c r="AL579" s="1">
        <v>0.1</v>
      </c>
      <c r="AM579" s="1">
        <v>0.12</v>
      </c>
      <c r="AN579" t="s">
        <v>1353</v>
      </c>
    </row>
    <row r="580" spans="1:40" x14ac:dyDescent="0.25">
      <c r="A580" t="s">
        <v>1408</v>
      </c>
      <c r="B580" t="s">
        <v>35</v>
      </c>
      <c r="C580" s="4" t="s">
        <v>1764</v>
      </c>
      <c r="D580" t="s">
        <v>1765</v>
      </c>
      <c r="E580" t="s">
        <v>36</v>
      </c>
      <c r="F580" t="str">
        <f>LEFT(premier_player_23_24[[#This Row],[Position]],2)</f>
        <v>MF</v>
      </c>
      <c r="G580" s="3">
        <v>29</v>
      </c>
      <c r="H580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Prime Age</v>
      </c>
      <c r="I580" s="3">
        <v>1</v>
      </c>
      <c r="J580" s="3">
        <v>0</v>
      </c>
      <c r="K580" s="2">
        <v>5</v>
      </c>
      <c r="L580" s="2" t="str">
        <f>IF(premier_player_23_24[[#This Row],[Minutes]]&gt;1000,"More than 1000 minutes","Less than 1000 minutes")</f>
        <v>Less than 1000 minutes</v>
      </c>
      <c r="M580" s="2">
        <v>0.1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2">
        <v>0</v>
      </c>
      <c r="U580" s="2">
        <v>0</v>
      </c>
      <c r="V580" s="2">
        <v>0</v>
      </c>
      <c r="W580" s="2">
        <f>premier_player_23_24[[#This Row],[Goals]]-premier_player_23_24[[#This Row],[Expected Goals ]]</f>
        <v>0</v>
      </c>
      <c r="X580" s="2">
        <v>0</v>
      </c>
      <c r="Y580" s="2">
        <v>0</v>
      </c>
      <c r="Z580" s="2">
        <v>0</v>
      </c>
      <c r="AA580" s="3">
        <v>0</v>
      </c>
      <c r="AB580" s="3">
        <v>0</v>
      </c>
      <c r="AC580" s="3">
        <v>0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>
        <v>0</v>
      </c>
      <c r="AJ580" s="1">
        <v>0</v>
      </c>
      <c r="AK580" s="1">
        <v>0</v>
      </c>
      <c r="AL580" s="1">
        <v>0</v>
      </c>
      <c r="AM580" s="1">
        <v>0</v>
      </c>
      <c r="AN580" t="s">
        <v>1353</v>
      </c>
    </row>
    <row r="581" spans="1:40" x14ac:dyDescent="0.25">
      <c r="A581" t="s">
        <v>1409</v>
      </c>
      <c r="B581" t="s">
        <v>689</v>
      </c>
      <c r="C581" s="4" t="s">
        <v>1812</v>
      </c>
      <c r="D581" t="s">
        <v>1813</v>
      </c>
      <c r="E581" t="s">
        <v>524</v>
      </c>
      <c r="F581" t="str">
        <f>LEFT(premier_player_23_24[[#This Row],[Position]],2)</f>
        <v>MF</v>
      </c>
      <c r="G581" s="3">
        <v>18</v>
      </c>
      <c r="H581" s="3" t="str">
        <f>IF(premier_player_23_24[[#This Row],[Age]]&gt;34,"Veterans",IF(premier_player_23_24[[#This Row],[Age]]&gt;29,"Experienced",IF(premier_player_23_24[[#This Row],[Age]]&gt;23,"Prime Age",IF(premier_player_23_24[[#This Row],[Age]]&gt;19,"Youngs","Teenagers"))))</f>
        <v>Teenagers</v>
      </c>
      <c r="I581" s="3">
        <v>1</v>
      </c>
      <c r="J581" s="3">
        <v>0</v>
      </c>
      <c r="K581" s="2">
        <v>1</v>
      </c>
      <c r="L581" s="2" t="str">
        <f>IF(premier_player_23_24[[#This Row],[Minutes]]&gt;1000,"More than 1000 minutes","Less than 1000 minutes")</f>
        <v>Less than 1000 minutes</v>
      </c>
      <c r="M581" s="2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2">
        <v>0</v>
      </c>
      <c r="U581" s="2">
        <v>0</v>
      </c>
      <c r="V581" s="2">
        <v>0</v>
      </c>
      <c r="W581" s="2">
        <f>premier_player_23_24[[#This Row],[Goals]]-premier_player_23_24[[#This Row],[Expected Goals ]]</f>
        <v>0</v>
      </c>
      <c r="X581" s="2">
        <v>0</v>
      </c>
      <c r="Y581" s="2">
        <v>0</v>
      </c>
      <c r="Z581" s="2">
        <v>0</v>
      </c>
      <c r="AA581" s="3">
        <v>0</v>
      </c>
      <c r="AB581" s="3">
        <v>0</v>
      </c>
      <c r="AC581" s="3">
        <v>2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>
        <v>0</v>
      </c>
      <c r="AJ581" s="1">
        <v>0</v>
      </c>
      <c r="AK581" s="1">
        <v>0</v>
      </c>
      <c r="AL581" s="1">
        <v>0</v>
      </c>
      <c r="AM581" s="1">
        <v>0</v>
      </c>
      <c r="AN581" t="s">
        <v>1353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A35D0-440E-4677-B7B1-A18027074BAA}">
  <dimension ref="A1:K2"/>
  <sheetViews>
    <sheetView workbookViewId="0">
      <selection activeCell="K15" sqref="K15"/>
    </sheetView>
  </sheetViews>
  <sheetFormatPr defaultRowHeight="15" x14ac:dyDescent="0.25"/>
  <cols>
    <col min="1" max="1" width="13.7109375" bestFit="1" customWidth="1"/>
    <col min="2" max="2" width="3.140625" customWidth="1"/>
    <col min="3" max="3" width="11.85546875" bestFit="1" customWidth="1"/>
    <col min="4" max="4" width="3.140625" customWidth="1"/>
    <col min="5" max="5" width="11" bestFit="1" customWidth="1"/>
    <col min="6" max="6" width="3.140625" customWidth="1"/>
    <col min="7" max="7" width="12.28515625" bestFit="1" customWidth="1"/>
    <col min="8" max="8" width="3.140625" customWidth="1"/>
    <col min="9" max="9" width="17.85546875" bestFit="1" customWidth="1"/>
    <col min="10" max="10" width="3.140625" customWidth="1"/>
    <col min="11" max="11" width="15.28515625" bestFit="1" customWidth="1"/>
    <col min="12" max="12" width="3.140625" customWidth="1"/>
    <col min="13" max="13" width="15.28515625" bestFit="1" customWidth="1"/>
  </cols>
  <sheetData>
    <row r="1" spans="1:11" x14ac:dyDescent="0.25">
      <c r="A1" t="s">
        <v>1878</v>
      </c>
      <c r="C1" t="s">
        <v>1877</v>
      </c>
      <c r="E1" t="s">
        <v>1876</v>
      </c>
      <c r="G1" t="s">
        <v>1879</v>
      </c>
      <c r="I1" t="s">
        <v>1881</v>
      </c>
      <c r="K1" t="s">
        <v>1880</v>
      </c>
    </row>
    <row r="2" spans="1:11" x14ac:dyDescent="0.25">
      <c r="A2" s="9">
        <v>321</v>
      </c>
      <c r="C2" s="2">
        <v>25.838006230529594</v>
      </c>
      <c r="E2" s="3">
        <v>1097</v>
      </c>
      <c r="G2" s="3">
        <v>777</v>
      </c>
      <c r="I2" s="9">
        <v>1400</v>
      </c>
      <c r="K2" s="3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15C2-A17D-4DB5-B4B6-BD343D110CF9}">
  <dimension ref="A1:T13"/>
  <sheetViews>
    <sheetView topLeftCell="H1" workbookViewId="0">
      <selection activeCell="T11" sqref="S1:T11"/>
    </sheetView>
  </sheetViews>
  <sheetFormatPr defaultRowHeight="15" x14ac:dyDescent="0.25"/>
  <cols>
    <col min="1" max="1" width="19.7109375" bestFit="1" customWidth="1"/>
    <col min="2" max="2" width="12.85546875" bestFit="1" customWidth="1"/>
    <col min="3" max="3" width="22.140625" bestFit="1" customWidth="1"/>
    <col min="5" max="5" width="19.7109375" bestFit="1" customWidth="1"/>
    <col min="6" max="6" width="12.28515625" bestFit="1" customWidth="1"/>
    <col min="7" max="7" width="21.5703125" bestFit="1" customWidth="1"/>
    <col min="9" max="9" width="19.7109375" bestFit="1" customWidth="1"/>
    <col min="10" max="10" width="23.7109375" bestFit="1" customWidth="1"/>
    <col min="13" max="13" width="19.7109375" bestFit="1" customWidth="1"/>
    <col min="14" max="14" width="25" bestFit="1" customWidth="1"/>
    <col min="16" max="16" width="19.85546875" bestFit="1" customWidth="1"/>
    <col min="17" max="18" width="22.5703125" bestFit="1" customWidth="1"/>
    <col min="19" max="19" width="19.7109375" bestFit="1" customWidth="1"/>
    <col min="20" max="21" width="31.42578125" bestFit="1" customWidth="1"/>
  </cols>
  <sheetData>
    <row r="1" spans="1:20" x14ac:dyDescent="0.25">
      <c r="A1" s="5" t="s">
        <v>1883</v>
      </c>
      <c r="B1" t="s">
        <v>1885</v>
      </c>
      <c r="C1" t="s">
        <v>1886</v>
      </c>
      <c r="E1" s="5" t="s">
        <v>1883</v>
      </c>
      <c r="F1" t="s">
        <v>1879</v>
      </c>
      <c r="G1" t="s">
        <v>1887</v>
      </c>
      <c r="I1" s="5" t="s">
        <v>1883</v>
      </c>
      <c r="J1" t="s">
        <v>1884</v>
      </c>
      <c r="M1" s="5" t="s">
        <v>1883</v>
      </c>
      <c r="N1" t="s">
        <v>1888</v>
      </c>
      <c r="P1" s="5" t="s">
        <v>1883</v>
      </c>
      <c r="Q1" t="s">
        <v>1893</v>
      </c>
      <c r="S1" s="5" t="s">
        <v>1883</v>
      </c>
      <c r="T1" t="s">
        <v>1894</v>
      </c>
    </row>
    <row r="2" spans="1:20" x14ac:dyDescent="0.25">
      <c r="A2" s="6" t="s">
        <v>135</v>
      </c>
      <c r="B2" s="3">
        <v>27</v>
      </c>
      <c r="C2" s="2">
        <v>29.2</v>
      </c>
      <c r="E2" s="6" t="s">
        <v>907</v>
      </c>
      <c r="F2" s="3">
        <v>13</v>
      </c>
      <c r="G2" s="2">
        <v>7.3</v>
      </c>
      <c r="I2" s="6" t="s">
        <v>135</v>
      </c>
      <c r="J2" s="1">
        <v>0.95</v>
      </c>
      <c r="M2" s="6" t="s">
        <v>228</v>
      </c>
      <c r="N2" s="1">
        <v>0.74</v>
      </c>
      <c r="P2" s="6" t="s">
        <v>56</v>
      </c>
      <c r="Q2" s="2">
        <v>8.6999999999999993</v>
      </c>
      <c r="S2" s="6" t="s">
        <v>277</v>
      </c>
      <c r="T2" s="1">
        <v>1.1399999999999999</v>
      </c>
    </row>
    <row r="3" spans="1:20" x14ac:dyDescent="0.25">
      <c r="A3" s="6" t="s">
        <v>277</v>
      </c>
      <c r="B3" s="3">
        <v>22</v>
      </c>
      <c r="C3" s="2">
        <v>18.2</v>
      </c>
      <c r="E3" s="6" t="s">
        <v>277</v>
      </c>
      <c r="F3" s="3">
        <v>11</v>
      </c>
      <c r="G3" s="2">
        <v>11.1</v>
      </c>
      <c r="I3" s="6" t="s">
        <v>674</v>
      </c>
      <c r="J3" s="1">
        <v>0.84</v>
      </c>
      <c r="M3" s="6" t="s">
        <v>1380</v>
      </c>
      <c r="N3" s="1">
        <v>0.53</v>
      </c>
      <c r="P3" s="6" t="s">
        <v>1483</v>
      </c>
      <c r="Q3" s="2">
        <v>5.3</v>
      </c>
      <c r="S3" s="6" t="s">
        <v>135</v>
      </c>
      <c r="T3" s="1">
        <v>1.1299999999999999</v>
      </c>
    </row>
    <row r="4" spans="1:20" x14ac:dyDescent="0.25">
      <c r="A4" s="6" t="s">
        <v>674</v>
      </c>
      <c r="B4" s="3">
        <v>21</v>
      </c>
      <c r="C4" s="2">
        <v>20.3</v>
      </c>
      <c r="E4" s="6" t="s">
        <v>659</v>
      </c>
      <c r="F4" s="3">
        <v>10</v>
      </c>
      <c r="G4" s="2">
        <v>8</v>
      </c>
      <c r="I4" s="6" t="s">
        <v>384</v>
      </c>
      <c r="J4" s="1">
        <v>0.79</v>
      </c>
      <c r="M4" s="6" t="s">
        <v>708</v>
      </c>
      <c r="N4" s="1">
        <v>0.53</v>
      </c>
      <c r="P4" s="6" t="s">
        <v>1063</v>
      </c>
      <c r="Q4" s="2">
        <v>5.0999999999999996</v>
      </c>
      <c r="S4" s="6" t="s">
        <v>1097</v>
      </c>
      <c r="T4" s="1">
        <v>1.1299999999999999</v>
      </c>
    </row>
    <row r="5" spans="1:20" x14ac:dyDescent="0.25">
      <c r="A5" s="6" t="s">
        <v>907</v>
      </c>
      <c r="B5" s="3">
        <v>19</v>
      </c>
      <c r="C5" s="2">
        <v>16.8</v>
      </c>
      <c r="E5" s="6" t="s">
        <v>1218</v>
      </c>
      <c r="F5" s="3">
        <v>10</v>
      </c>
      <c r="G5" s="2">
        <v>8.1</v>
      </c>
      <c r="I5" s="6" t="s">
        <v>277</v>
      </c>
      <c r="J5" s="1">
        <v>0.76</v>
      </c>
      <c r="M5" s="6" t="s">
        <v>206</v>
      </c>
      <c r="N5" s="1">
        <v>0.45</v>
      </c>
      <c r="P5" s="6" t="s">
        <v>750</v>
      </c>
      <c r="Q5" s="2">
        <v>5</v>
      </c>
      <c r="S5" s="6" t="s">
        <v>228</v>
      </c>
      <c r="T5" s="1">
        <v>1.03</v>
      </c>
    </row>
    <row r="6" spans="1:20" x14ac:dyDescent="0.25">
      <c r="A6" s="6" t="s">
        <v>1287</v>
      </c>
      <c r="B6" s="3">
        <v>19</v>
      </c>
      <c r="C6" s="2">
        <v>19.600000000000001</v>
      </c>
      <c r="E6" s="6" t="s">
        <v>302</v>
      </c>
      <c r="F6" s="3">
        <v>10</v>
      </c>
      <c r="G6" s="2">
        <v>11.8</v>
      </c>
      <c r="I6" s="6" t="s">
        <v>1097</v>
      </c>
      <c r="J6" s="1">
        <v>0.71</v>
      </c>
      <c r="M6" s="6" t="s">
        <v>784</v>
      </c>
      <c r="N6" s="1">
        <v>0.43</v>
      </c>
      <c r="P6" s="6" t="s">
        <v>384</v>
      </c>
      <c r="Q6" s="2">
        <v>4.7</v>
      </c>
      <c r="S6" s="6" t="s">
        <v>384</v>
      </c>
      <c r="T6" s="1">
        <v>1.02</v>
      </c>
    </row>
    <row r="7" spans="1:20" x14ac:dyDescent="0.25">
      <c r="A7" s="6" t="s">
        <v>56</v>
      </c>
      <c r="B7" s="3">
        <v>19</v>
      </c>
      <c r="C7" s="2">
        <v>10.3</v>
      </c>
      <c r="E7" s="6" t="s">
        <v>784</v>
      </c>
      <c r="F7" s="3">
        <v>10</v>
      </c>
      <c r="G7" s="2">
        <v>8.1</v>
      </c>
      <c r="I7" s="6" t="s">
        <v>1485</v>
      </c>
      <c r="J7" s="1">
        <v>0.7</v>
      </c>
      <c r="M7" s="6" t="s">
        <v>1097</v>
      </c>
      <c r="N7" s="1">
        <v>0.42</v>
      </c>
      <c r="P7" s="6" t="s">
        <v>1882</v>
      </c>
      <c r="Q7" s="2">
        <v>28.799999999999997</v>
      </c>
      <c r="S7" s="6" t="s">
        <v>302</v>
      </c>
      <c r="T7" s="1">
        <v>0.99</v>
      </c>
    </row>
    <row r="8" spans="1:20" x14ac:dyDescent="0.25">
      <c r="A8" s="6" t="s">
        <v>302</v>
      </c>
      <c r="B8" s="3">
        <v>18</v>
      </c>
      <c r="C8" s="2">
        <v>21.2</v>
      </c>
      <c r="E8" s="6" t="s">
        <v>1470</v>
      </c>
      <c r="F8" s="3">
        <v>10</v>
      </c>
      <c r="G8" s="2">
        <v>8.4</v>
      </c>
      <c r="I8" s="6" t="s">
        <v>789</v>
      </c>
      <c r="J8" s="1">
        <v>0.66</v>
      </c>
      <c r="M8" s="6" t="s">
        <v>403</v>
      </c>
      <c r="N8" s="1">
        <v>0.4</v>
      </c>
      <c r="S8" s="6" t="s">
        <v>674</v>
      </c>
      <c r="T8" s="1">
        <v>0.92</v>
      </c>
    </row>
    <row r="9" spans="1:20" x14ac:dyDescent="0.25">
      <c r="A9" s="6" t="s">
        <v>750</v>
      </c>
      <c r="B9" s="3">
        <v>17</v>
      </c>
      <c r="C9" s="2">
        <v>12</v>
      </c>
      <c r="E9" s="6" t="s">
        <v>228</v>
      </c>
      <c r="F9" s="3">
        <v>10</v>
      </c>
      <c r="G9" s="2">
        <v>11.5</v>
      </c>
      <c r="I9" s="6" t="s">
        <v>496</v>
      </c>
      <c r="J9" s="1">
        <v>0.65</v>
      </c>
      <c r="M9" s="6" t="s">
        <v>684</v>
      </c>
      <c r="N9" s="1">
        <v>0.4</v>
      </c>
      <c r="S9" s="6" t="s">
        <v>789</v>
      </c>
      <c r="T9" s="1">
        <v>0.91</v>
      </c>
    </row>
    <row r="10" spans="1:20" x14ac:dyDescent="0.25">
      <c r="A10" s="6" t="s">
        <v>458</v>
      </c>
      <c r="B10" s="3">
        <v>16</v>
      </c>
      <c r="C10" s="2">
        <v>15.5</v>
      </c>
      <c r="E10" s="6" t="s">
        <v>750</v>
      </c>
      <c r="F10" s="3">
        <v>10</v>
      </c>
      <c r="G10" s="2">
        <v>11.8</v>
      </c>
      <c r="I10" s="6" t="s">
        <v>302</v>
      </c>
      <c r="J10" s="1">
        <v>0.64</v>
      </c>
      <c r="M10" s="6" t="s">
        <v>941</v>
      </c>
      <c r="N10" s="1">
        <v>0.39</v>
      </c>
      <c r="S10" s="6" t="s">
        <v>907</v>
      </c>
      <c r="T10" s="1">
        <v>0.9</v>
      </c>
    </row>
    <row r="11" spans="1:20" x14ac:dyDescent="0.25">
      <c r="A11" s="6" t="s">
        <v>1063</v>
      </c>
      <c r="B11" s="3">
        <v>16</v>
      </c>
      <c r="C11" s="2">
        <v>10.9</v>
      </c>
      <c r="E11" s="6" t="s">
        <v>684</v>
      </c>
      <c r="F11" s="3">
        <v>10</v>
      </c>
      <c r="G11" s="2">
        <v>7.5</v>
      </c>
      <c r="I11" s="6" t="s">
        <v>1564</v>
      </c>
      <c r="J11" s="1">
        <v>0.63</v>
      </c>
      <c r="M11" s="6" t="s">
        <v>277</v>
      </c>
      <c r="N11" s="1">
        <v>0.38</v>
      </c>
      <c r="S11" s="6" t="s">
        <v>56</v>
      </c>
      <c r="T11" s="1">
        <v>0.85</v>
      </c>
    </row>
    <row r="12" spans="1:20" x14ac:dyDescent="0.25">
      <c r="A12" s="6" t="s">
        <v>991</v>
      </c>
      <c r="B12" s="3">
        <v>16</v>
      </c>
      <c r="C12" s="2">
        <v>11.6</v>
      </c>
      <c r="E12" s="6" t="s">
        <v>443</v>
      </c>
      <c r="F12" s="3">
        <v>10</v>
      </c>
      <c r="G12" s="2">
        <v>9.6</v>
      </c>
      <c r="I12" s="6" t="s">
        <v>1063</v>
      </c>
      <c r="J12" s="1">
        <v>0.63</v>
      </c>
      <c r="M12" s="6" t="s">
        <v>775</v>
      </c>
      <c r="N12" s="1">
        <v>0.38</v>
      </c>
      <c r="S12" s="6" t="s">
        <v>1882</v>
      </c>
      <c r="T12" s="1">
        <v>10.02</v>
      </c>
    </row>
    <row r="13" spans="1:20" x14ac:dyDescent="0.25">
      <c r="A13" s="6" t="s">
        <v>1882</v>
      </c>
      <c r="B13" s="3">
        <v>210</v>
      </c>
      <c r="C13" s="2">
        <v>185.60000000000002</v>
      </c>
      <c r="E13" s="6" t="s">
        <v>1882</v>
      </c>
      <c r="F13" s="3">
        <v>114</v>
      </c>
      <c r="G13" s="2">
        <v>103.2</v>
      </c>
      <c r="I13" s="6" t="s">
        <v>1882</v>
      </c>
      <c r="J13" s="1">
        <v>7.96</v>
      </c>
      <c r="M13" s="6" t="s">
        <v>1882</v>
      </c>
      <c r="N13" s="1">
        <v>5.0500000000000007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11AFD-A6F5-470B-A86A-51C3CF61736C}">
  <dimension ref="A1:E17"/>
  <sheetViews>
    <sheetView tabSelected="1" zoomScale="85" zoomScaleNormal="85" workbookViewId="0">
      <selection activeCell="K14" sqref="K14"/>
    </sheetView>
  </sheetViews>
  <sheetFormatPr defaultRowHeight="15" x14ac:dyDescent="0.25"/>
  <cols>
    <col min="1" max="16384" width="9.140625" style="7"/>
  </cols>
  <sheetData>
    <row r="1" spans="1:5" x14ac:dyDescent="0.25">
      <c r="A1" s="8"/>
      <c r="B1" s="8"/>
      <c r="C1" s="8"/>
      <c r="D1" s="8"/>
      <c r="E1" s="8"/>
    </row>
    <row r="2" spans="1:5" x14ac:dyDescent="0.25">
      <c r="A2" s="8"/>
      <c r="B2" s="8"/>
      <c r="C2" s="8"/>
      <c r="D2" s="8"/>
      <c r="E2" s="8"/>
    </row>
    <row r="3" spans="1:5" x14ac:dyDescent="0.25">
      <c r="A3" s="8"/>
      <c r="B3" s="8"/>
      <c r="C3" s="8"/>
      <c r="D3" s="8"/>
      <c r="E3" s="8"/>
    </row>
    <row r="4" spans="1:5" x14ac:dyDescent="0.25">
      <c r="A4" s="8"/>
      <c r="B4" s="8"/>
      <c r="C4" s="8"/>
      <c r="D4" s="8"/>
      <c r="E4" s="8"/>
    </row>
    <row r="5" spans="1:5" x14ac:dyDescent="0.25">
      <c r="A5" s="8"/>
      <c r="B5" s="8"/>
      <c r="C5" s="8"/>
      <c r="D5" s="8"/>
      <c r="E5" s="8"/>
    </row>
    <row r="6" spans="1:5" x14ac:dyDescent="0.25">
      <c r="A6" s="8" t="str">
        <f>"NUMBER OF PLAYERS: "&amp;GETPIVOTDATA("Player",kpi!$A$1)</f>
        <v>NUMBER OF PLAYERS: 321</v>
      </c>
      <c r="B6" s="8"/>
      <c r="C6" s="8"/>
      <c r="D6" s="8"/>
      <c r="E6" s="8"/>
    </row>
    <row r="7" spans="1:5" x14ac:dyDescent="0.25">
      <c r="A7" s="8" t="str">
        <f>"AVERAGE AGE: "&amp;ROUND(GETPIVOTDATA("Age",kpi!$C$1),1)</f>
        <v>AVERAGE AGE: 25,8</v>
      </c>
      <c r="B7" s="8"/>
      <c r="C7" s="8"/>
      <c r="D7" s="8"/>
      <c r="E7" s="8"/>
    </row>
    <row r="8" spans="1:5" x14ac:dyDescent="0.25">
      <c r="A8" s="8" t="str">
        <f>"TOTAL GOALS: "&amp;GETPIVOTDATA("Goals",kpi!$E$1)</f>
        <v>TOTAL GOALS: 1097</v>
      </c>
      <c r="B8" s="8"/>
      <c r="C8" s="8"/>
      <c r="D8" s="8"/>
      <c r="E8" s="8"/>
    </row>
    <row r="9" spans="1:5" x14ac:dyDescent="0.25">
      <c r="A9" s="8" t="str">
        <f>"TOTAL ASSISTS: "&amp;GETPIVOTDATA("Assists",kpi!$G$1)</f>
        <v>TOTAL ASSISTS: 777</v>
      </c>
      <c r="B9" s="8"/>
      <c r="C9" s="8"/>
      <c r="D9" s="8"/>
      <c r="E9" s="8"/>
    </row>
    <row r="10" spans="1:5" x14ac:dyDescent="0.25">
      <c r="A10" s="8" t="str">
        <f>"TOTAL YELLOW CARDS: "&amp;GETPIVOTDATA("Yellow Cards",kpi!$I$1)</f>
        <v>TOTAL YELLOW CARDS: 1400</v>
      </c>
      <c r="B10" s="8"/>
      <c r="C10" s="8"/>
      <c r="D10" s="8"/>
      <c r="E10" s="8"/>
    </row>
    <row r="11" spans="1:5" x14ac:dyDescent="0.25">
      <c r="A11" s="8" t="str">
        <f>"TOTAL RED CARDS: "&amp;GETPIVOTDATA("Red Cards",kpi!$K$1)</f>
        <v>TOTAL RED CARDS: 45</v>
      </c>
      <c r="B11" s="8"/>
      <c r="C11" s="8"/>
      <c r="D11" s="8"/>
      <c r="E11" s="8"/>
    </row>
    <row r="12" spans="1:5" x14ac:dyDescent="0.25">
      <c r="A12" s="8"/>
      <c r="B12" s="8"/>
      <c r="C12" s="8"/>
      <c r="D12" s="8"/>
      <c r="E12" s="8"/>
    </row>
    <row r="13" spans="1:5" x14ac:dyDescent="0.25">
      <c r="A13" s="8"/>
      <c r="B13" s="8"/>
      <c r="C13" s="8"/>
      <c r="D13" s="8"/>
      <c r="E13" s="8"/>
    </row>
    <row r="14" spans="1:5" x14ac:dyDescent="0.25">
      <c r="A14" s="8"/>
      <c r="B14" s="8"/>
      <c r="C14" s="8"/>
      <c r="D14" s="8"/>
      <c r="E14" s="8"/>
    </row>
    <row r="15" spans="1:5" x14ac:dyDescent="0.25">
      <c r="A15" s="8"/>
      <c r="B15" s="8"/>
      <c r="C15" s="8"/>
      <c r="D15" s="8"/>
      <c r="E15" s="8"/>
    </row>
    <row r="16" spans="1:5" x14ac:dyDescent="0.25">
      <c r="A16" s="8"/>
      <c r="B16" s="8"/>
      <c r="C16" s="8"/>
      <c r="D16" s="8"/>
      <c r="E16" s="8"/>
    </row>
    <row r="17" spans="1:5" x14ac:dyDescent="0.25">
      <c r="A17" s="8"/>
      <c r="B17" s="8"/>
      <c r="C17" s="8"/>
      <c r="D17" s="8"/>
      <c r="E17" s="8"/>
    </row>
  </sheetData>
  <sheetProtection algorithmName="SHA-512" hashValue="1vhFI1ob3W36w9a4nbZk0xJ+v5mjKD53KMOEmHdpAR3TE0QGAThi6SzmIBF/bk5vnL7ro/Y/pM0eCSr9tu+55w==" saltValue="K9u34saSpWcnHWeXQGv/kg==" spinCount="100000" sheet="1" objects="1" scenarios="1" pivotTables="0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8DA643-0F6B-460F-83D5-8D7EF6F0D6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data</vt:lpstr>
      <vt:lpstr>data_cleaned</vt:lpstr>
      <vt:lpstr>kpi</vt:lpstr>
      <vt:lpstr>pivot tables</vt:lpstr>
      <vt:lpstr>dashboards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Тарас Сусак</dc:creator>
  <cp:lastModifiedBy>Тарас Сусак</cp:lastModifiedBy>
  <dcterms:created xsi:type="dcterms:W3CDTF">2026-03-10T15:39:17Z</dcterms:created>
  <dcterms:modified xsi:type="dcterms:W3CDTF">2026-03-11T13:46:51Z</dcterms:modified>
</cp:coreProperties>
</file>